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Inputs" sheetId="2" state="visible" r:id="rId2"/>
    <sheet name="FactorTable" sheetId="3" state="visible" r:id="rId3"/>
    <sheet name="Skills" sheetId="4" state="visible" r:id="rId4"/>
    <sheet name="Calc" sheetId="5" state="visible" r:id="rId5"/>
    <sheet name="Summary" sheetId="6" state="visible" r:id="rId6"/>
    <sheet name="Sensitivity" sheetId="7" state="visible" r:id="rId7"/>
    <sheet name="CubeData" sheetId="8" state="visible" r:id="rId8"/>
    <sheet name="PotentialCubes"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sz val="12"/>
    </font>
    <font>
      <b val="1"/>
    </font>
    <font>
      <b val="1"/>
      <color rgb="00FFFFFF"/>
    </font>
    <font>
      <b val="1"/>
      <sz val="13"/>
    </font>
  </fonts>
  <fills count="4">
    <fill>
      <patternFill/>
    </fill>
    <fill>
      <patternFill patternType="gray125"/>
    </fill>
    <fill>
      <patternFill patternType="solid">
        <fgColor rgb="00FFF2CC"/>
      </patternFill>
    </fill>
    <fill>
      <patternFill patternType="solid">
        <fgColor rgb="001F4E78"/>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1" fillId="0" borderId="0" pivotButton="0" quotePrefix="0" xfId="0"/>
    <xf numFmtId="0" fontId="3" fillId="0" borderId="0" pivotButton="0" quotePrefix="0" xfId="0"/>
    <xf numFmtId="0" fontId="0" fillId="2" borderId="0" pivotButton="0" quotePrefix="0" xfId="0"/>
    <xf numFmtId="0" fontId="2" fillId="0" borderId="0" pivotButton="0" quotePrefix="0" xfId="0"/>
    <xf numFmtId="0" fontId="4" fillId="3" borderId="0" applyAlignment="1" pivotButton="0" quotePrefix="0" xfId="0">
      <alignment horizontal="center"/>
    </xf>
    <xf numFmtId="0" fontId="5" fillId="0" borderId="0" pivotButton="0" quotePrefix="0" xfId="0"/>
    <xf numFmtId="0" fontId="4"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10" customWidth="1" min="1" max="1"/>
  </cols>
  <sheetData>
    <row r="1">
      <c r="A1" s="1" t="inlineStr">
        <is>
          <t>Night Lord — DPS Calculator: How to Use This Workbook</t>
        </is>
      </c>
    </row>
    <row r="2">
      <c r="A2" s="2" t="n"/>
    </row>
    <row r="3">
      <c r="A3" s="3" t="inlineStr">
        <is>
          <t>How to use this workbook</t>
        </is>
      </c>
    </row>
    <row r="4">
      <c r="A4" s="2" t="inlineStr">
        <is>
          <t>Only edit the yellow-highlighted cells on the Inputs sheet — every other sheet is computed from those values and will be overwritten if you rebuild the workbook.</t>
        </is>
      </c>
    </row>
    <row r="5">
      <c r="A5" s="2" t="inlineStr">
        <is>
          <t>Summary shows Total DPS, a Per-Skill DPS Breakdown (damage-dealing skills only — buffs/passives that never deal their own damage are omitted), and a Marginal DPS &amp; Stat Value table showing the DPS gained per +1 of each stat.</t>
        </is>
      </c>
    </row>
    <row r="6">
      <c r="A6" s="2" t="inlineStr">
        <is>
          <t>Sensitivity has the full detail behind that marginal-value table — one self-contained block per stat, showing exactly how bumping that stat by +1 changes every downstream number.</t>
        </is>
      </c>
    </row>
    <row r="7">
      <c r="A7" s="2" t="inlineStr">
        <is>
          <t>CubeData/PotentialCubes model your current gear's Potential Cube lines and drive cube-reroll expected-value decisions. For the full standalone Potential Cube EV calculator (exact optimal-stopping math, works from this workbook alone), see tools/potential_cubes_ev.py in the project repo.</t>
        </is>
      </c>
    </row>
    <row r="8">
      <c r="A8" s="2" t="n"/>
    </row>
    <row r="9">
      <c r="A9" s="3" t="inlineStr">
        <is>
          <t>Design decisions &amp; assumptions</t>
        </is>
      </c>
    </row>
    <row r="10">
      <c r="A10" s="2" t="inlineStr">
        <is>
          <t>Venom/Toxic Venom assume the target is permanently afflicted with Venom's poison at steady state, not an exact on/off timer.</t>
        </is>
      </c>
    </row>
    <row r="11">
      <c r="A11" s="2" t="inlineStr">
        <is>
          <t>Crit Rate pushed above 100% (e.g. by cube potential lines) automatically redirects its stat-value to Crit Damage's own per-unit DPS value on the PotentialCubes sheet, since excess Crit Rate cannot do anything past 100%.</t>
        </is>
      </c>
    </row>
    <row r="12">
      <c r="A12" s="2" t="inlineStr">
        <is>
          <t>Buffs (Dark Sight, Frailty Curse, Nimble Feet) are modeled at steady-state duty-cycle average uptime, not as an exact moment-to-moment state machine. Alchemic Adrenaline's own action-rate-driven stack-up cycle is likewise modeled as a steady-state average uptime rather than an exact stack counter.</t>
        </is>
      </c>
    </row>
    <row r="13">
      <c r="A13" s="2" t="inlineStr">
        <is>
          <t>Shadow Partner and Shadow Shifter are modeled as steady-state average multipliers (expected extra damage per hit / expected counterattack rate) rather than an exact proc-by-proc simulation.</t>
        </is>
      </c>
    </row>
    <row r="14">
      <c r="A14" s="2" t="inlineStr">
        <is>
          <t>Monster Type blends Boss/Normal Monster Damage% by the Chapter Breakthrough weight %; PvP forces a fixed 15-second window regardless of the Fixed Fight Duration input.</t>
        </is>
      </c>
    </row>
    <row r="15">
      <c r="A15" s="2" t="inlineStr">
        <is>
          <t>Not modeled (out of scope): crowd control, Accuracy/Evasion/Defense reduction, movement speed, the character's own Defense stat, and Companion Summoning Time.</t>
        </is>
      </c>
    </row>
    <row r="16">
      <c r="A16"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50" customWidth="1" min="1" max="1"/>
    <col width="16" customWidth="1" min="2" max="2"/>
  </cols>
  <sheetData>
    <row r="1">
      <c r="A1" s="4" t="inlineStr">
        <is>
          <t>Night Lord — DPS Calculator Inputs</t>
        </is>
      </c>
    </row>
    <row r="3">
      <c r="A3" s="5" t="inlineStr">
        <is>
          <t>Character Level</t>
        </is>
      </c>
      <c r="B3" s="6" t="n">
        <v>200</v>
      </c>
    </row>
    <row r="4">
      <c r="A4" s="5" t="inlineStr">
        <is>
          <t>Monster Type ("boss", "normal", "breakthrough", or "pvp")</t>
        </is>
      </c>
      <c r="B4" s="6" t="inlineStr">
        <is>
          <t>boss</t>
        </is>
      </c>
    </row>
    <row r="5">
      <c r="A5" s="5" t="inlineStr">
        <is>
          <t>Flat ATTACK</t>
        </is>
      </c>
      <c r="B5" s="6" t="n">
        <v>10000</v>
      </c>
    </row>
    <row r="6">
      <c r="A6" s="5" t="inlineStr">
        <is>
          <t>ATTACK %</t>
        </is>
      </c>
      <c r="B6" s="6" t="n">
        <v>0</v>
      </c>
    </row>
    <row r="7">
      <c r="A7" s="5" t="inlineStr">
        <is>
          <t>Monster Defense (flat, post-x100/x10 scaling)</t>
        </is>
      </c>
      <c r="B7" s="6" t="n">
        <v>0</v>
      </c>
    </row>
    <row r="8">
      <c r="A8" s="5" t="inlineStr">
        <is>
          <t>CRIT_RATE %</t>
        </is>
      </c>
      <c r="B8" s="6" t="n">
        <v>0</v>
      </c>
    </row>
    <row r="9">
      <c r="A9" s="5" t="inlineStr">
        <is>
          <t>CRIT_DAMAGE %</t>
        </is>
      </c>
      <c r="B9" s="6" t="n">
        <v>0</v>
      </c>
    </row>
    <row r="10">
      <c r="A10" s="5" t="inlineStr">
        <is>
          <t>ATTACK_SPEED % (base, excludes Nimble Feet/Adrenalin)</t>
        </is>
      </c>
      <c r="B10" s="6" t="n">
        <v>0</v>
      </c>
    </row>
    <row r="11">
      <c r="A11" s="5" t="inlineStr">
        <is>
          <t>Flat LUK</t>
        </is>
      </c>
      <c r="B11" s="6" t="n">
        <v>0</v>
      </c>
    </row>
    <row r="12">
      <c r="A12" s="5" t="inlineStr">
        <is>
          <t>LUK %</t>
        </is>
      </c>
      <c r="B12" s="6" t="n">
        <v>0</v>
      </c>
    </row>
    <row r="13">
      <c r="A13" s="5" t="inlineStr">
        <is>
          <t>DEX</t>
        </is>
      </c>
      <c r="B13" s="6" t="n">
        <v>0</v>
      </c>
    </row>
    <row r="14">
      <c r="A14" s="5" t="inlineStr">
        <is>
          <t>DAMAGE %</t>
        </is>
      </c>
      <c r="B14" s="6" t="n">
        <v>0</v>
      </c>
    </row>
    <row r="15">
      <c r="A15" s="5" t="inlineStr">
        <is>
          <t>DAMAGE_AMP %</t>
        </is>
      </c>
      <c r="B15" s="6" t="n">
        <v>0</v>
      </c>
    </row>
    <row r="16">
      <c r="A16" s="5" t="inlineStr">
        <is>
          <t>BASIC_ATTACK_DAMAGE %</t>
        </is>
      </c>
      <c r="B16" s="6" t="n">
        <v>0</v>
      </c>
    </row>
    <row r="17">
      <c r="A17" s="5" t="inlineStr">
        <is>
          <t>SKILL_DAMAGE %</t>
        </is>
      </c>
      <c r="B17" s="6" t="n">
        <v>0</v>
      </c>
    </row>
    <row r="18">
      <c r="A18" s="5" t="inlineStr">
        <is>
          <t>DEF_PEN %</t>
        </is>
      </c>
      <c r="B18" s="6" t="n">
        <v>0</v>
      </c>
    </row>
    <row r="19">
      <c r="A19" s="5" t="inlineStr">
        <is>
          <t>BOSS_DAMAGE %</t>
        </is>
      </c>
      <c r="B19" s="6" t="n">
        <v>0</v>
      </c>
    </row>
    <row r="20">
      <c r="A20" s="5" t="inlineStr">
        <is>
          <t>NORMAL_DAMAGE %</t>
        </is>
      </c>
      <c r="B20" s="6" t="n">
        <v>0</v>
      </c>
    </row>
    <row r="21">
      <c r="A21" s="5" t="inlineStr">
        <is>
          <t>MIN_DAMAGE %</t>
        </is>
      </c>
      <c r="B21" s="6" t="n">
        <v>100</v>
      </c>
    </row>
    <row r="22">
      <c r="A22" s="5" t="inlineStr">
        <is>
          <t>MAX_DAMAGE %</t>
        </is>
      </c>
      <c r="B22" s="6" t="n">
        <v>100</v>
      </c>
    </row>
    <row r="23">
      <c r="A23" s="5" t="inlineStr">
        <is>
          <t>FINAL_DAMAGE % (base)</t>
        </is>
      </c>
      <c r="B23" s="6" t="n">
        <v>0</v>
      </c>
    </row>
    <row r="24">
      <c r="A24" s="5" t="inlineStr">
        <is>
          <t>Skill Level Bonus — 1st Job</t>
        </is>
      </c>
      <c r="B24" s="6" t="n">
        <v>0</v>
      </c>
    </row>
    <row r="25">
      <c r="A25" s="5" t="inlineStr">
        <is>
          <t>Skill Level Bonus — 2nd Job</t>
        </is>
      </c>
      <c r="B25" s="6" t="n">
        <v>0</v>
      </c>
    </row>
    <row r="26">
      <c r="A26" s="5" t="inlineStr">
        <is>
          <t>Skill Level Bonus — 3rd Job</t>
        </is>
      </c>
      <c r="B26" s="6" t="n">
        <v>0</v>
      </c>
    </row>
    <row r="27">
      <c r="A27" s="5" t="inlineStr">
        <is>
          <t>Skill Level Bonus — 4th Job</t>
        </is>
      </c>
      <c r="B27" s="6" t="n">
        <v>0</v>
      </c>
    </row>
    <row r="28">
      <c r="A28" s="5" t="inlineStr">
        <is>
          <t>Skill Level Bonus — All Skills</t>
        </is>
      </c>
      <c r="B28" s="6" t="n">
        <v>0</v>
      </c>
    </row>
    <row r="30">
      <c r="A30" s="7" t="inlineStr">
        <is>
          <t>Additional Bonuses</t>
        </is>
      </c>
    </row>
    <row r="31">
      <c r="A31" s="5" t="inlineStr">
        <is>
          <t>Skill Cooldown Decrease (seconds, only skills the character actively casts)</t>
        </is>
      </c>
      <c r="B31" s="6" t="n">
        <v>0</v>
      </c>
    </row>
    <row r="32">
      <c r="A32" s="5" t="inlineStr">
        <is>
          <t>Basic Attack Target Increase (flat, adds to the 6-target Showdown base)</t>
        </is>
      </c>
      <c r="B32" s="6" t="n">
        <v>1</v>
      </c>
    </row>
    <row r="33">
      <c r="A33" s="5" t="inlineStr">
        <is>
          <t>Buff Duration Increase %</t>
        </is>
      </c>
      <c r="B33" s="6" t="n">
        <v>0</v>
      </c>
    </row>
    <row r="34">
      <c r="A34" s="5" t="inlineStr">
        <is>
          <t>Companion Summoning Time Increase % (companions not modeled — always 0 DPS impact)</t>
        </is>
      </c>
      <c r="B34" s="6" t="n">
        <v>0</v>
      </c>
    </row>
    <row r="35">
      <c r="A35" s="5" t="inlineStr">
        <is>
          <t>Fixed Fight Duration (seconds, boss or normal — leave 0 for steady-state DPS; ignored for pvp)</t>
        </is>
      </c>
      <c r="B35" s="6" t="n">
        <v>0</v>
      </c>
    </row>
    <row r="36">
      <c r="A36" s="5" t="inlineStr">
        <is>
          <t>Chapter Breakthrough: Normal-Monster Weight % (only used when Monster Type = breakthrough)</t>
        </is>
      </c>
      <c r="B36" s="6" t="n">
        <v>60</v>
      </c>
    </row>
    <row r="37">
      <c r="A37" s="5" t="inlineStr">
        <is>
          <t>Max Enemies Actually In Range (normal monsters only; default 999 = uncapped)</t>
        </is>
      </c>
      <c r="B37" s="6" t="n">
        <v>999</v>
      </c>
    </row>
    <row r="38">
      <c r="A38" s="5" t="inlineStr">
        <is>
          <t>Incoming Hit Rate (hits/sec taken — user-estimated, feeds Shadow Shifter's counterattack only)</t>
        </is>
      </c>
      <c r="B38" s="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3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s>
  <sheetData>
    <row r="1">
      <c r="A1" s="8" t="inlineStr">
        <is>
          <t>Level</t>
        </is>
      </c>
      <c r="B1" s="8" t="inlineStr">
        <is>
          <t>F0</t>
        </is>
      </c>
      <c r="C1" s="8" t="inlineStr">
        <is>
          <t>F1</t>
        </is>
      </c>
      <c r="D1" s="8" t="inlineStr">
        <is>
          <t>F2</t>
        </is>
      </c>
      <c r="E1" s="8" t="inlineStr">
        <is>
          <t>F3</t>
        </is>
      </c>
      <c r="F1" s="8" t="inlineStr">
        <is>
          <t>F4</t>
        </is>
      </c>
      <c r="G1" s="8" t="inlineStr">
        <is>
          <t>F5</t>
        </is>
      </c>
      <c r="H1" s="8" t="inlineStr">
        <is>
          <t>F6</t>
        </is>
      </c>
      <c r="I1" s="8" t="inlineStr">
        <is>
          <t>F7</t>
        </is>
      </c>
      <c r="J1" s="8" t="inlineStr">
        <is>
          <t>F8</t>
        </is>
      </c>
      <c r="K1" s="8" t="inlineStr">
        <is>
          <t>F9</t>
        </is>
      </c>
      <c r="L1" s="8" t="inlineStr">
        <is>
          <t>F10</t>
        </is>
      </c>
      <c r="M1" s="8" t="inlineStr">
        <is>
          <t>F11</t>
        </is>
      </c>
      <c r="N1" s="8" t="inlineStr">
        <is>
          <t>F12</t>
        </is>
      </c>
      <c r="O1" s="8" t="inlineStr">
        <is>
          <t>F13</t>
        </is>
      </c>
      <c r="P1" s="8" t="inlineStr">
        <is>
          <t>F14</t>
        </is>
      </c>
      <c r="Q1" s="8" t="inlineStr">
        <is>
          <t>F15</t>
        </is>
      </c>
      <c r="R1" s="8" t="inlineStr">
        <is>
          <t>F16</t>
        </is>
      </c>
      <c r="S1" s="8" t="inlineStr">
        <is>
          <t>F17</t>
        </is>
      </c>
      <c r="T1" s="8" t="inlineStr">
        <is>
          <t>F18</t>
        </is>
      </c>
      <c r="U1" s="8" t="inlineStr">
        <is>
          <t>F19</t>
        </is>
      </c>
      <c r="V1" s="8" t="inlineStr">
        <is>
          <t>F20</t>
        </is>
      </c>
      <c r="W1" s="8" t="inlineStr">
        <is>
          <t>F21</t>
        </is>
      </c>
      <c r="X1" s="8" t="inlineStr">
        <is>
          <t>F22</t>
        </is>
      </c>
      <c r="Y1" s="8" t="inlineStr">
        <is>
          <t>F23</t>
        </is>
      </c>
    </row>
    <row r="2">
      <c r="A2" t="n">
        <v>1</v>
      </c>
      <c r="B2" t="n">
        <v>0</v>
      </c>
      <c r="C2" t="n">
        <v>1000</v>
      </c>
      <c r="D2" t="n">
        <v>1000</v>
      </c>
      <c r="E2" t="n">
        <v>1000</v>
      </c>
      <c r="F2" t="n">
        <v>1000</v>
      </c>
      <c r="G2" t="n">
        <v>1000</v>
      </c>
      <c r="H2" t="n">
        <v>1000</v>
      </c>
      <c r="I2" t="n">
        <v>1000</v>
      </c>
      <c r="J2" t="n">
        <v>1000</v>
      </c>
      <c r="K2" t="n">
        <v>1000</v>
      </c>
      <c r="L2" t="n">
        <v>1000</v>
      </c>
      <c r="M2" t="n">
        <v>1000</v>
      </c>
      <c r="N2" t="n">
        <v>1000</v>
      </c>
      <c r="O2" t="n">
        <v>1000</v>
      </c>
      <c r="P2" t="n">
        <v>1000</v>
      </c>
      <c r="Q2" t="n">
        <v>1000</v>
      </c>
      <c r="R2" t="n">
        <v>1000</v>
      </c>
      <c r="S2" t="n">
        <v>1000</v>
      </c>
      <c r="T2" t="n">
        <v>1000</v>
      </c>
      <c r="U2" t="n">
        <v>1000</v>
      </c>
      <c r="V2" t="n">
        <v>1000</v>
      </c>
      <c r="W2" t="n">
        <v>1000</v>
      </c>
      <c r="X2" t="n">
        <v>1000</v>
      </c>
      <c r="Y2" t="n">
        <v>1000</v>
      </c>
    </row>
    <row r="3">
      <c r="A3" t="n">
        <v>2</v>
      </c>
      <c r="B3" t="n">
        <v>0</v>
      </c>
      <c r="C3" t="n">
        <v>1015</v>
      </c>
      <c r="D3" t="n">
        <v>1020</v>
      </c>
      <c r="E3" t="n">
        <v>1030</v>
      </c>
      <c r="F3" t="n">
        <v>1040</v>
      </c>
      <c r="G3" t="n">
        <v>1050</v>
      </c>
      <c r="H3" t="n">
        <v>1060</v>
      </c>
      <c r="I3" t="n">
        <v>1070</v>
      </c>
      <c r="J3" t="n">
        <v>1020</v>
      </c>
      <c r="K3" t="n">
        <v>1020</v>
      </c>
      <c r="L3" t="n">
        <v>1020</v>
      </c>
      <c r="M3" t="n">
        <v>1000</v>
      </c>
      <c r="N3" t="n">
        <v>1010</v>
      </c>
      <c r="O3" t="n">
        <v>1020</v>
      </c>
      <c r="P3" t="n">
        <v>1030</v>
      </c>
      <c r="Q3" t="n">
        <v>1040</v>
      </c>
      <c r="R3" t="n">
        <v>1050</v>
      </c>
      <c r="S3" t="n">
        <v>1060</v>
      </c>
      <c r="T3" t="n">
        <v>1070</v>
      </c>
      <c r="U3" t="n">
        <v>1080</v>
      </c>
      <c r="V3" t="n">
        <v>1010</v>
      </c>
      <c r="W3" t="n">
        <v>1008</v>
      </c>
      <c r="X3" t="n">
        <v>1006</v>
      </c>
      <c r="Y3" t="n">
        <v>1100</v>
      </c>
    </row>
    <row r="4">
      <c r="A4" t="n">
        <v>3</v>
      </c>
      <c r="B4" t="n">
        <v>0</v>
      </c>
      <c r="C4" t="n">
        <v>1031</v>
      </c>
      <c r="D4" t="n">
        <v>1041</v>
      </c>
      <c r="E4" t="n">
        <v>1061</v>
      </c>
      <c r="F4" t="n">
        <v>1082</v>
      </c>
      <c r="G4" t="n">
        <v>1103</v>
      </c>
      <c r="H4" t="n">
        <v>1124</v>
      </c>
      <c r="I4" t="n">
        <v>1145</v>
      </c>
      <c r="J4" t="n">
        <v>1030</v>
      </c>
      <c r="K4" t="n">
        <v>1041</v>
      </c>
      <c r="L4" t="n">
        <v>1030</v>
      </c>
      <c r="M4" t="n">
        <v>1000</v>
      </c>
      <c r="N4" t="n">
        <v>1015</v>
      </c>
      <c r="O4" t="n">
        <v>1030</v>
      </c>
      <c r="P4" t="n">
        <v>1045</v>
      </c>
      <c r="Q4" t="n">
        <v>1060</v>
      </c>
      <c r="R4" t="n">
        <v>1075</v>
      </c>
      <c r="S4" t="n">
        <v>1090</v>
      </c>
      <c r="T4" t="n">
        <v>1105</v>
      </c>
      <c r="U4" t="n">
        <v>1120</v>
      </c>
      <c r="V4" t="n">
        <v>1020</v>
      </c>
      <c r="W4" t="n">
        <v>1012</v>
      </c>
      <c r="X4" t="n">
        <v>1009</v>
      </c>
      <c r="Y4" t="n">
        <v>1150</v>
      </c>
    </row>
    <row r="5">
      <c r="A5" t="n">
        <v>4</v>
      </c>
      <c r="B5" t="n">
        <v>0</v>
      </c>
      <c r="C5" t="n">
        <v>1047</v>
      </c>
      <c r="D5" t="n">
        <v>1062</v>
      </c>
      <c r="E5" t="n">
        <v>1093</v>
      </c>
      <c r="F5" t="n">
        <v>1126</v>
      </c>
      <c r="G5" t="n">
        <v>1159</v>
      </c>
      <c r="H5" t="n">
        <v>1192</v>
      </c>
      <c r="I5" t="n">
        <v>1226</v>
      </c>
      <c r="J5" t="n">
        <v>1040</v>
      </c>
      <c r="K5" t="n">
        <v>1062</v>
      </c>
      <c r="L5" t="n">
        <v>1040</v>
      </c>
      <c r="M5" t="n">
        <v>1000</v>
      </c>
      <c r="N5" t="n">
        <v>1020</v>
      </c>
      <c r="O5" t="n">
        <v>1040</v>
      </c>
      <c r="P5" t="n">
        <v>1060</v>
      </c>
      <c r="Q5" t="n">
        <v>1080</v>
      </c>
      <c r="R5" t="n">
        <v>1100</v>
      </c>
      <c r="S5" t="n">
        <v>1120</v>
      </c>
      <c r="T5" t="n">
        <v>1140</v>
      </c>
      <c r="U5" t="n">
        <v>1160</v>
      </c>
      <c r="V5" t="n">
        <v>1030</v>
      </c>
      <c r="W5" t="n">
        <v>1016</v>
      </c>
      <c r="X5" t="n">
        <v>1012</v>
      </c>
      <c r="Y5" t="n">
        <v>1200</v>
      </c>
    </row>
    <row r="6">
      <c r="A6" t="n">
        <v>5</v>
      </c>
      <c r="B6" t="n">
        <v>0</v>
      </c>
      <c r="C6" t="n">
        <v>1063</v>
      </c>
      <c r="D6" t="n">
        <v>1084</v>
      </c>
      <c r="E6" t="n">
        <v>1126</v>
      </c>
      <c r="F6" t="n">
        <v>1172</v>
      </c>
      <c r="G6" t="n">
        <v>1217</v>
      </c>
      <c r="H6" t="n">
        <v>1264</v>
      </c>
      <c r="I6" t="n">
        <v>1312</v>
      </c>
      <c r="J6" t="n">
        <v>1050</v>
      </c>
      <c r="K6" t="n">
        <v>1084</v>
      </c>
      <c r="L6" t="n">
        <v>1050</v>
      </c>
      <c r="M6" t="n">
        <v>1000</v>
      </c>
      <c r="N6" t="n">
        <v>1025</v>
      </c>
      <c r="O6" t="n">
        <v>1050</v>
      </c>
      <c r="P6" t="n">
        <v>1075</v>
      </c>
      <c r="Q6" t="n">
        <v>1100</v>
      </c>
      <c r="R6" t="n">
        <v>1125</v>
      </c>
      <c r="S6" t="n">
        <v>1150</v>
      </c>
      <c r="T6" t="n">
        <v>1175</v>
      </c>
      <c r="U6" t="n">
        <v>1200</v>
      </c>
      <c r="V6" t="n">
        <v>1040</v>
      </c>
      <c r="W6" t="n">
        <v>1020</v>
      </c>
      <c r="X6" t="n">
        <v>1015</v>
      </c>
      <c r="Y6" t="n">
        <v>1250</v>
      </c>
    </row>
    <row r="7">
      <c r="A7" t="n">
        <v>6</v>
      </c>
      <c r="B7" t="n">
        <v>0</v>
      </c>
      <c r="C7" t="n">
        <v>1079</v>
      </c>
      <c r="D7" t="n">
        <v>1106</v>
      </c>
      <c r="E7" t="n">
        <v>1160</v>
      </c>
      <c r="F7" t="n">
        <v>1219</v>
      </c>
      <c r="G7" t="n">
        <v>1278</v>
      </c>
      <c r="H7" t="n">
        <v>1340</v>
      </c>
      <c r="I7" t="n">
        <v>1404</v>
      </c>
      <c r="J7" t="n">
        <v>1060</v>
      </c>
      <c r="K7" t="n">
        <v>1106</v>
      </c>
      <c r="L7" t="n">
        <v>1060</v>
      </c>
      <c r="M7" t="n">
        <v>1000</v>
      </c>
      <c r="N7" t="n">
        <v>1030</v>
      </c>
      <c r="O7" t="n">
        <v>1060</v>
      </c>
      <c r="P7" t="n">
        <v>1090</v>
      </c>
      <c r="Q7" t="n">
        <v>1120</v>
      </c>
      <c r="R7" t="n">
        <v>1150</v>
      </c>
      <c r="S7" t="n">
        <v>1180</v>
      </c>
      <c r="T7" t="n">
        <v>1210</v>
      </c>
      <c r="U7" t="n">
        <v>1240</v>
      </c>
      <c r="V7" t="n">
        <v>1050</v>
      </c>
      <c r="W7" t="n">
        <v>1024</v>
      </c>
      <c r="X7" t="n">
        <v>1018</v>
      </c>
      <c r="Y7" t="n">
        <v>1300</v>
      </c>
    </row>
    <row r="8">
      <c r="A8" t="n">
        <v>7</v>
      </c>
      <c r="B8" t="n">
        <v>0</v>
      </c>
      <c r="C8" t="n">
        <v>1096</v>
      </c>
      <c r="D8" t="n">
        <v>1129</v>
      </c>
      <c r="E8" t="n">
        <v>1195</v>
      </c>
      <c r="F8" t="n">
        <v>1268</v>
      </c>
      <c r="G8" t="n">
        <v>1342</v>
      </c>
      <c r="H8" t="n">
        <v>1421</v>
      </c>
      <c r="I8" t="n">
        <v>1503</v>
      </c>
      <c r="J8" t="n">
        <v>1070</v>
      </c>
      <c r="K8" t="n">
        <v>1129</v>
      </c>
      <c r="L8" t="n">
        <v>1070</v>
      </c>
      <c r="M8" t="n">
        <v>1000</v>
      </c>
      <c r="N8" t="n">
        <v>1035</v>
      </c>
      <c r="O8" t="n">
        <v>1070</v>
      </c>
      <c r="P8" t="n">
        <v>1105</v>
      </c>
      <c r="Q8" t="n">
        <v>1140</v>
      </c>
      <c r="R8" t="n">
        <v>1175</v>
      </c>
      <c r="S8" t="n">
        <v>1210</v>
      </c>
      <c r="T8" t="n">
        <v>1245</v>
      </c>
      <c r="U8" t="n">
        <v>1280</v>
      </c>
      <c r="V8" t="n">
        <v>1060</v>
      </c>
      <c r="W8" t="n">
        <v>1028</v>
      </c>
      <c r="X8" t="n">
        <v>1021</v>
      </c>
      <c r="Y8" t="n">
        <v>1350</v>
      </c>
    </row>
    <row r="9">
      <c r="A9" t="n">
        <v>8</v>
      </c>
      <c r="B9" t="n">
        <v>0</v>
      </c>
      <c r="C9" t="n">
        <v>1113</v>
      </c>
      <c r="D9" t="n">
        <v>1152</v>
      </c>
      <c r="E9" t="n">
        <v>1231</v>
      </c>
      <c r="F9" t="n">
        <v>1319</v>
      </c>
      <c r="G9" t="n">
        <v>1410</v>
      </c>
      <c r="H9" t="n">
        <v>1507</v>
      </c>
      <c r="I9" t="n">
        <v>1609</v>
      </c>
      <c r="J9" t="n">
        <v>1080</v>
      </c>
      <c r="K9" t="n">
        <v>1152</v>
      </c>
      <c r="L9" t="n">
        <v>1080</v>
      </c>
      <c r="M9" t="n">
        <v>1000</v>
      </c>
      <c r="N9" t="n">
        <v>1040</v>
      </c>
      <c r="O9" t="n">
        <v>1080</v>
      </c>
      <c r="P9" t="n">
        <v>1120</v>
      </c>
      <c r="Q9" t="n">
        <v>1160</v>
      </c>
      <c r="R9" t="n">
        <v>1200</v>
      </c>
      <c r="S9" t="n">
        <v>1240</v>
      </c>
      <c r="T9" t="n">
        <v>1280</v>
      </c>
      <c r="U9" t="n">
        <v>1320</v>
      </c>
      <c r="V9" t="n">
        <v>1070</v>
      </c>
      <c r="W9" t="n">
        <v>1032</v>
      </c>
      <c r="X9" t="n">
        <v>1024</v>
      </c>
      <c r="Y9" t="n">
        <v>1400</v>
      </c>
    </row>
    <row r="10">
      <c r="A10" t="n">
        <v>9</v>
      </c>
      <c r="B10" t="n">
        <v>0</v>
      </c>
      <c r="C10" t="n">
        <v>1130</v>
      </c>
      <c r="D10" t="n">
        <v>1176</v>
      </c>
      <c r="E10" t="n">
        <v>1268</v>
      </c>
      <c r="F10" t="n">
        <v>1372</v>
      </c>
      <c r="G10" t="n">
        <v>1481</v>
      </c>
      <c r="H10" t="n">
        <v>1598</v>
      </c>
      <c r="I10" t="n">
        <v>1722</v>
      </c>
      <c r="J10" t="n">
        <v>1090</v>
      </c>
      <c r="K10" t="n">
        <v>1176</v>
      </c>
      <c r="L10" t="n">
        <v>1090</v>
      </c>
      <c r="M10" t="n">
        <v>1000</v>
      </c>
      <c r="N10" t="n">
        <v>1045</v>
      </c>
      <c r="O10" t="n">
        <v>1090</v>
      </c>
      <c r="P10" t="n">
        <v>1135</v>
      </c>
      <c r="Q10" t="n">
        <v>1180</v>
      </c>
      <c r="R10" t="n">
        <v>1225</v>
      </c>
      <c r="S10" t="n">
        <v>1270</v>
      </c>
      <c r="T10" t="n">
        <v>1315</v>
      </c>
      <c r="U10" t="n">
        <v>1360</v>
      </c>
      <c r="V10" t="n">
        <v>1080</v>
      </c>
      <c r="W10" t="n">
        <v>1036</v>
      </c>
      <c r="X10" t="n">
        <v>1027</v>
      </c>
      <c r="Y10" t="n">
        <v>1450</v>
      </c>
    </row>
    <row r="11">
      <c r="A11" t="n">
        <v>10</v>
      </c>
      <c r="B11" t="n">
        <v>0</v>
      </c>
      <c r="C11" t="n">
        <v>1147</v>
      </c>
      <c r="D11" t="n">
        <v>1200</v>
      </c>
      <c r="E11" t="n">
        <v>1307</v>
      </c>
      <c r="F11" t="n">
        <v>1427</v>
      </c>
      <c r="G11" t="n">
        <v>1556</v>
      </c>
      <c r="H11" t="n">
        <v>1694</v>
      </c>
      <c r="I11" t="n">
        <v>1843</v>
      </c>
      <c r="J11" t="n">
        <v>1100</v>
      </c>
      <c r="K11" t="n">
        <v>1200</v>
      </c>
      <c r="L11" t="n">
        <v>1100</v>
      </c>
      <c r="M11" t="n">
        <v>1000</v>
      </c>
      <c r="N11" t="n">
        <v>1050</v>
      </c>
      <c r="O11" t="n">
        <v>1100</v>
      </c>
      <c r="P11" t="n">
        <v>1150</v>
      </c>
      <c r="Q11" t="n">
        <v>1200</v>
      </c>
      <c r="R11" t="n">
        <v>1250</v>
      </c>
      <c r="S11" t="n">
        <v>1300</v>
      </c>
      <c r="T11" t="n">
        <v>1350</v>
      </c>
      <c r="U11" t="n">
        <v>1400</v>
      </c>
      <c r="V11" t="n">
        <v>1090</v>
      </c>
      <c r="W11" t="n">
        <v>1040</v>
      </c>
      <c r="X11" t="n">
        <v>1030</v>
      </c>
      <c r="Y11" t="n">
        <v>1500</v>
      </c>
    </row>
    <row r="12">
      <c r="A12" t="n">
        <v>11</v>
      </c>
      <c r="B12" t="n">
        <v>0</v>
      </c>
      <c r="C12" t="n">
        <v>1165</v>
      </c>
      <c r="D12" t="n">
        <v>1224</v>
      </c>
      <c r="E12" t="n">
        <v>1347</v>
      </c>
      <c r="F12" t="n">
        <v>1485</v>
      </c>
      <c r="G12" t="n">
        <v>1634</v>
      </c>
      <c r="H12" t="n">
        <v>1796</v>
      </c>
      <c r="I12" t="n">
        <v>1973</v>
      </c>
      <c r="J12" t="n">
        <v>1110</v>
      </c>
      <c r="K12" t="n">
        <v>1224</v>
      </c>
      <c r="L12" t="n">
        <v>1110</v>
      </c>
      <c r="M12" t="n">
        <v>1000</v>
      </c>
      <c r="N12" t="n">
        <v>1055</v>
      </c>
      <c r="O12" t="n">
        <v>1110</v>
      </c>
      <c r="P12" t="n">
        <v>1165</v>
      </c>
      <c r="Q12" t="n">
        <v>1220</v>
      </c>
      <c r="R12" t="n">
        <v>1275</v>
      </c>
      <c r="S12" t="n">
        <v>1330</v>
      </c>
      <c r="T12" t="n">
        <v>1385</v>
      </c>
      <c r="U12" t="n">
        <v>1440</v>
      </c>
      <c r="V12" t="n">
        <v>1100</v>
      </c>
      <c r="W12" t="n">
        <v>1044</v>
      </c>
      <c r="X12" t="n">
        <v>1033</v>
      </c>
      <c r="Y12" t="n">
        <v>1550</v>
      </c>
    </row>
    <row r="13">
      <c r="A13" t="n">
        <v>12</v>
      </c>
      <c r="B13" t="n">
        <v>0</v>
      </c>
      <c r="C13" t="n">
        <v>1183</v>
      </c>
      <c r="D13" t="n">
        <v>1249</v>
      </c>
      <c r="E13" t="n">
        <v>1388</v>
      </c>
      <c r="F13" t="n">
        <v>1545</v>
      </c>
      <c r="G13" t="n">
        <v>1716</v>
      </c>
      <c r="H13" t="n">
        <v>1904</v>
      </c>
      <c r="I13" t="n">
        <v>2112</v>
      </c>
      <c r="J13" t="n">
        <v>1120</v>
      </c>
      <c r="K13" t="n">
        <v>1249</v>
      </c>
      <c r="L13" t="n">
        <v>1120</v>
      </c>
      <c r="M13" t="n">
        <v>1000</v>
      </c>
      <c r="N13" t="n">
        <v>1060</v>
      </c>
      <c r="O13" t="n">
        <v>1120</v>
      </c>
      <c r="P13" t="n">
        <v>1180</v>
      </c>
      <c r="Q13" t="n">
        <v>1240</v>
      </c>
      <c r="R13" t="n">
        <v>1300</v>
      </c>
      <c r="S13" t="n">
        <v>1360</v>
      </c>
      <c r="T13" t="n">
        <v>1420</v>
      </c>
      <c r="U13" t="n">
        <v>1480</v>
      </c>
      <c r="V13" t="n">
        <v>1110</v>
      </c>
      <c r="W13" t="n">
        <v>1048</v>
      </c>
      <c r="X13" t="n">
        <v>1036</v>
      </c>
      <c r="Y13" t="n">
        <v>1600</v>
      </c>
    </row>
    <row r="14">
      <c r="A14" t="n">
        <v>13</v>
      </c>
      <c r="B14" t="n">
        <v>0</v>
      </c>
      <c r="C14" t="n">
        <v>1201</v>
      </c>
      <c r="D14" t="n">
        <v>1274</v>
      </c>
      <c r="E14" t="n">
        <v>1430</v>
      </c>
      <c r="F14" t="n">
        <v>1607</v>
      </c>
      <c r="G14" t="n">
        <v>1802</v>
      </c>
      <c r="H14" t="n">
        <v>2019</v>
      </c>
      <c r="I14" t="n">
        <v>2260</v>
      </c>
      <c r="J14" t="n">
        <v>1130</v>
      </c>
      <c r="K14" t="n">
        <v>1274</v>
      </c>
      <c r="L14" t="n">
        <v>1130</v>
      </c>
      <c r="M14" t="n">
        <v>1000</v>
      </c>
      <c r="N14" t="n">
        <v>1065</v>
      </c>
      <c r="O14" t="n">
        <v>1130</v>
      </c>
      <c r="P14" t="n">
        <v>1195</v>
      </c>
      <c r="Q14" t="n">
        <v>1260</v>
      </c>
      <c r="R14" t="n">
        <v>1325</v>
      </c>
      <c r="S14" t="n">
        <v>1390</v>
      </c>
      <c r="T14" t="n">
        <v>1455</v>
      </c>
      <c r="U14" t="n">
        <v>1520</v>
      </c>
      <c r="V14" t="n">
        <v>1120</v>
      </c>
      <c r="W14" t="n">
        <v>1052</v>
      </c>
      <c r="X14" t="n">
        <v>1039</v>
      </c>
      <c r="Y14" t="n">
        <v>1650</v>
      </c>
    </row>
    <row r="15">
      <c r="A15" t="n">
        <v>14</v>
      </c>
      <c r="B15" t="n">
        <v>0</v>
      </c>
      <c r="C15" t="n">
        <v>1220</v>
      </c>
      <c r="D15" t="n">
        <v>1300</v>
      </c>
      <c r="E15" t="n">
        <v>1473</v>
      </c>
      <c r="F15" t="n">
        <v>1672</v>
      </c>
      <c r="G15" t="n">
        <v>1893</v>
      </c>
      <c r="H15" t="n">
        <v>2141</v>
      </c>
      <c r="I15" t="n">
        <v>2419</v>
      </c>
      <c r="J15" t="n">
        <v>1140</v>
      </c>
      <c r="K15" t="n">
        <v>1300</v>
      </c>
      <c r="L15" t="n">
        <v>1140</v>
      </c>
      <c r="M15" t="n">
        <v>1000</v>
      </c>
      <c r="N15" t="n">
        <v>1070</v>
      </c>
      <c r="O15" t="n">
        <v>1140</v>
      </c>
      <c r="P15" t="n">
        <v>1210</v>
      </c>
      <c r="Q15" t="n">
        <v>1280</v>
      </c>
      <c r="R15" t="n">
        <v>1350</v>
      </c>
      <c r="S15" t="n">
        <v>1420</v>
      </c>
      <c r="T15" t="n">
        <v>1490</v>
      </c>
      <c r="U15" t="n">
        <v>1560</v>
      </c>
      <c r="V15" t="n">
        <v>1130</v>
      </c>
      <c r="W15" t="n">
        <v>1056</v>
      </c>
      <c r="X15" t="n">
        <v>1042</v>
      </c>
      <c r="Y15" t="n">
        <v>1700</v>
      </c>
    </row>
    <row r="16">
      <c r="A16" t="n">
        <v>15</v>
      </c>
      <c r="B16" t="n">
        <v>0</v>
      </c>
      <c r="C16" t="n">
        <v>1239</v>
      </c>
      <c r="D16" t="n">
        <v>1326</v>
      </c>
      <c r="E16" t="n">
        <v>1518</v>
      </c>
      <c r="F16" t="n">
        <v>1739</v>
      </c>
      <c r="G16" t="n">
        <v>1988</v>
      </c>
      <c r="H16" t="n">
        <v>2270</v>
      </c>
      <c r="I16" t="n">
        <v>2589</v>
      </c>
      <c r="J16" t="n">
        <v>1150</v>
      </c>
      <c r="K16" t="n">
        <v>1326</v>
      </c>
      <c r="L16" t="n">
        <v>1150</v>
      </c>
      <c r="M16" t="n">
        <v>1000</v>
      </c>
      <c r="N16" t="n">
        <v>1075</v>
      </c>
      <c r="O16" t="n">
        <v>1150</v>
      </c>
      <c r="P16" t="n">
        <v>1225</v>
      </c>
      <c r="Q16" t="n">
        <v>1300</v>
      </c>
      <c r="R16" t="n">
        <v>1375</v>
      </c>
      <c r="S16" t="n">
        <v>1450</v>
      </c>
      <c r="T16" t="n">
        <v>1525</v>
      </c>
      <c r="U16" t="n">
        <v>1600</v>
      </c>
      <c r="V16" t="n">
        <v>1140</v>
      </c>
      <c r="W16" t="n">
        <v>1060</v>
      </c>
      <c r="X16" t="n">
        <v>1045</v>
      </c>
      <c r="Y16" t="n">
        <v>1750</v>
      </c>
    </row>
    <row r="17">
      <c r="A17" t="n">
        <v>16</v>
      </c>
      <c r="B17" t="n">
        <v>0</v>
      </c>
      <c r="C17" t="n">
        <v>1258</v>
      </c>
      <c r="D17" t="n">
        <v>1353</v>
      </c>
      <c r="E17" t="n">
        <v>1564</v>
      </c>
      <c r="F17" t="n">
        <v>1809</v>
      </c>
      <c r="G17" t="n">
        <v>2088</v>
      </c>
      <c r="H17" t="n">
        <v>2407</v>
      </c>
      <c r="I17" t="n">
        <v>2771</v>
      </c>
      <c r="J17" t="n">
        <v>1160</v>
      </c>
      <c r="K17" t="n">
        <v>1353</v>
      </c>
      <c r="L17" t="n">
        <v>1160</v>
      </c>
      <c r="M17" t="n">
        <v>1000</v>
      </c>
      <c r="N17" t="n">
        <v>1080</v>
      </c>
      <c r="O17" t="n">
        <v>1160</v>
      </c>
      <c r="P17" t="n">
        <v>1240</v>
      </c>
      <c r="Q17" t="n">
        <v>1320</v>
      </c>
      <c r="R17" t="n">
        <v>1400</v>
      </c>
      <c r="S17" t="n">
        <v>1480</v>
      </c>
      <c r="T17" t="n">
        <v>1560</v>
      </c>
      <c r="U17" t="n">
        <v>1640</v>
      </c>
      <c r="V17" t="n">
        <v>1150</v>
      </c>
      <c r="W17" t="n">
        <v>1064</v>
      </c>
      <c r="X17" t="n">
        <v>1048</v>
      </c>
      <c r="Y17" t="n">
        <v>1800</v>
      </c>
    </row>
    <row r="18">
      <c r="A18" t="n">
        <v>17</v>
      </c>
      <c r="B18" t="n">
        <v>0</v>
      </c>
      <c r="C18" t="n">
        <v>1277</v>
      </c>
      <c r="D18" t="n">
        <v>1381</v>
      </c>
      <c r="E18" t="n">
        <v>1611</v>
      </c>
      <c r="F18" t="n">
        <v>1882</v>
      </c>
      <c r="G18" t="n">
        <v>2193</v>
      </c>
      <c r="H18" t="n">
        <v>2552</v>
      </c>
      <c r="I18" t="n">
        <v>2965</v>
      </c>
      <c r="J18" t="n">
        <v>1170</v>
      </c>
      <c r="K18" t="n">
        <v>1381</v>
      </c>
      <c r="L18" t="n">
        <v>1170</v>
      </c>
      <c r="M18" t="n">
        <v>1000</v>
      </c>
      <c r="N18" t="n">
        <v>1085</v>
      </c>
      <c r="O18" t="n">
        <v>1170</v>
      </c>
      <c r="P18" t="n">
        <v>1255</v>
      </c>
      <c r="Q18" t="n">
        <v>1340</v>
      </c>
      <c r="R18" t="n">
        <v>1425</v>
      </c>
      <c r="S18" t="n">
        <v>1510</v>
      </c>
      <c r="T18" t="n">
        <v>1595</v>
      </c>
      <c r="U18" t="n">
        <v>1680</v>
      </c>
      <c r="V18" t="n">
        <v>1160</v>
      </c>
      <c r="W18" t="n">
        <v>1068</v>
      </c>
      <c r="X18" t="n">
        <v>1051</v>
      </c>
      <c r="Y18" t="n">
        <v>1850</v>
      </c>
    </row>
    <row r="19">
      <c r="A19" t="n">
        <v>18</v>
      </c>
      <c r="B19" t="n">
        <v>0</v>
      </c>
      <c r="C19" t="n">
        <v>1297</v>
      </c>
      <c r="D19" t="n">
        <v>1409</v>
      </c>
      <c r="E19" t="n">
        <v>1660</v>
      </c>
      <c r="F19" t="n">
        <v>1958</v>
      </c>
      <c r="G19" t="n">
        <v>2303</v>
      </c>
      <c r="H19" t="n">
        <v>2706</v>
      </c>
      <c r="I19" t="n">
        <v>3173</v>
      </c>
      <c r="J19" t="n">
        <v>1180</v>
      </c>
      <c r="K19" t="n">
        <v>1409</v>
      </c>
      <c r="L19" t="n">
        <v>1180</v>
      </c>
      <c r="M19" t="n">
        <v>1000</v>
      </c>
      <c r="N19" t="n">
        <v>1090</v>
      </c>
      <c r="O19" t="n">
        <v>1180</v>
      </c>
      <c r="P19" t="n">
        <v>1270</v>
      </c>
      <c r="Q19" t="n">
        <v>1360</v>
      </c>
      <c r="R19" t="n">
        <v>1450</v>
      </c>
      <c r="S19" t="n">
        <v>1540</v>
      </c>
      <c r="T19" t="n">
        <v>1630</v>
      </c>
      <c r="U19" t="n">
        <v>1720</v>
      </c>
      <c r="V19" t="n">
        <v>1170</v>
      </c>
      <c r="W19" t="n">
        <v>1072</v>
      </c>
      <c r="X19" t="n">
        <v>1054</v>
      </c>
      <c r="Y19" t="n">
        <v>1900</v>
      </c>
    </row>
    <row r="20">
      <c r="A20" t="n">
        <v>19</v>
      </c>
      <c r="B20" t="n">
        <v>0</v>
      </c>
      <c r="C20" t="n">
        <v>1317</v>
      </c>
      <c r="D20" t="n">
        <v>1438</v>
      </c>
      <c r="E20" t="n">
        <v>1710</v>
      </c>
      <c r="F20" t="n">
        <v>2037</v>
      </c>
      <c r="G20" t="n">
        <v>2419</v>
      </c>
      <c r="H20" t="n">
        <v>2869</v>
      </c>
      <c r="I20" t="n">
        <v>3396</v>
      </c>
      <c r="J20" t="n">
        <v>1190</v>
      </c>
      <c r="K20" t="n">
        <v>1438</v>
      </c>
      <c r="L20" t="n">
        <v>1190</v>
      </c>
      <c r="M20" t="n">
        <v>1000</v>
      </c>
      <c r="N20" t="n">
        <v>1095</v>
      </c>
      <c r="O20" t="n">
        <v>1190</v>
      </c>
      <c r="P20" t="n">
        <v>1285</v>
      </c>
      <c r="Q20" t="n">
        <v>1380</v>
      </c>
      <c r="R20" t="n">
        <v>1475</v>
      </c>
      <c r="S20" t="n">
        <v>1570</v>
      </c>
      <c r="T20" t="n">
        <v>1665</v>
      </c>
      <c r="U20" t="n">
        <v>1760</v>
      </c>
      <c r="V20" t="n">
        <v>1180</v>
      </c>
      <c r="W20" t="n">
        <v>1076</v>
      </c>
      <c r="X20" t="n">
        <v>1057</v>
      </c>
      <c r="Y20" t="n">
        <v>1950</v>
      </c>
    </row>
    <row r="21">
      <c r="A21" t="n">
        <v>20</v>
      </c>
      <c r="B21" t="n">
        <v>0</v>
      </c>
      <c r="C21" t="n">
        <v>1337</v>
      </c>
      <c r="D21" t="n">
        <v>1467</v>
      </c>
      <c r="E21" t="n">
        <v>1762</v>
      </c>
      <c r="F21" t="n">
        <v>2119</v>
      </c>
      <c r="G21" t="n">
        <v>2540</v>
      </c>
      <c r="H21" t="n">
        <v>3042</v>
      </c>
      <c r="I21" t="n">
        <v>3634</v>
      </c>
      <c r="J21" t="n">
        <v>1200</v>
      </c>
      <c r="K21" t="n">
        <v>1467</v>
      </c>
      <c r="L21" t="n">
        <v>1200</v>
      </c>
      <c r="M21" t="n">
        <v>1000</v>
      </c>
      <c r="N21" t="n">
        <v>1100</v>
      </c>
      <c r="O21" t="n">
        <v>1200</v>
      </c>
      <c r="P21" t="n">
        <v>1300</v>
      </c>
      <c r="Q21" t="n">
        <v>1400</v>
      </c>
      <c r="R21" t="n">
        <v>1500</v>
      </c>
      <c r="S21" t="n">
        <v>1600</v>
      </c>
      <c r="T21" t="n">
        <v>1700</v>
      </c>
      <c r="U21" t="n">
        <v>1800</v>
      </c>
      <c r="V21" t="n">
        <v>1190</v>
      </c>
      <c r="W21" t="n">
        <v>1080</v>
      </c>
      <c r="X21" t="n">
        <v>1060</v>
      </c>
      <c r="Y21" t="n">
        <v>2000</v>
      </c>
    </row>
    <row r="22">
      <c r="A22" t="n">
        <v>21</v>
      </c>
      <c r="B22" t="n">
        <v>0</v>
      </c>
      <c r="C22" t="n">
        <v>1358</v>
      </c>
      <c r="D22" t="n">
        <v>1497</v>
      </c>
      <c r="E22" t="n">
        <v>1815</v>
      </c>
      <c r="F22" t="n">
        <v>2204</v>
      </c>
      <c r="G22" t="n">
        <v>2667</v>
      </c>
      <c r="H22" t="n">
        <v>3225</v>
      </c>
      <c r="I22" t="n">
        <v>3889</v>
      </c>
      <c r="J22" t="n">
        <v>1210</v>
      </c>
      <c r="K22" t="n">
        <v>1497</v>
      </c>
      <c r="L22" t="n">
        <v>1210</v>
      </c>
      <c r="M22" t="n">
        <v>1000</v>
      </c>
      <c r="N22" t="n">
        <v>1105</v>
      </c>
      <c r="O22" t="n">
        <v>1210</v>
      </c>
      <c r="P22" t="n">
        <v>1315</v>
      </c>
      <c r="Q22" t="n">
        <v>1420</v>
      </c>
      <c r="R22" t="n">
        <v>1525</v>
      </c>
      <c r="S22" t="n">
        <v>1630</v>
      </c>
      <c r="T22" t="n">
        <v>1735</v>
      </c>
      <c r="U22" t="n">
        <v>1840</v>
      </c>
      <c r="V22" t="n">
        <v>1200</v>
      </c>
      <c r="W22" t="n">
        <v>1084</v>
      </c>
      <c r="X22" t="n">
        <v>1063</v>
      </c>
      <c r="Y22" t="n">
        <v>2050</v>
      </c>
    </row>
    <row r="23">
      <c r="A23" t="n">
        <v>22</v>
      </c>
      <c r="B23" t="n">
        <v>0</v>
      </c>
      <c r="C23" t="n">
        <v>1379</v>
      </c>
      <c r="D23" t="n">
        <v>1527</v>
      </c>
      <c r="E23" t="n">
        <v>1870</v>
      </c>
      <c r="F23" t="n">
        <v>2293</v>
      </c>
      <c r="G23" t="n">
        <v>2801</v>
      </c>
      <c r="H23" t="n">
        <v>3419</v>
      </c>
      <c r="I23" t="n">
        <v>4162</v>
      </c>
      <c r="J23" t="n">
        <v>1220</v>
      </c>
      <c r="K23" t="n">
        <v>1527</v>
      </c>
      <c r="L23" t="n">
        <v>1220</v>
      </c>
      <c r="M23" t="n">
        <v>1000</v>
      </c>
      <c r="N23" t="n">
        <v>1110</v>
      </c>
      <c r="O23" t="n">
        <v>1220</v>
      </c>
      <c r="P23" t="n">
        <v>1330</v>
      </c>
      <c r="Q23" t="n">
        <v>1440</v>
      </c>
      <c r="R23" t="n">
        <v>1550</v>
      </c>
      <c r="S23" t="n">
        <v>1660</v>
      </c>
      <c r="T23" t="n">
        <v>1770</v>
      </c>
      <c r="U23" t="n">
        <v>1880</v>
      </c>
      <c r="V23" t="n">
        <v>1211</v>
      </c>
      <c r="W23" t="n">
        <v>1088</v>
      </c>
      <c r="X23" t="n">
        <v>1066</v>
      </c>
      <c r="Y23" t="n">
        <v>2100</v>
      </c>
    </row>
    <row r="24">
      <c r="A24" t="n">
        <v>23</v>
      </c>
      <c r="B24" t="n">
        <v>0</v>
      </c>
      <c r="C24" t="n">
        <v>1400</v>
      </c>
      <c r="D24" t="n">
        <v>1558</v>
      </c>
      <c r="E24" t="n">
        <v>1927</v>
      </c>
      <c r="F24" t="n">
        <v>2385</v>
      </c>
      <c r="G24" t="n">
        <v>2942</v>
      </c>
      <c r="H24" t="n">
        <v>3625</v>
      </c>
      <c r="I24" t="n">
        <v>4454</v>
      </c>
      <c r="J24" t="n">
        <v>1230</v>
      </c>
      <c r="K24" t="n">
        <v>1558</v>
      </c>
      <c r="L24" t="n">
        <v>1230</v>
      </c>
      <c r="M24" t="n">
        <v>1000</v>
      </c>
      <c r="N24" t="n">
        <v>1115</v>
      </c>
      <c r="O24" t="n">
        <v>1230</v>
      </c>
      <c r="P24" t="n">
        <v>1345</v>
      </c>
      <c r="Q24" t="n">
        <v>1460</v>
      </c>
      <c r="R24" t="n">
        <v>1575</v>
      </c>
      <c r="S24" t="n">
        <v>1690</v>
      </c>
      <c r="T24" t="n">
        <v>1805</v>
      </c>
      <c r="U24" t="n">
        <v>1920</v>
      </c>
      <c r="V24" t="n">
        <v>1222</v>
      </c>
      <c r="W24" t="n">
        <v>1092</v>
      </c>
      <c r="X24" t="n">
        <v>1069</v>
      </c>
      <c r="Y24" t="n">
        <v>2150</v>
      </c>
    </row>
    <row r="25">
      <c r="A25" t="n">
        <v>24</v>
      </c>
      <c r="B25" t="n">
        <v>0</v>
      </c>
      <c r="C25" t="n">
        <v>1421</v>
      </c>
      <c r="D25" t="n">
        <v>1590</v>
      </c>
      <c r="E25" t="n">
        <v>1985</v>
      </c>
      <c r="F25" t="n">
        <v>2481</v>
      </c>
      <c r="G25" t="n">
        <v>3090</v>
      </c>
      <c r="H25" t="n">
        <v>3843</v>
      </c>
      <c r="I25" t="n">
        <v>4766</v>
      </c>
      <c r="J25" t="n">
        <v>1240</v>
      </c>
      <c r="K25" t="n">
        <v>1590</v>
      </c>
      <c r="L25" t="n">
        <v>1240</v>
      </c>
      <c r="M25" t="n">
        <v>1000</v>
      </c>
      <c r="N25" t="n">
        <v>1120</v>
      </c>
      <c r="O25" t="n">
        <v>1240</v>
      </c>
      <c r="P25" t="n">
        <v>1360</v>
      </c>
      <c r="Q25" t="n">
        <v>1480</v>
      </c>
      <c r="R25" t="n">
        <v>1600</v>
      </c>
      <c r="S25" t="n">
        <v>1720</v>
      </c>
      <c r="T25" t="n">
        <v>1840</v>
      </c>
      <c r="U25" t="n">
        <v>1960</v>
      </c>
      <c r="V25" t="n">
        <v>1233</v>
      </c>
      <c r="W25" t="n">
        <v>1096</v>
      </c>
      <c r="X25" t="n">
        <v>1072</v>
      </c>
      <c r="Y25" t="n">
        <v>2200</v>
      </c>
    </row>
    <row r="26">
      <c r="A26" t="n">
        <v>25</v>
      </c>
      <c r="B26" t="n">
        <v>0</v>
      </c>
      <c r="C26" t="n">
        <v>1443</v>
      </c>
      <c r="D26" t="n">
        <v>1622</v>
      </c>
      <c r="E26" t="n">
        <v>2045</v>
      </c>
      <c r="F26" t="n">
        <v>2581</v>
      </c>
      <c r="G26" t="n">
        <v>3245</v>
      </c>
      <c r="H26" t="n">
        <v>4074</v>
      </c>
      <c r="I26" t="n">
        <v>5100</v>
      </c>
      <c r="J26" t="n">
        <v>1250</v>
      </c>
      <c r="K26" t="n">
        <v>1622</v>
      </c>
      <c r="L26" t="n">
        <v>1250</v>
      </c>
      <c r="M26" t="n">
        <v>1000</v>
      </c>
      <c r="N26" t="n">
        <v>1125</v>
      </c>
      <c r="O26" t="n">
        <v>1250</v>
      </c>
      <c r="P26" t="n">
        <v>1375</v>
      </c>
      <c r="Q26" t="n">
        <v>1500</v>
      </c>
      <c r="R26" t="n">
        <v>1625</v>
      </c>
      <c r="S26" t="n">
        <v>1750</v>
      </c>
      <c r="T26" t="n">
        <v>1875</v>
      </c>
      <c r="U26" t="n">
        <v>2000</v>
      </c>
      <c r="V26" t="n">
        <v>1244</v>
      </c>
      <c r="W26" t="n">
        <v>1100</v>
      </c>
      <c r="X26" t="n">
        <v>1075</v>
      </c>
      <c r="Y26" t="n">
        <v>2250</v>
      </c>
    </row>
    <row r="27">
      <c r="A27" t="n">
        <v>26</v>
      </c>
      <c r="B27" t="n">
        <v>0</v>
      </c>
      <c r="C27" t="n">
        <v>1465</v>
      </c>
      <c r="D27" t="n">
        <v>1655</v>
      </c>
      <c r="E27" t="n">
        <v>2107</v>
      </c>
      <c r="F27" t="n">
        <v>2685</v>
      </c>
      <c r="G27" t="n">
        <v>3408</v>
      </c>
      <c r="H27" t="n">
        <v>4319</v>
      </c>
      <c r="I27" t="n">
        <v>5457</v>
      </c>
      <c r="J27" t="n">
        <v>1260</v>
      </c>
      <c r="K27" t="n">
        <v>1655</v>
      </c>
      <c r="L27" t="n">
        <v>1260</v>
      </c>
      <c r="M27" t="n">
        <v>1000</v>
      </c>
      <c r="N27" t="n">
        <v>1130</v>
      </c>
      <c r="O27" t="n">
        <v>1260</v>
      </c>
      <c r="P27" t="n">
        <v>1390</v>
      </c>
      <c r="Q27" t="n">
        <v>1520</v>
      </c>
      <c r="R27" t="n">
        <v>1650</v>
      </c>
      <c r="S27" t="n">
        <v>1780</v>
      </c>
      <c r="T27" t="n">
        <v>1910</v>
      </c>
      <c r="U27" t="n">
        <v>2040</v>
      </c>
      <c r="V27" t="n">
        <v>1255</v>
      </c>
      <c r="W27" t="n">
        <v>1104</v>
      </c>
      <c r="X27" t="n">
        <v>1078</v>
      </c>
      <c r="Y27" t="n">
        <v>2300</v>
      </c>
    </row>
    <row r="28">
      <c r="A28" t="n">
        <v>27</v>
      </c>
      <c r="B28" t="n">
        <v>0</v>
      </c>
      <c r="C28" t="n">
        <v>1487</v>
      </c>
      <c r="D28" t="n">
        <v>1689</v>
      </c>
      <c r="E28" t="n">
        <v>2171</v>
      </c>
      <c r="F28" t="n">
        <v>2793</v>
      </c>
      <c r="G28" t="n">
        <v>3579</v>
      </c>
      <c r="H28" t="n">
        <v>4579</v>
      </c>
      <c r="I28" t="n">
        <v>5839</v>
      </c>
      <c r="J28" t="n">
        <v>1270</v>
      </c>
      <c r="K28" t="n">
        <v>1689</v>
      </c>
      <c r="L28" t="n">
        <v>1270</v>
      </c>
      <c r="M28" t="n">
        <v>1000</v>
      </c>
      <c r="N28" t="n">
        <v>1135</v>
      </c>
      <c r="O28" t="n">
        <v>1270</v>
      </c>
      <c r="P28" t="n">
        <v>1405</v>
      </c>
      <c r="Q28" t="n">
        <v>1540</v>
      </c>
      <c r="R28" t="n">
        <v>1675</v>
      </c>
      <c r="S28" t="n">
        <v>1810</v>
      </c>
      <c r="T28" t="n">
        <v>1945</v>
      </c>
      <c r="U28" t="n">
        <v>2080</v>
      </c>
      <c r="V28" t="n">
        <v>1266</v>
      </c>
      <c r="W28" t="n">
        <v>1108</v>
      </c>
      <c r="X28" t="n">
        <v>1081</v>
      </c>
      <c r="Y28" t="n">
        <v>2350</v>
      </c>
    </row>
    <row r="29">
      <c r="A29" t="n">
        <v>28</v>
      </c>
      <c r="B29" t="n">
        <v>0</v>
      </c>
      <c r="C29" t="n">
        <v>1510</v>
      </c>
      <c r="D29" t="n">
        <v>1723</v>
      </c>
      <c r="E29" t="n">
        <v>2237</v>
      </c>
      <c r="F29" t="n">
        <v>2905</v>
      </c>
      <c r="G29" t="n">
        <v>3758</v>
      </c>
      <c r="H29" t="n">
        <v>4854</v>
      </c>
      <c r="I29" t="n">
        <v>6248</v>
      </c>
      <c r="J29" t="n">
        <v>1280</v>
      </c>
      <c r="K29" t="n">
        <v>1723</v>
      </c>
      <c r="L29" t="n">
        <v>1280</v>
      </c>
      <c r="M29" t="n">
        <v>1000</v>
      </c>
      <c r="N29" t="n">
        <v>1140</v>
      </c>
      <c r="O29" t="n">
        <v>1280</v>
      </c>
      <c r="P29" t="n">
        <v>1420</v>
      </c>
      <c r="Q29" t="n">
        <v>1560</v>
      </c>
      <c r="R29" t="n">
        <v>1700</v>
      </c>
      <c r="S29" t="n">
        <v>1840</v>
      </c>
      <c r="T29" t="n">
        <v>1980</v>
      </c>
      <c r="U29" t="n">
        <v>2120</v>
      </c>
      <c r="V29" t="n">
        <v>1277</v>
      </c>
      <c r="W29" t="n">
        <v>1112</v>
      </c>
      <c r="X29" t="n">
        <v>1084</v>
      </c>
      <c r="Y29" t="n">
        <v>2400</v>
      </c>
    </row>
    <row r="30">
      <c r="A30" t="n">
        <v>29</v>
      </c>
      <c r="B30" t="n">
        <v>0</v>
      </c>
      <c r="C30" t="n">
        <v>1533</v>
      </c>
      <c r="D30" t="n">
        <v>1758</v>
      </c>
      <c r="E30" t="n">
        <v>2305</v>
      </c>
      <c r="F30" t="n">
        <v>3022</v>
      </c>
      <c r="G30" t="n">
        <v>3946</v>
      </c>
      <c r="H30" t="n">
        <v>5146</v>
      </c>
      <c r="I30" t="n">
        <v>6686</v>
      </c>
      <c r="J30" t="n">
        <v>1290</v>
      </c>
      <c r="K30" t="n">
        <v>1758</v>
      </c>
      <c r="L30" t="n">
        <v>1290</v>
      </c>
      <c r="M30" t="n">
        <v>1000</v>
      </c>
      <c r="N30" t="n">
        <v>1145</v>
      </c>
      <c r="O30" t="n">
        <v>1290</v>
      </c>
      <c r="P30" t="n">
        <v>1435</v>
      </c>
      <c r="Q30" t="n">
        <v>1580</v>
      </c>
      <c r="R30" t="n">
        <v>1725</v>
      </c>
      <c r="S30" t="n">
        <v>1870</v>
      </c>
      <c r="T30" t="n">
        <v>2015</v>
      </c>
      <c r="U30" t="n">
        <v>2160</v>
      </c>
      <c r="V30" t="n">
        <v>1288</v>
      </c>
      <c r="W30" t="n">
        <v>1116</v>
      </c>
      <c r="X30" t="n">
        <v>1087</v>
      </c>
      <c r="Y30" t="n">
        <v>2450</v>
      </c>
    </row>
    <row r="31">
      <c r="A31" t="n">
        <v>30</v>
      </c>
      <c r="B31" t="n">
        <v>0</v>
      </c>
      <c r="C31" t="n">
        <v>1556</v>
      </c>
      <c r="D31" t="n">
        <v>1794</v>
      </c>
      <c r="E31" t="n">
        <v>2375</v>
      </c>
      <c r="F31" t="n">
        <v>3143</v>
      </c>
      <c r="G31" t="n">
        <v>4144</v>
      </c>
      <c r="H31" t="n">
        <v>5455</v>
      </c>
      <c r="I31" t="n">
        <v>7155</v>
      </c>
      <c r="J31" t="n">
        <v>1300</v>
      </c>
      <c r="K31" t="n">
        <v>1794</v>
      </c>
      <c r="L31" t="n">
        <v>1300</v>
      </c>
      <c r="M31" t="n">
        <v>1000</v>
      </c>
      <c r="N31" t="n">
        <v>1150</v>
      </c>
      <c r="O31" t="n">
        <v>1300</v>
      </c>
      <c r="P31" t="n">
        <v>1450</v>
      </c>
      <c r="Q31" t="n">
        <v>1600</v>
      </c>
      <c r="R31" t="n">
        <v>1750</v>
      </c>
      <c r="S31" t="n">
        <v>1900</v>
      </c>
      <c r="T31" t="n">
        <v>2050</v>
      </c>
      <c r="U31" t="n">
        <v>2200</v>
      </c>
      <c r="V31" t="n">
        <v>1299</v>
      </c>
      <c r="W31" t="n">
        <v>1120</v>
      </c>
      <c r="X31" t="n">
        <v>1090</v>
      </c>
      <c r="Y31" t="n">
        <v>2500</v>
      </c>
    </row>
    <row r="32">
      <c r="A32" t="n">
        <v>31</v>
      </c>
      <c r="B32" t="n">
        <v>0</v>
      </c>
      <c r="C32" t="n">
        <v>1580</v>
      </c>
      <c r="D32" t="n">
        <v>1830</v>
      </c>
      <c r="E32" t="n">
        <v>2447</v>
      </c>
      <c r="F32" t="n">
        <v>3269</v>
      </c>
      <c r="G32" t="n">
        <v>4352</v>
      </c>
      <c r="H32" t="n">
        <v>5783</v>
      </c>
      <c r="I32" t="n">
        <v>7656</v>
      </c>
      <c r="J32" t="n">
        <v>1310</v>
      </c>
      <c r="K32" t="n">
        <v>1830</v>
      </c>
      <c r="L32" t="n">
        <v>1310</v>
      </c>
      <c r="M32" t="n">
        <v>1000</v>
      </c>
      <c r="N32" t="n">
        <v>1155</v>
      </c>
      <c r="O32" t="n">
        <v>1310</v>
      </c>
      <c r="P32" t="n">
        <v>1465</v>
      </c>
      <c r="Q32" t="n">
        <v>1620</v>
      </c>
      <c r="R32" t="n">
        <v>1775</v>
      </c>
      <c r="S32" t="n">
        <v>1930</v>
      </c>
      <c r="T32" t="n">
        <v>2085</v>
      </c>
      <c r="U32" t="n">
        <v>2240</v>
      </c>
      <c r="V32" t="n">
        <v>1310</v>
      </c>
      <c r="W32" t="n">
        <v>1124</v>
      </c>
      <c r="X32" t="n">
        <v>1093</v>
      </c>
      <c r="Y32" t="n">
        <v>2550</v>
      </c>
    </row>
    <row r="33">
      <c r="A33" t="n">
        <v>32</v>
      </c>
      <c r="B33" t="n">
        <v>0</v>
      </c>
      <c r="C33" t="n">
        <v>1604</v>
      </c>
      <c r="D33" t="n">
        <v>1867</v>
      </c>
      <c r="E33" t="n">
        <v>2521</v>
      </c>
      <c r="F33" t="n">
        <v>3400</v>
      </c>
      <c r="G33" t="n">
        <v>4570</v>
      </c>
      <c r="H33" t="n">
        <v>6130</v>
      </c>
      <c r="I33" t="n">
        <v>8192</v>
      </c>
      <c r="J33" t="n">
        <v>1320</v>
      </c>
      <c r="K33" t="n">
        <v>1867</v>
      </c>
      <c r="L33" t="n">
        <v>1320</v>
      </c>
      <c r="M33" t="n">
        <v>1000</v>
      </c>
      <c r="N33" t="n">
        <v>1160</v>
      </c>
      <c r="O33" t="n">
        <v>1320</v>
      </c>
      <c r="P33" t="n">
        <v>1480</v>
      </c>
      <c r="Q33" t="n">
        <v>1640</v>
      </c>
      <c r="R33" t="n">
        <v>1800</v>
      </c>
      <c r="S33" t="n">
        <v>1960</v>
      </c>
      <c r="T33" t="n">
        <v>2120</v>
      </c>
      <c r="U33" t="n">
        <v>2280</v>
      </c>
      <c r="V33" t="n">
        <v>1321</v>
      </c>
      <c r="W33" t="n">
        <v>1128</v>
      </c>
      <c r="X33" t="n">
        <v>1096</v>
      </c>
      <c r="Y33" t="n">
        <v>2600</v>
      </c>
    </row>
    <row r="34">
      <c r="A34" t="n">
        <v>33</v>
      </c>
      <c r="B34" t="n">
        <v>0</v>
      </c>
      <c r="C34" t="n">
        <v>1629</v>
      </c>
      <c r="D34" t="n">
        <v>1905</v>
      </c>
      <c r="E34" t="n">
        <v>2597</v>
      </c>
      <c r="F34" t="n">
        <v>3536</v>
      </c>
      <c r="G34" t="n">
        <v>4799</v>
      </c>
      <c r="H34" t="n">
        <v>6498</v>
      </c>
      <c r="I34" t="n">
        <v>8766</v>
      </c>
      <c r="J34" t="n">
        <v>1330</v>
      </c>
      <c r="K34" t="n">
        <v>1905</v>
      </c>
      <c r="L34" t="n">
        <v>1330</v>
      </c>
      <c r="M34" t="n">
        <v>1000</v>
      </c>
      <c r="N34" t="n">
        <v>1165</v>
      </c>
      <c r="O34" t="n">
        <v>1330</v>
      </c>
      <c r="P34" t="n">
        <v>1495</v>
      </c>
      <c r="Q34" t="n">
        <v>1660</v>
      </c>
      <c r="R34" t="n">
        <v>1825</v>
      </c>
      <c r="S34" t="n">
        <v>1990</v>
      </c>
      <c r="T34" t="n">
        <v>2155</v>
      </c>
      <c r="U34" t="n">
        <v>2320</v>
      </c>
      <c r="V34" t="n">
        <v>1332</v>
      </c>
      <c r="W34" t="n">
        <v>1132</v>
      </c>
      <c r="X34" t="n">
        <v>1099</v>
      </c>
      <c r="Y34" t="n">
        <v>2650</v>
      </c>
    </row>
    <row r="35">
      <c r="A35" t="n">
        <v>34</v>
      </c>
      <c r="B35" t="n">
        <v>0</v>
      </c>
      <c r="C35" t="n">
        <v>1654</v>
      </c>
      <c r="D35" t="n">
        <v>1944</v>
      </c>
      <c r="E35" t="n">
        <v>2675</v>
      </c>
      <c r="F35" t="n">
        <v>3678</v>
      </c>
      <c r="G35" t="n">
        <v>5039</v>
      </c>
      <c r="H35" t="n">
        <v>6888</v>
      </c>
      <c r="I35" t="n">
        <v>9380</v>
      </c>
      <c r="J35" t="n">
        <v>1340</v>
      </c>
      <c r="K35" t="n">
        <v>1944</v>
      </c>
      <c r="L35" t="n">
        <v>1340</v>
      </c>
      <c r="M35" t="n">
        <v>1000</v>
      </c>
      <c r="N35" t="n">
        <v>1170</v>
      </c>
      <c r="O35" t="n">
        <v>1340</v>
      </c>
      <c r="P35" t="n">
        <v>1510</v>
      </c>
      <c r="Q35" t="n">
        <v>1680</v>
      </c>
      <c r="R35" t="n">
        <v>1850</v>
      </c>
      <c r="S35" t="n">
        <v>2020</v>
      </c>
      <c r="T35" t="n">
        <v>2190</v>
      </c>
      <c r="U35" t="n">
        <v>2360</v>
      </c>
      <c r="V35" t="n">
        <v>1343</v>
      </c>
      <c r="W35" t="n">
        <v>1136</v>
      </c>
      <c r="X35" t="n">
        <v>1102</v>
      </c>
      <c r="Y35" t="n">
        <v>2700</v>
      </c>
    </row>
    <row r="36">
      <c r="A36" t="n">
        <v>35</v>
      </c>
      <c r="B36" t="n">
        <v>0</v>
      </c>
      <c r="C36" t="n">
        <v>1679</v>
      </c>
      <c r="D36" t="n">
        <v>1983</v>
      </c>
      <c r="E36" t="n">
        <v>2756</v>
      </c>
      <c r="F36" t="n">
        <v>3826</v>
      </c>
      <c r="G36" t="n">
        <v>5291</v>
      </c>
      <c r="H36" t="n">
        <v>7302</v>
      </c>
      <c r="I36" t="n">
        <v>10037</v>
      </c>
      <c r="J36" t="n">
        <v>1350</v>
      </c>
      <c r="K36" t="n">
        <v>1983</v>
      </c>
      <c r="L36" t="n">
        <v>1350</v>
      </c>
      <c r="M36" t="n">
        <v>1000</v>
      </c>
      <c r="N36" t="n">
        <v>1175</v>
      </c>
      <c r="O36" t="n">
        <v>1350</v>
      </c>
      <c r="P36" t="n">
        <v>1525</v>
      </c>
      <c r="Q36" t="n">
        <v>1700</v>
      </c>
      <c r="R36" t="n">
        <v>1875</v>
      </c>
      <c r="S36" t="n">
        <v>2050</v>
      </c>
      <c r="T36" t="n">
        <v>2225</v>
      </c>
      <c r="U36" t="n">
        <v>2400</v>
      </c>
      <c r="V36" t="n">
        <v>1354</v>
      </c>
      <c r="W36" t="n">
        <v>1140</v>
      </c>
      <c r="X36" t="n">
        <v>1105</v>
      </c>
      <c r="Y36" t="n">
        <v>2750</v>
      </c>
    </row>
    <row r="37">
      <c r="A37" t="n">
        <v>36</v>
      </c>
      <c r="B37" t="n">
        <v>0</v>
      </c>
      <c r="C37" t="n">
        <v>1705</v>
      </c>
      <c r="D37" t="n">
        <v>2023</v>
      </c>
      <c r="E37" t="n">
        <v>2839</v>
      </c>
      <c r="F37" t="n">
        <v>3980</v>
      </c>
      <c r="G37" t="n">
        <v>5556</v>
      </c>
      <c r="H37" t="n">
        <v>7741</v>
      </c>
      <c r="I37" t="n">
        <v>10740</v>
      </c>
      <c r="J37" t="n">
        <v>1360</v>
      </c>
      <c r="K37" t="n">
        <v>2023</v>
      </c>
      <c r="L37" t="n">
        <v>1360</v>
      </c>
      <c r="M37" t="n">
        <v>1000</v>
      </c>
      <c r="N37" t="n">
        <v>1180</v>
      </c>
      <c r="O37" t="n">
        <v>1360</v>
      </c>
      <c r="P37" t="n">
        <v>1540</v>
      </c>
      <c r="Q37" t="n">
        <v>1720</v>
      </c>
      <c r="R37" t="n">
        <v>1900</v>
      </c>
      <c r="S37" t="n">
        <v>2080</v>
      </c>
      <c r="T37" t="n">
        <v>2260</v>
      </c>
      <c r="U37" t="n">
        <v>2440</v>
      </c>
      <c r="V37" t="n">
        <v>1365</v>
      </c>
      <c r="W37" t="n">
        <v>1144</v>
      </c>
      <c r="X37" t="n">
        <v>1108</v>
      </c>
      <c r="Y37" t="n">
        <v>2800</v>
      </c>
    </row>
    <row r="38">
      <c r="A38" t="n">
        <v>37</v>
      </c>
      <c r="B38" t="n">
        <v>0</v>
      </c>
      <c r="C38" t="n">
        <v>1731</v>
      </c>
      <c r="D38" t="n">
        <v>2064</v>
      </c>
      <c r="E38" t="n">
        <v>2925</v>
      </c>
      <c r="F38" t="n">
        <v>4140</v>
      </c>
      <c r="G38" t="n">
        <v>5834</v>
      </c>
      <c r="H38" t="n">
        <v>8206</v>
      </c>
      <c r="I38" t="n">
        <v>11492</v>
      </c>
      <c r="J38" t="n">
        <v>1370</v>
      </c>
      <c r="K38" t="n">
        <v>2064</v>
      </c>
      <c r="L38" t="n">
        <v>1370</v>
      </c>
      <c r="M38" t="n">
        <v>1000</v>
      </c>
      <c r="N38" t="n">
        <v>1185</v>
      </c>
      <c r="O38" t="n">
        <v>1370</v>
      </c>
      <c r="P38" t="n">
        <v>1555</v>
      </c>
      <c r="Q38" t="n">
        <v>1740</v>
      </c>
      <c r="R38" t="n">
        <v>1925</v>
      </c>
      <c r="S38" t="n">
        <v>2110</v>
      </c>
      <c r="T38" t="n">
        <v>2295</v>
      </c>
      <c r="U38" t="n">
        <v>2480</v>
      </c>
      <c r="V38" t="n">
        <v>1376</v>
      </c>
      <c r="W38" t="n">
        <v>1148</v>
      </c>
      <c r="X38" t="n">
        <v>1111</v>
      </c>
      <c r="Y38" t="n">
        <v>2850</v>
      </c>
    </row>
    <row r="39">
      <c r="A39" t="n">
        <v>38</v>
      </c>
      <c r="B39" t="n">
        <v>0</v>
      </c>
      <c r="C39" t="n">
        <v>1757</v>
      </c>
      <c r="D39" t="n">
        <v>2106</v>
      </c>
      <c r="E39" t="n">
        <v>3013</v>
      </c>
      <c r="F39" t="n">
        <v>4306</v>
      </c>
      <c r="G39" t="n">
        <v>6126</v>
      </c>
      <c r="H39" t="n">
        <v>8699</v>
      </c>
      <c r="I39" t="n">
        <v>12297</v>
      </c>
      <c r="J39" t="n">
        <v>1380</v>
      </c>
      <c r="K39" t="n">
        <v>2106</v>
      </c>
      <c r="L39" t="n">
        <v>1380</v>
      </c>
      <c r="M39" t="n">
        <v>1000</v>
      </c>
      <c r="N39" t="n">
        <v>1190</v>
      </c>
      <c r="O39" t="n">
        <v>1380</v>
      </c>
      <c r="P39" t="n">
        <v>1570</v>
      </c>
      <c r="Q39" t="n">
        <v>1760</v>
      </c>
      <c r="R39" t="n">
        <v>1950</v>
      </c>
      <c r="S39" t="n">
        <v>2140</v>
      </c>
      <c r="T39" t="n">
        <v>2330</v>
      </c>
      <c r="U39" t="n">
        <v>2520</v>
      </c>
      <c r="V39" t="n">
        <v>1387</v>
      </c>
      <c r="W39" t="n">
        <v>1152</v>
      </c>
      <c r="X39" t="n">
        <v>1114</v>
      </c>
      <c r="Y39" t="n">
        <v>2900</v>
      </c>
    </row>
    <row r="40">
      <c r="A40" t="n">
        <v>39</v>
      </c>
      <c r="B40" t="n">
        <v>0</v>
      </c>
      <c r="C40" t="n">
        <v>1784</v>
      </c>
      <c r="D40" t="n">
        <v>2149</v>
      </c>
      <c r="E40" t="n">
        <v>3104</v>
      </c>
      <c r="F40" t="n">
        <v>4479</v>
      </c>
      <c r="G40" t="n">
        <v>6433</v>
      </c>
      <c r="H40" t="n">
        <v>9221</v>
      </c>
      <c r="I40" t="n">
        <v>13158</v>
      </c>
      <c r="J40" t="n">
        <v>1390</v>
      </c>
      <c r="K40" t="n">
        <v>2149</v>
      </c>
      <c r="L40" t="n">
        <v>1390</v>
      </c>
      <c r="M40" t="n">
        <v>1000</v>
      </c>
      <c r="N40" t="n">
        <v>1195</v>
      </c>
      <c r="O40" t="n">
        <v>1390</v>
      </c>
      <c r="P40" t="n">
        <v>1585</v>
      </c>
      <c r="Q40" t="n">
        <v>1780</v>
      </c>
      <c r="R40" t="n">
        <v>1975</v>
      </c>
      <c r="S40" t="n">
        <v>2170</v>
      </c>
      <c r="T40" t="n">
        <v>2365</v>
      </c>
      <c r="U40" t="n">
        <v>2560</v>
      </c>
      <c r="V40" t="n">
        <v>1398</v>
      </c>
      <c r="W40" t="n">
        <v>1156</v>
      </c>
      <c r="X40" t="n">
        <v>1117</v>
      </c>
      <c r="Y40" t="n">
        <v>2950</v>
      </c>
    </row>
    <row r="41">
      <c r="A41" t="n">
        <v>40</v>
      </c>
      <c r="B41" t="n">
        <v>0</v>
      </c>
      <c r="C41" t="n">
        <v>1811</v>
      </c>
      <c r="D41" t="n">
        <v>2192</v>
      </c>
      <c r="E41" t="n">
        <v>3198</v>
      </c>
      <c r="F41" t="n">
        <v>4659</v>
      </c>
      <c r="G41" t="n">
        <v>6755</v>
      </c>
      <c r="H41" t="n">
        <v>9775</v>
      </c>
      <c r="I41" t="n">
        <v>14080</v>
      </c>
      <c r="J41" t="n">
        <v>1400</v>
      </c>
      <c r="K41" t="n">
        <v>2192</v>
      </c>
      <c r="L41" t="n">
        <v>1400</v>
      </c>
      <c r="M41" t="n">
        <v>1000</v>
      </c>
      <c r="N41" t="n">
        <v>1200</v>
      </c>
      <c r="O41" t="n">
        <v>1400</v>
      </c>
      <c r="P41" t="n">
        <v>1600</v>
      </c>
      <c r="Q41" t="n">
        <v>1800</v>
      </c>
      <c r="R41" t="n">
        <v>2000</v>
      </c>
      <c r="S41" t="n">
        <v>2200</v>
      </c>
      <c r="T41" t="n">
        <v>2400</v>
      </c>
      <c r="U41" t="n">
        <v>2600</v>
      </c>
      <c r="V41" t="n">
        <v>1410</v>
      </c>
      <c r="W41" t="n">
        <v>1160</v>
      </c>
      <c r="X41" t="n">
        <v>1120</v>
      </c>
      <c r="Y41" t="n">
        <v>3000</v>
      </c>
    </row>
    <row r="42">
      <c r="A42" t="n">
        <v>41</v>
      </c>
      <c r="B42" t="n">
        <v>0</v>
      </c>
      <c r="C42" t="n">
        <v>1839</v>
      </c>
      <c r="D42" t="n">
        <v>2236</v>
      </c>
      <c r="E42" t="n">
        <v>3294</v>
      </c>
      <c r="F42" t="n">
        <v>4846</v>
      </c>
      <c r="G42" t="n">
        <v>7093</v>
      </c>
      <c r="H42" t="n">
        <v>10362</v>
      </c>
      <c r="I42" t="n">
        <v>15066</v>
      </c>
      <c r="J42" t="n">
        <v>1410</v>
      </c>
      <c r="K42" t="n">
        <v>2236</v>
      </c>
      <c r="L42" t="n">
        <v>1410</v>
      </c>
      <c r="M42" t="n">
        <v>1000</v>
      </c>
      <c r="N42" t="n">
        <v>1205</v>
      </c>
      <c r="O42" t="n">
        <v>1410</v>
      </c>
      <c r="P42" t="n">
        <v>1615</v>
      </c>
      <c r="Q42" t="n">
        <v>1820</v>
      </c>
      <c r="R42" t="n">
        <v>2025</v>
      </c>
      <c r="S42" t="n">
        <v>2230</v>
      </c>
      <c r="T42" t="n">
        <v>2435</v>
      </c>
      <c r="U42" t="n">
        <v>2640</v>
      </c>
      <c r="V42" t="n">
        <v>1422</v>
      </c>
      <c r="W42" t="n">
        <v>1164</v>
      </c>
      <c r="X42" t="n">
        <v>1123</v>
      </c>
      <c r="Y42" t="n">
        <v>3050</v>
      </c>
    </row>
    <row r="43">
      <c r="A43" t="n">
        <v>42</v>
      </c>
      <c r="B43" t="n">
        <v>0</v>
      </c>
      <c r="C43" t="n">
        <v>1867</v>
      </c>
      <c r="D43" t="n">
        <v>2281</v>
      </c>
      <c r="E43" t="n">
        <v>3393</v>
      </c>
      <c r="F43" t="n">
        <v>5040</v>
      </c>
      <c r="G43" t="n">
        <v>7448</v>
      </c>
      <c r="H43" t="n">
        <v>10984</v>
      </c>
      <c r="I43" t="n">
        <v>16121</v>
      </c>
      <c r="J43" t="n">
        <v>1420</v>
      </c>
      <c r="K43" t="n">
        <v>2281</v>
      </c>
      <c r="L43" t="n">
        <v>1420</v>
      </c>
      <c r="M43" t="n">
        <v>1000</v>
      </c>
      <c r="N43" t="n">
        <v>1210</v>
      </c>
      <c r="O43" t="n">
        <v>1420</v>
      </c>
      <c r="P43" t="n">
        <v>1630</v>
      </c>
      <c r="Q43" t="n">
        <v>1840</v>
      </c>
      <c r="R43" t="n">
        <v>2050</v>
      </c>
      <c r="S43" t="n">
        <v>2260</v>
      </c>
      <c r="T43" t="n">
        <v>2470</v>
      </c>
      <c r="U43" t="n">
        <v>2680</v>
      </c>
      <c r="V43" t="n">
        <v>1434</v>
      </c>
      <c r="W43" t="n">
        <v>1168</v>
      </c>
      <c r="X43" t="n">
        <v>1126</v>
      </c>
      <c r="Y43" t="n">
        <v>3100</v>
      </c>
    </row>
    <row r="44">
      <c r="A44" t="n">
        <v>43</v>
      </c>
      <c r="B44" t="n">
        <v>0</v>
      </c>
      <c r="C44" t="n">
        <v>1896</v>
      </c>
      <c r="D44" t="n">
        <v>2327</v>
      </c>
      <c r="E44" t="n">
        <v>3495</v>
      </c>
      <c r="F44" t="n">
        <v>5242</v>
      </c>
      <c r="G44" t="n">
        <v>7821</v>
      </c>
      <c r="H44" t="n">
        <v>11644</v>
      </c>
      <c r="I44" t="n">
        <v>17250</v>
      </c>
      <c r="J44" t="n">
        <v>1430</v>
      </c>
      <c r="K44" t="n">
        <v>2327</v>
      </c>
      <c r="L44" t="n">
        <v>1430</v>
      </c>
      <c r="M44" t="n">
        <v>1000</v>
      </c>
      <c r="N44" t="n">
        <v>1215</v>
      </c>
      <c r="O44" t="n">
        <v>1430</v>
      </c>
      <c r="P44" t="n">
        <v>1645</v>
      </c>
      <c r="Q44" t="n">
        <v>1860</v>
      </c>
      <c r="R44" t="n">
        <v>2075</v>
      </c>
      <c r="S44" t="n">
        <v>2290</v>
      </c>
      <c r="T44" t="n">
        <v>2505</v>
      </c>
      <c r="U44" t="n">
        <v>2720</v>
      </c>
      <c r="V44" t="n">
        <v>1446</v>
      </c>
      <c r="W44" t="n">
        <v>1172</v>
      </c>
      <c r="X44" t="n">
        <v>1129</v>
      </c>
      <c r="Y44" t="n">
        <v>3150</v>
      </c>
    </row>
    <row r="45">
      <c r="A45" t="n">
        <v>44</v>
      </c>
      <c r="B45" t="n">
        <v>0</v>
      </c>
      <c r="C45" t="n">
        <v>1925</v>
      </c>
      <c r="D45" t="n">
        <v>2374</v>
      </c>
      <c r="E45" t="n">
        <v>3600</v>
      </c>
      <c r="F45" t="n">
        <v>5452</v>
      </c>
      <c r="G45" t="n">
        <v>8213</v>
      </c>
      <c r="H45" t="n">
        <v>12343</v>
      </c>
      <c r="I45" t="n">
        <v>18458</v>
      </c>
      <c r="J45" t="n">
        <v>1440</v>
      </c>
      <c r="K45" t="n">
        <v>2374</v>
      </c>
      <c r="L45" t="n">
        <v>1440</v>
      </c>
      <c r="M45" t="n">
        <v>1000</v>
      </c>
      <c r="N45" t="n">
        <v>1220</v>
      </c>
      <c r="O45" t="n">
        <v>1440</v>
      </c>
      <c r="P45" t="n">
        <v>1660</v>
      </c>
      <c r="Q45" t="n">
        <v>1880</v>
      </c>
      <c r="R45" t="n">
        <v>2100</v>
      </c>
      <c r="S45" t="n">
        <v>2320</v>
      </c>
      <c r="T45" t="n">
        <v>2540</v>
      </c>
      <c r="U45" t="n">
        <v>2760</v>
      </c>
      <c r="V45" t="n">
        <v>1458</v>
      </c>
      <c r="W45" t="n">
        <v>1176</v>
      </c>
      <c r="X45" t="n">
        <v>1132</v>
      </c>
      <c r="Y45" t="n">
        <v>3200</v>
      </c>
    </row>
    <row r="46">
      <c r="A46" t="n">
        <v>45</v>
      </c>
      <c r="B46" t="n">
        <v>0</v>
      </c>
      <c r="C46" t="n">
        <v>1954</v>
      </c>
      <c r="D46" t="n">
        <v>2422</v>
      </c>
      <c r="E46" t="n">
        <v>3708</v>
      </c>
      <c r="F46" t="n">
        <v>5671</v>
      </c>
      <c r="G46" t="n">
        <v>8624</v>
      </c>
      <c r="H46" t="n">
        <v>13084</v>
      </c>
      <c r="I46" t="n">
        <v>19751</v>
      </c>
      <c r="J46" t="n">
        <v>1450</v>
      </c>
      <c r="K46" t="n">
        <v>2422</v>
      </c>
      <c r="L46" t="n">
        <v>1450</v>
      </c>
      <c r="M46" t="n">
        <v>1000</v>
      </c>
      <c r="N46" t="n">
        <v>1225</v>
      </c>
      <c r="O46" t="n">
        <v>1450</v>
      </c>
      <c r="P46" t="n">
        <v>1675</v>
      </c>
      <c r="Q46" t="n">
        <v>1900</v>
      </c>
      <c r="R46" t="n">
        <v>2125</v>
      </c>
      <c r="S46" t="n">
        <v>2350</v>
      </c>
      <c r="T46" t="n">
        <v>2575</v>
      </c>
      <c r="U46" t="n">
        <v>2800</v>
      </c>
      <c r="V46" t="n">
        <v>1470</v>
      </c>
      <c r="W46" t="n">
        <v>1180</v>
      </c>
      <c r="X46" t="n">
        <v>1135</v>
      </c>
      <c r="Y46" t="n">
        <v>3250</v>
      </c>
    </row>
    <row r="47">
      <c r="A47" t="n">
        <v>46</v>
      </c>
      <c r="B47" t="n">
        <v>0</v>
      </c>
      <c r="C47" t="n">
        <v>1984</v>
      </c>
      <c r="D47" t="n">
        <v>2471</v>
      </c>
      <c r="E47" t="n">
        <v>3820</v>
      </c>
      <c r="F47" t="n">
        <v>5898</v>
      </c>
      <c r="G47" t="n">
        <v>9056</v>
      </c>
      <c r="H47" t="n">
        <v>13870</v>
      </c>
      <c r="I47" t="n">
        <v>21134</v>
      </c>
      <c r="J47" t="n">
        <v>1460</v>
      </c>
      <c r="K47" t="n">
        <v>2471</v>
      </c>
      <c r="L47" t="n">
        <v>1460</v>
      </c>
      <c r="M47" t="n">
        <v>1000</v>
      </c>
      <c r="N47" t="n">
        <v>1230</v>
      </c>
      <c r="O47" t="n">
        <v>1460</v>
      </c>
      <c r="P47" t="n">
        <v>1690</v>
      </c>
      <c r="Q47" t="n">
        <v>1920</v>
      </c>
      <c r="R47" t="n">
        <v>2150</v>
      </c>
      <c r="S47" t="n">
        <v>2380</v>
      </c>
      <c r="T47" t="n">
        <v>2610</v>
      </c>
      <c r="U47" t="n">
        <v>2840</v>
      </c>
      <c r="V47" t="n">
        <v>1482</v>
      </c>
      <c r="W47" t="n">
        <v>1184</v>
      </c>
      <c r="X47" t="n">
        <v>1138</v>
      </c>
      <c r="Y47" t="n">
        <v>3300</v>
      </c>
    </row>
    <row r="48">
      <c r="A48" t="n">
        <v>47</v>
      </c>
      <c r="B48" t="n">
        <v>0</v>
      </c>
      <c r="C48" t="n">
        <v>2014</v>
      </c>
      <c r="D48" t="n">
        <v>2521</v>
      </c>
      <c r="E48" t="n">
        <v>3935</v>
      </c>
      <c r="F48" t="n">
        <v>6134</v>
      </c>
      <c r="G48" t="n">
        <v>9509</v>
      </c>
      <c r="H48" t="n">
        <v>14703</v>
      </c>
      <c r="I48" t="n">
        <v>22614</v>
      </c>
      <c r="J48" t="n">
        <v>1470</v>
      </c>
      <c r="K48" t="n">
        <v>2521</v>
      </c>
      <c r="L48" t="n">
        <v>1470</v>
      </c>
      <c r="M48" t="n">
        <v>1000</v>
      </c>
      <c r="N48" t="n">
        <v>1235</v>
      </c>
      <c r="O48" t="n">
        <v>1470</v>
      </c>
      <c r="P48" t="n">
        <v>1705</v>
      </c>
      <c r="Q48" t="n">
        <v>1940</v>
      </c>
      <c r="R48" t="n">
        <v>2175</v>
      </c>
      <c r="S48" t="n">
        <v>2410</v>
      </c>
      <c r="T48" t="n">
        <v>2645</v>
      </c>
      <c r="U48" t="n">
        <v>2880</v>
      </c>
      <c r="V48" t="n">
        <v>1494</v>
      </c>
      <c r="W48" t="n">
        <v>1188</v>
      </c>
      <c r="X48" t="n">
        <v>1141</v>
      </c>
      <c r="Y48" t="n">
        <v>3350</v>
      </c>
    </row>
    <row r="49">
      <c r="A49" t="n">
        <v>48</v>
      </c>
      <c r="B49" t="n">
        <v>0</v>
      </c>
      <c r="C49" t="n">
        <v>2045</v>
      </c>
      <c r="D49" t="n">
        <v>2572</v>
      </c>
      <c r="E49" t="n">
        <v>4054</v>
      </c>
      <c r="F49" t="n">
        <v>6380</v>
      </c>
      <c r="G49" t="n">
        <v>9985</v>
      </c>
      <c r="H49" t="n">
        <v>15586</v>
      </c>
      <c r="I49" t="n">
        <v>24197</v>
      </c>
      <c r="J49" t="n">
        <v>1480</v>
      </c>
      <c r="K49" t="n">
        <v>2572</v>
      </c>
      <c r="L49" t="n">
        <v>1480</v>
      </c>
      <c r="M49" t="n">
        <v>1000</v>
      </c>
      <c r="N49" t="n">
        <v>1240</v>
      </c>
      <c r="O49" t="n">
        <v>1480</v>
      </c>
      <c r="P49" t="n">
        <v>1720</v>
      </c>
      <c r="Q49" t="n">
        <v>1960</v>
      </c>
      <c r="R49" t="n">
        <v>2200</v>
      </c>
      <c r="S49" t="n">
        <v>2440</v>
      </c>
      <c r="T49" t="n">
        <v>2680</v>
      </c>
      <c r="U49" t="n">
        <v>2920</v>
      </c>
      <c r="V49" t="n">
        <v>1506</v>
      </c>
      <c r="W49" t="n">
        <v>1192</v>
      </c>
      <c r="X49" t="n">
        <v>1144</v>
      </c>
      <c r="Y49" t="n">
        <v>3400</v>
      </c>
    </row>
    <row r="50">
      <c r="A50" t="n">
        <v>49</v>
      </c>
      <c r="B50" t="n">
        <v>0</v>
      </c>
      <c r="C50" t="n">
        <v>2076</v>
      </c>
      <c r="D50" t="n">
        <v>2624</v>
      </c>
      <c r="E50" t="n">
        <v>4176</v>
      </c>
      <c r="F50" t="n">
        <v>6636</v>
      </c>
      <c r="G50" t="n">
        <v>10485</v>
      </c>
      <c r="H50" t="n">
        <v>16522</v>
      </c>
      <c r="I50" t="n">
        <v>25891</v>
      </c>
      <c r="J50" t="n">
        <v>1490</v>
      </c>
      <c r="K50" t="n">
        <v>2624</v>
      </c>
      <c r="L50" t="n">
        <v>1490</v>
      </c>
      <c r="M50" t="n">
        <v>1000</v>
      </c>
      <c r="N50" t="n">
        <v>1245</v>
      </c>
      <c r="O50" t="n">
        <v>1490</v>
      </c>
      <c r="P50" t="n">
        <v>1735</v>
      </c>
      <c r="Q50" t="n">
        <v>1980</v>
      </c>
      <c r="R50" t="n">
        <v>2225</v>
      </c>
      <c r="S50" t="n">
        <v>2470</v>
      </c>
      <c r="T50" t="n">
        <v>2715</v>
      </c>
      <c r="U50" t="n">
        <v>2960</v>
      </c>
      <c r="V50" t="n">
        <v>1518</v>
      </c>
      <c r="W50" t="n">
        <v>1196</v>
      </c>
      <c r="X50" t="n">
        <v>1147</v>
      </c>
      <c r="Y50" t="n">
        <v>3450</v>
      </c>
    </row>
    <row r="51">
      <c r="A51" t="n">
        <v>50</v>
      </c>
      <c r="B51" t="n">
        <v>0</v>
      </c>
      <c r="C51" t="n">
        <v>2108</v>
      </c>
      <c r="D51" t="n">
        <v>2677</v>
      </c>
      <c r="E51" t="n">
        <v>4302</v>
      </c>
      <c r="F51" t="n">
        <v>6902</v>
      </c>
      <c r="G51" t="n">
        <v>11010</v>
      </c>
      <c r="H51" t="n">
        <v>17514</v>
      </c>
      <c r="I51" t="n">
        <v>27704</v>
      </c>
      <c r="J51" t="n">
        <v>1500</v>
      </c>
      <c r="K51" t="n">
        <v>2677</v>
      </c>
      <c r="L51" t="n">
        <v>1500</v>
      </c>
      <c r="M51" t="n">
        <v>1000</v>
      </c>
      <c r="N51" t="n">
        <v>1250</v>
      </c>
      <c r="O51" t="n">
        <v>1500</v>
      </c>
      <c r="P51" t="n">
        <v>1750</v>
      </c>
      <c r="Q51" t="n">
        <v>2000</v>
      </c>
      <c r="R51" t="n">
        <v>2250</v>
      </c>
      <c r="S51" t="n">
        <v>2500</v>
      </c>
      <c r="T51" t="n">
        <v>2750</v>
      </c>
      <c r="U51" t="n">
        <v>3000</v>
      </c>
      <c r="V51" t="n">
        <v>1530</v>
      </c>
      <c r="W51" t="n">
        <v>1200</v>
      </c>
      <c r="X51" t="n">
        <v>1150</v>
      </c>
      <c r="Y51" t="n">
        <v>3500</v>
      </c>
    </row>
    <row r="52">
      <c r="A52" t="n">
        <v>51</v>
      </c>
      <c r="B52" t="n">
        <v>0</v>
      </c>
      <c r="C52" t="n">
        <v>2140</v>
      </c>
      <c r="D52" t="n">
        <v>2731</v>
      </c>
      <c r="E52" t="n">
        <v>4432</v>
      </c>
      <c r="F52" t="n">
        <v>7179</v>
      </c>
      <c r="G52" t="n">
        <v>11561</v>
      </c>
      <c r="H52" t="n">
        <v>18565</v>
      </c>
      <c r="I52" t="n">
        <v>29644</v>
      </c>
      <c r="J52" t="n">
        <v>1510</v>
      </c>
      <c r="K52" t="n">
        <v>2731</v>
      </c>
      <c r="L52" t="n">
        <v>1510</v>
      </c>
      <c r="M52" t="n">
        <v>1000</v>
      </c>
      <c r="N52" t="n">
        <v>1255</v>
      </c>
      <c r="O52" t="n">
        <v>1510</v>
      </c>
      <c r="P52" t="n">
        <v>1765</v>
      </c>
      <c r="Q52" t="n">
        <v>2020</v>
      </c>
      <c r="R52" t="n">
        <v>2275</v>
      </c>
      <c r="S52" t="n">
        <v>2530</v>
      </c>
      <c r="T52" t="n">
        <v>2785</v>
      </c>
      <c r="U52" t="n">
        <v>3040</v>
      </c>
      <c r="V52" t="n">
        <v>1542</v>
      </c>
      <c r="W52" t="n">
        <v>1204</v>
      </c>
      <c r="X52" t="n">
        <v>1153</v>
      </c>
      <c r="Y52" t="n">
        <v>3550</v>
      </c>
    </row>
    <row r="53">
      <c r="A53" t="n">
        <v>52</v>
      </c>
      <c r="B53" t="n">
        <v>0</v>
      </c>
      <c r="C53" t="n">
        <v>2173</v>
      </c>
      <c r="D53" t="n">
        <v>2786</v>
      </c>
      <c r="E53" t="n">
        <v>4565</v>
      </c>
      <c r="F53" t="n">
        <v>7467</v>
      </c>
      <c r="G53" t="n">
        <v>12140</v>
      </c>
      <c r="H53" t="n">
        <v>19679</v>
      </c>
      <c r="I53" t="n">
        <v>31720</v>
      </c>
      <c r="J53" t="n">
        <v>1520</v>
      </c>
      <c r="K53" t="n">
        <v>2786</v>
      </c>
      <c r="L53" t="n">
        <v>1520</v>
      </c>
      <c r="M53" t="n">
        <v>1000</v>
      </c>
      <c r="N53" t="n">
        <v>1260</v>
      </c>
      <c r="O53" t="n">
        <v>1520</v>
      </c>
      <c r="P53" t="n">
        <v>1780</v>
      </c>
      <c r="Q53" t="n">
        <v>2040</v>
      </c>
      <c r="R53" t="n">
        <v>2300</v>
      </c>
      <c r="S53" t="n">
        <v>2560</v>
      </c>
      <c r="T53" t="n">
        <v>2820</v>
      </c>
      <c r="U53" t="n">
        <v>3080</v>
      </c>
      <c r="V53" t="n">
        <v>1554</v>
      </c>
      <c r="W53" t="n">
        <v>1208</v>
      </c>
      <c r="X53" t="n">
        <v>1156</v>
      </c>
      <c r="Y53" t="n">
        <v>3600</v>
      </c>
    </row>
    <row r="54">
      <c r="A54" t="n">
        <v>53</v>
      </c>
      <c r="B54" t="n">
        <v>0</v>
      </c>
      <c r="C54" t="n">
        <v>2206</v>
      </c>
      <c r="D54" t="n">
        <v>2842</v>
      </c>
      <c r="E54" t="n">
        <v>4702</v>
      </c>
      <c r="F54" t="n">
        <v>7766</v>
      </c>
      <c r="G54" t="n">
        <v>12747</v>
      </c>
      <c r="H54" t="n">
        <v>20860</v>
      </c>
      <c r="I54" t="n">
        <v>33941</v>
      </c>
      <c r="J54" t="n">
        <v>1530</v>
      </c>
      <c r="K54" t="n">
        <v>2842</v>
      </c>
      <c r="L54" t="n">
        <v>1530</v>
      </c>
      <c r="M54" t="n">
        <v>1000</v>
      </c>
      <c r="N54" t="n">
        <v>1265</v>
      </c>
      <c r="O54" t="n">
        <v>1530</v>
      </c>
      <c r="P54" t="n">
        <v>1795</v>
      </c>
      <c r="Q54" t="n">
        <v>2060</v>
      </c>
      <c r="R54" t="n">
        <v>2325</v>
      </c>
      <c r="S54" t="n">
        <v>2590</v>
      </c>
      <c r="T54" t="n">
        <v>2855</v>
      </c>
      <c r="U54" t="n">
        <v>3120</v>
      </c>
      <c r="V54" t="n">
        <v>1566</v>
      </c>
      <c r="W54" t="n">
        <v>1212</v>
      </c>
      <c r="X54" t="n">
        <v>1159</v>
      </c>
      <c r="Y54" t="n">
        <v>3650</v>
      </c>
    </row>
    <row r="55">
      <c r="A55" t="n">
        <v>54</v>
      </c>
      <c r="B55" t="n">
        <v>0</v>
      </c>
      <c r="C55" t="n">
        <v>2240</v>
      </c>
      <c r="D55" t="n">
        <v>2899</v>
      </c>
      <c r="E55" t="n">
        <v>4844</v>
      </c>
      <c r="F55" t="n">
        <v>8077</v>
      </c>
      <c r="G55" t="n">
        <v>13385</v>
      </c>
      <c r="H55" t="n">
        <v>22112</v>
      </c>
      <c r="I55" t="n">
        <v>36317</v>
      </c>
      <c r="J55" t="n">
        <v>1540</v>
      </c>
      <c r="K55" t="n">
        <v>2899</v>
      </c>
      <c r="L55" t="n">
        <v>1540</v>
      </c>
      <c r="M55" t="n">
        <v>1000</v>
      </c>
      <c r="N55" t="n">
        <v>1270</v>
      </c>
      <c r="O55" t="n">
        <v>1540</v>
      </c>
      <c r="P55" t="n">
        <v>1810</v>
      </c>
      <c r="Q55" t="n">
        <v>2080</v>
      </c>
      <c r="R55" t="n">
        <v>2350</v>
      </c>
      <c r="S55" t="n">
        <v>2620</v>
      </c>
      <c r="T55" t="n">
        <v>2890</v>
      </c>
      <c r="U55" t="n">
        <v>3160</v>
      </c>
      <c r="V55" t="n">
        <v>1578</v>
      </c>
      <c r="W55" t="n">
        <v>1216</v>
      </c>
      <c r="X55" t="n">
        <v>1162</v>
      </c>
      <c r="Y55" t="n">
        <v>3700</v>
      </c>
    </row>
    <row r="56">
      <c r="A56" t="n">
        <v>55</v>
      </c>
      <c r="B56" t="n">
        <v>0</v>
      </c>
      <c r="C56" t="n">
        <v>2274</v>
      </c>
      <c r="D56" t="n">
        <v>2957</v>
      </c>
      <c r="E56" t="n">
        <v>4990</v>
      </c>
      <c r="F56" t="n">
        <v>8401</v>
      </c>
      <c r="G56" t="n">
        <v>14055</v>
      </c>
      <c r="H56" t="n">
        <v>23439</v>
      </c>
      <c r="I56" t="n">
        <v>38860</v>
      </c>
      <c r="J56" t="n">
        <v>1550</v>
      </c>
      <c r="K56" t="n">
        <v>2957</v>
      </c>
      <c r="L56" t="n">
        <v>1550</v>
      </c>
      <c r="M56" t="n">
        <v>1000</v>
      </c>
      <c r="N56" t="n">
        <v>1275</v>
      </c>
      <c r="O56" t="n">
        <v>1550</v>
      </c>
      <c r="P56" t="n">
        <v>1825</v>
      </c>
      <c r="Q56" t="n">
        <v>2100</v>
      </c>
      <c r="R56" t="n">
        <v>2375</v>
      </c>
      <c r="S56" t="n">
        <v>2650</v>
      </c>
      <c r="T56" t="n">
        <v>2925</v>
      </c>
      <c r="U56" t="n">
        <v>3200</v>
      </c>
      <c r="V56" t="n">
        <v>1590</v>
      </c>
      <c r="W56" t="n">
        <v>1220</v>
      </c>
      <c r="X56" t="n">
        <v>1165</v>
      </c>
      <c r="Y56" t="n">
        <v>3750</v>
      </c>
    </row>
    <row r="57">
      <c r="A57" t="n">
        <v>56</v>
      </c>
      <c r="B57" t="n">
        <v>0</v>
      </c>
      <c r="C57" t="n">
        <v>2309</v>
      </c>
      <c r="D57" t="n">
        <v>3017</v>
      </c>
      <c r="E57" t="n">
        <v>5140</v>
      </c>
      <c r="F57" t="n">
        <v>8738</v>
      </c>
      <c r="G57" t="n">
        <v>14758</v>
      </c>
      <c r="H57" t="n">
        <v>24846</v>
      </c>
      <c r="I57" t="n">
        <v>41581</v>
      </c>
      <c r="J57" t="n">
        <v>1560</v>
      </c>
      <c r="K57" t="n">
        <v>3017</v>
      </c>
      <c r="L57" t="n">
        <v>1560</v>
      </c>
      <c r="M57" t="n">
        <v>1000</v>
      </c>
      <c r="N57" t="n">
        <v>1280</v>
      </c>
      <c r="O57" t="n">
        <v>1560</v>
      </c>
      <c r="P57" t="n">
        <v>1840</v>
      </c>
      <c r="Q57" t="n">
        <v>2120</v>
      </c>
      <c r="R57" t="n">
        <v>2400</v>
      </c>
      <c r="S57" t="n">
        <v>2680</v>
      </c>
      <c r="T57" t="n">
        <v>2960</v>
      </c>
      <c r="U57" t="n">
        <v>3240</v>
      </c>
      <c r="V57" t="n">
        <v>1602</v>
      </c>
      <c r="W57" t="n">
        <v>1224</v>
      </c>
      <c r="X57" t="n">
        <v>1168</v>
      </c>
      <c r="Y57" t="n">
        <v>3800</v>
      </c>
    </row>
    <row r="58">
      <c r="A58" t="n">
        <v>57</v>
      </c>
      <c r="B58" t="n">
        <v>0</v>
      </c>
      <c r="C58" t="n">
        <v>2344</v>
      </c>
      <c r="D58" t="n">
        <v>3078</v>
      </c>
      <c r="E58" t="n">
        <v>5295</v>
      </c>
      <c r="F58" t="n">
        <v>9088</v>
      </c>
      <c r="G58" t="n">
        <v>15496</v>
      </c>
      <c r="H58" t="n">
        <v>26337</v>
      </c>
      <c r="I58" t="n">
        <v>44492</v>
      </c>
      <c r="J58" t="n">
        <v>1570</v>
      </c>
      <c r="K58" t="n">
        <v>3078</v>
      </c>
      <c r="L58" t="n">
        <v>1570</v>
      </c>
      <c r="M58" t="n">
        <v>1000</v>
      </c>
      <c r="N58" t="n">
        <v>1285</v>
      </c>
      <c r="O58" t="n">
        <v>1570</v>
      </c>
      <c r="P58" t="n">
        <v>1855</v>
      </c>
      <c r="Q58" t="n">
        <v>2140</v>
      </c>
      <c r="R58" t="n">
        <v>2425</v>
      </c>
      <c r="S58" t="n">
        <v>2710</v>
      </c>
      <c r="T58" t="n">
        <v>2995</v>
      </c>
      <c r="U58" t="n">
        <v>3280</v>
      </c>
      <c r="V58" t="n">
        <v>1615</v>
      </c>
      <c r="W58" t="n">
        <v>1228</v>
      </c>
      <c r="X58" t="n">
        <v>1171</v>
      </c>
      <c r="Y58" t="n">
        <v>3850</v>
      </c>
    </row>
    <row r="59">
      <c r="A59" t="n">
        <v>58</v>
      </c>
      <c r="B59" t="n">
        <v>0</v>
      </c>
      <c r="C59" t="n">
        <v>2380</v>
      </c>
      <c r="D59" t="n">
        <v>3140</v>
      </c>
      <c r="E59" t="n">
        <v>5454</v>
      </c>
      <c r="F59" t="n">
        <v>9452</v>
      </c>
      <c r="G59" t="n">
        <v>16271</v>
      </c>
      <c r="H59" t="n">
        <v>27918</v>
      </c>
      <c r="I59" t="n">
        <v>47607</v>
      </c>
      <c r="J59" t="n">
        <v>1580</v>
      </c>
      <c r="K59" t="n">
        <v>3140</v>
      </c>
      <c r="L59" t="n">
        <v>1580</v>
      </c>
      <c r="M59" t="n">
        <v>1000</v>
      </c>
      <c r="N59" t="n">
        <v>1290</v>
      </c>
      <c r="O59" t="n">
        <v>1580</v>
      </c>
      <c r="P59" t="n">
        <v>1870</v>
      </c>
      <c r="Q59" t="n">
        <v>2160</v>
      </c>
      <c r="R59" t="n">
        <v>2450</v>
      </c>
      <c r="S59" t="n">
        <v>2740</v>
      </c>
      <c r="T59" t="n">
        <v>3030</v>
      </c>
      <c r="U59" t="n">
        <v>3320</v>
      </c>
      <c r="V59" t="n">
        <v>1628</v>
      </c>
      <c r="W59" t="n">
        <v>1232</v>
      </c>
      <c r="X59" t="n">
        <v>1174</v>
      </c>
      <c r="Y59" t="n">
        <v>3900</v>
      </c>
    </row>
    <row r="60">
      <c r="A60" t="n">
        <v>59</v>
      </c>
      <c r="B60" t="n">
        <v>0</v>
      </c>
      <c r="C60" t="n">
        <v>2416</v>
      </c>
      <c r="D60" t="n">
        <v>3203</v>
      </c>
      <c r="E60" t="n">
        <v>5618</v>
      </c>
      <c r="F60" t="n">
        <v>9831</v>
      </c>
      <c r="G60" t="n">
        <v>17085</v>
      </c>
      <c r="H60" t="n">
        <v>29594</v>
      </c>
      <c r="I60" t="n">
        <v>50940</v>
      </c>
      <c r="J60" t="n">
        <v>1590</v>
      </c>
      <c r="K60" t="n">
        <v>3203</v>
      </c>
      <c r="L60" t="n">
        <v>1590</v>
      </c>
      <c r="M60" t="n">
        <v>1000</v>
      </c>
      <c r="N60" t="n">
        <v>1295</v>
      </c>
      <c r="O60" t="n">
        <v>1590</v>
      </c>
      <c r="P60" t="n">
        <v>1885</v>
      </c>
      <c r="Q60" t="n">
        <v>2180</v>
      </c>
      <c r="R60" t="n">
        <v>2475</v>
      </c>
      <c r="S60" t="n">
        <v>2770</v>
      </c>
      <c r="T60" t="n">
        <v>3065</v>
      </c>
      <c r="U60" t="n">
        <v>3360</v>
      </c>
      <c r="V60" t="n">
        <v>1641</v>
      </c>
      <c r="W60" t="n">
        <v>1236</v>
      </c>
      <c r="X60" t="n">
        <v>1177</v>
      </c>
      <c r="Y60" t="n">
        <v>3950</v>
      </c>
    </row>
    <row r="61">
      <c r="A61" t="n">
        <v>60</v>
      </c>
      <c r="B61" t="n">
        <v>0</v>
      </c>
      <c r="C61" t="n">
        <v>2453</v>
      </c>
      <c r="D61" t="n">
        <v>3268</v>
      </c>
      <c r="E61" t="n">
        <v>5787</v>
      </c>
      <c r="F61" t="n">
        <v>10225</v>
      </c>
      <c r="G61" t="n">
        <v>17940</v>
      </c>
      <c r="H61" t="n">
        <v>31370</v>
      </c>
      <c r="I61" t="n">
        <v>54506</v>
      </c>
      <c r="J61" t="n">
        <v>1600</v>
      </c>
      <c r="K61" t="n">
        <v>3268</v>
      </c>
      <c r="L61" t="n">
        <v>1600</v>
      </c>
      <c r="M61" t="n">
        <v>1000</v>
      </c>
      <c r="N61" t="n">
        <v>1300</v>
      </c>
      <c r="O61" t="n">
        <v>1600</v>
      </c>
      <c r="P61" t="n">
        <v>1900</v>
      </c>
      <c r="Q61" t="n">
        <v>2200</v>
      </c>
      <c r="R61" t="n">
        <v>2500</v>
      </c>
      <c r="S61" t="n">
        <v>2800</v>
      </c>
      <c r="T61" t="n">
        <v>3100</v>
      </c>
      <c r="U61" t="n">
        <v>3400</v>
      </c>
      <c r="V61" t="n">
        <v>1654</v>
      </c>
      <c r="W61" t="n">
        <v>1240</v>
      </c>
      <c r="X61" t="n">
        <v>1180</v>
      </c>
      <c r="Y61" t="n">
        <v>4000</v>
      </c>
    </row>
    <row r="62">
      <c r="A62" t="n">
        <v>61</v>
      </c>
      <c r="B62" t="n">
        <v>0</v>
      </c>
      <c r="C62" t="n">
        <v>2490</v>
      </c>
      <c r="D62" t="n">
        <v>3334</v>
      </c>
      <c r="E62" t="n">
        <v>5961</v>
      </c>
      <c r="F62" t="n">
        <v>10634</v>
      </c>
      <c r="G62" t="n">
        <v>18837</v>
      </c>
      <c r="H62" t="n">
        <v>33253</v>
      </c>
      <c r="I62" t="n">
        <v>58322</v>
      </c>
      <c r="J62" t="n">
        <v>1610</v>
      </c>
      <c r="K62" t="n">
        <v>3334</v>
      </c>
      <c r="L62" t="n">
        <v>1610</v>
      </c>
      <c r="M62" t="n">
        <v>1000</v>
      </c>
      <c r="N62" t="n">
        <v>1305</v>
      </c>
      <c r="O62" t="n">
        <v>1610</v>
      </c>
      <c r="P62" t="n">
        <v>1915</v>
      </c>
      <c r="Q62" t="n">
        <v>2220</v>
      </c>
      <c r="R62" t="n">
        <v>2525</v>
      </c>
      <c r="S62" t="n">
        <v>2830</v>
      </c>
      <c r="T62" t="n">
        <v>3135</v>
      </c>
      <c r="U62" t="n">
        <v>3440</v>
      </c>
      <c r="V62" t="n">
        <v>1667</v>
      </c>
      <c r="W62" t="n">
        <v>1244</v>
      </c>
      <c r="X62" t="n">
        <v>1183</v>
      </c>
      <c r="Y62" t="n">
        <v>4050</v>
      </c>
    </row>
    <row r="63">
      <c r="A63" t="n">
        <v>62</v>
      </c>
      <c r="B63" t="n">
        <v>0</v>
      </c>
      <c r="C63" t="n">
        <v>2528</v>
      </c>
      <c r="D63" t="n">
        <v>3401</v>
      </c>
      <c r="E63" t="n">
        <v>6140</v>
      </c>
      <c r="F63" t="n">
        <v>11060</v>
      </c>
      <c r="G63" t="n">
        <v>19779</v>
      </c>
      <c r="H63" t="n">
        <v>35249</v>
      </c>
      <c r="I63" t="n">
        <v>62405</v>
      </c>
      <c r="J63" t="n">
        <v>1620</v>
      </c>
      <c r="K63" t="n">
        <v>3401</v>
      </c>
      <c r="L63" t="n">
        <v>1620</v>
      </c>
      <c r="M63" t="n">
        <v>1000</v>
      </c>
      <c r="N63" t="n">
        <v>1310</v>
      </c>
      <c r="O63" t="n">
        <v>1620</v>
      </c>
      <c r="P63" t="n">
        <v>1930</v>
      </c>
      <c r="Q63" t="n">
        <v>2240</v>
      </c>
      <c r="R63" t="n">
        <v>2550</v>
      </c>
      <c r="S63" t="n">
        <v>2860</v>
      </c>
      <c r="T63" t="n">
        <v>3170</v>
      </c>
      <c r="U63" t="n">
        <v>3480</v>
      </c>
      <c r="V63" t="n">
        <v>1680</v>
      </c>
      <c r="W63" t="n">
        <v>1248</v>
      </c>
      <c r="X63" t="n">
        <v>1186</v>
      </c>
      <c r="Y63" t="n">
        <v>4100</v>
      </c>
    </row>
    <row r="64">
      <c r="A64" t="n">
        <v>63</v>
      </c>
      <c r="B64" t="n">
        <v>0</v>
      </c>
      <c r="C64" t="n">
        <v>2566</v>
      </c>
      <c r="D64" t="n">
        <v>3470</v>
      </c>
      <c r="E64" t="n">
        <v>6325</v>
      </c>
      <c r="F64" t="n">
        <v>11503</v>
      </c>
      <c r="G64" t="n">
        <v>20768</v>
      </c>
      <c r="H64" t="n">
        <v>37364</v>
      </c>
      <c r="I64" t="n">
        <v>66774</v>
      </c>
      <c r="J64" t="n">
        <v>1630</v>
      </c>
      <c r="K64" t="n">
        <v>3470</v>
      </c>
      <c r="L64" t="n">
        <v>1630</v>
      </c>
      <c r="M64" t="n">
        <v>1000</v>
      </c>
      <c r="N64" t="n">
        <v>1315</v>
      </c>
      <c r="O64" t="n">
        <v>1630</v>
      </c>
      <c r="P64" t="n">
        <v>1945</v>
      </c>
      <c r="Q64" t="n">
        <v>2260</v>
      </c>
      <c r="R64" t="n">
        <v>2575</v>
      </c>
      <c r="S64" t="n">
        <v>2890</v>
      </c>
      <c r="T64" t="n">
        <v>3205</v>
      </c>
      <c r="U64" t="n">
        <v>3520</v>
      </c>
      <c r="V64" t="n">
        <v>1693</v>
      </c>
      <c r="W64" t="n">
        <v>1252</v>
      </c>
      <c r="X64" t="n">
        <v>1189</v>
      </c>
      <c r="Y64" t="n">
        <v>4150</v>
      </c>
    </row>
    <row r="65">
      <c r="A65" t="n">
        <v>64</v>
      </c>
      <c r="B65" t="n">
        <v>0</v>
      </c>
      <c r="C65" t="n">
        <v>2605</v>
      </c>
      <c r="D65" t="n">
        <v>3540</v>
      </c>
      <c r="E65" t="n">
        <v>6515</v>
      </c>
      <c r="F65" t="n">
        <v>11964</v>
      </c>
      <c r="G65" t="n">
        <v>21807</v>
      </c>
      <c r="H65" t="n">
        <v>39606</v>
      </c>
      <c r="I65" t="n">
        <v>71449</v>
      </c>
      <c r="J65" t="n">
        <v>1640</v>
      </c>
      <c r="K65" t="n">
        <v>3540</v>
      </c>
      <c r="L65" t="n">
        <v>1640</v>
      </c>
      <c r="M65" t="n">
        <v>1000</v>
      </c>
      <c r="N65" t="n">
        <v>1320</v>
      </c>
      <c r="O65" t="n">
        <v>1640</v>
      </c>
      <c r="P65" t="n">
        <v>1960</v>
      </c>
      <c r="Q65" t="n">
        <v>2280</v>
      </c>
      <c r="R65" t="n">
        <v>2600</v>
      </c>
      <c r="S65" t="n">
        <v>2920</v>
      </c>
      <c r="T65" t="n">
        <v>3240</v>
      </c>
      <c r="U65" t="n">
        <v>3560</v>
      </c>
      <c r="V65" t="n">
        <v>1706</v>
      </c>
      <c r="W65" t="n">
        <v>1256</v>
      </c>
      <c r="X65" t="n">
        <v>1192</v>
      </c>
      <c r="Y65" t="n">
        <v>4200</v>
      </c>
    </row>
    <row r="66">
      <c r="A66" t="n">
        <v>65</v>
      </c>
      <c r="B66" t="n">
        <v>0</v>
      </c>
      <c r="C66" t="n">
        <v>2645</v>
      </c>
      <c r="D66" t="n">
        <v>3611</v>
      </c>
      <c r="E66" t="n">
        <v>6711</v>
      </c>
      <c r="F66" t="n">
        <v>12443</v>
      </c>
      <c r="G66" t="n">
        <v>22898</v>
      </c>
      <c r="H66" t="n">
        <v>41983</v>
      </c>
      <c r="I66" t="n">
        <v>76451</v>
      </c>
      <c r="J66" t="n">
        <v>1650</v>
      </c>
      <c r="K66" t="n">
        <v>3611</v>
      </c>
      <c r="L66" t="n">
        <v>1650</v>
      </c>
      <c r="M66" t="n">
        <v>1000</v>
      </c>
      <c r="N66" t="n">
        <v>1325</v>
      </c>
      <c r="O66" t="n">
        <v>1650</v>
      </c>
      <c r="P66" t="n">
        <v>1975</v>
      </c>
      <c r="Q66" t="n">
        <v>2300</v>
      </c>
      <c r="R66" t="n">
        <v>2625</v>
      </c>
      <c r="S66" t="n">
        <v>2950</v>
      </c>
      <c r="T66" t="n">
        <v>3275</v>
      </c>
      <c r="U66" t="n">
        <v>3600</v>
      </c>
      <c r="V66" t="n">
        <v>1719</v>
      </c>
      <c r="W66" t="n">
        <v>1260</v>
      </c>
      <c r="X66" t="n">
        <v>1195</v>
      </c>
      <c r="Y66" t="n">
        <v>4250</v>
      </c>
    </row>
    <row r="67">
      <c r="A67" t="n">
        <v>66</v>
      </c>
      <c r="B67" t="n">
        <v>0</v>
      </c>
      <c r="C67" t="n">
        <v>2685</v>
      </c>
      <c r="D67" t="n">
        <v>3684</v>
      </c>
      <c r="E67" t="n">
        <v>6913</v>
      </c>
      <c r="F67" t="n">
        <v>12941</v>
      </c>
      <c r="G67" t="n">
        <v>24043</v>
      </c>
      <c r="H67" t="n">
        <v>44502</v>
      </c>
      <c r="I67" t="n">
        <v>81803</v>
      </c>
      <c r="J67" t="n">
        <v>1660</v>
      </c>
      <c r="K67" t="n">
        <v>3684</v>
      </c>
      <c r="L67" t="n">
        <v>1660</v>
      </c>
      <c r="M67" t="n">
        <v>1000</v>
      </c>
      <c r="N67" t="n">
        <v>1330</v>
      </c>
      <c r="O67" t="n">
        <v>1660</v>
      </c>
      <c r="P67" t="n">
        <v>1990</v>
      </c>
      <c r="Q67" t="n">
        <v>2320</v>
      </c>
      <c r="R67" t="n">
        <v>2650</v>
      </c>
      <c r="S67" t="n">
        <v>2980</v>
      </c>
      <c r="T67" t="n">
        <v>3310</v>
      </c>
      <c r="U67" t="n">
        <v>3640</v>
      </c>
      <c r="V67" t="n">
        <v>1732</v>
      </c>
      <c r="W67" t="n">
        <v>1264</v>
      </c>
      <c r="X67" t="n">
        <v>1198</v>
      </c>
      <c r="Y67" t="n">
        <v>4300</v>
      </c>
    </row>
    <row r="68">
      <c r="A68" t="n">
        <v>67</v>
      </c>
      <c r="B68" t="n">
        <v>0</v>
      </c>
      <c r="C68" t="n">
        <v>2726</v>
      </c>
      <c r="D68" t="n">
        <v>3758</v>
      </c>
      <c r="E68" t="n">
        <v>7121</v>
      </c>
      <c r="F68" t="n">
        <v>13459</v>
      </c>
      <c r="G68" t="n">
        <v>25246</v>
      </c>
      <c r="H68" t="n">
        <v>47173</v>
      </c>
      <c r="I68" t="n">
        <v>87530</v>
      </c>
      <c r="J68" t="n">
        <v>1670</v>
      </c>
      <c r="K68" t="n">
        <v>3758</v>
      </c>
      <c r="L68" t="n">
        <v>1670</v>
      </c>
      <c r="M68" t="n">
        <v>1000</v>
      </c>
      <c r="N68" t="n">
        <v>1335</v>
      </c>
      <c r="O68" t="n">
        <v>1670</v>
      </c>
      <c r="P68" t="n">
        <v>2005</v>
      </c>
      <c r="Q68" t="n">
        <v>2340</v>
      </c>
      <c r="R68" t="n">
        <v>2675</v>
      </c>
      <c r="S68" t="n">
        <v>3010</v>
      </c>
      <c r="T68" t="n">
        <v>3345</v>
      </c>
      <c r="U68" t="n">
        <v>3680</v>
      </c>
      <c r="V68" t="n">
        <v>1745</v>
      </c>
      <c r="W68" t="n">
        <v>1268</v>
      </c>
      <c r="X68" t="n">
        <v>1201</v>
      </c>
      <c r="Y68" t="n">
        <v>4350</v>
      </c>
    </row>
    <row r="69">
      <c r="A69" t="n">
        <v>68</v>
      </c>
      <c r="B69" t="n">
        <v>0</v>
      </c>
      <c r="C69" t="n">
        <v>2767</v>
      </c>
      <c r="D69" t="n">
        <v>3834</v>
      </c>
      <c r="E69" t="n">
        <v>7335</v>
      </c>
      <c r="F69" t="n">
        <v>13998</v>
      </c>
      <c r="G69" t="n">
        <v>26509</v>
      </c>
      <c r="H69" t="n">
        <v>50004</v>
      </c>
      <c r="I69" t="n">
        <v>93658</v>
      </c>
      <c r="J69" t="n">
        <v>1680</v>
      </c>
      <c r="K69" t="n">
        <v>3834</v>
      </c>
      <c r="L69" t="n">
        <v>1680</v>
      </c>
      <c r="M69" t="n">
        <v>1000</v>
      </c>
      <c r="N69" t="n">
        <v>1340</v>
      </c>
      <c r="O69" t="n">
        <v>1680</v>
      </c>
      <c r="P69" t="n">
        <v>2020</v>
      </c>
      <c r="Q69" t="n">
        <v>2360</v>
      </c>
      <c r="R69" t="n">
        <v>2700</v>
      </c>
      <c r="S69" t="n">
        <v>3040</v>
      </c>
      <c r="T69" t="n">
        <v>3380</v>
      </c>
      <c r="U69" t="n">
        <v>3720</v>
      </c>
      <c r="V69" t="n">
        <v>1758</v>
      </c>
      <c r="W69" t="n">
        <v>1272</v>
      </c>
      <c r="X69" t="n">
        <v>1204</v>
      </c>
      <c r="Y69" t="n">
        <v>4400</v>
      </c>
    </row>
    <row r="70">
      <c r="A70" t="n">
        <v>69</v>
      </c>
      <c r="B70" t="n">
        <v>0</v>
      </c>
      <c r="C70" t="n">
        <v>2809</v>
      </c>
      <c r="D70" t="n">
        <v>3911</v>
      </c>
      <c r="E70" t="n">
        <v>7556</v>
      </c>
      <c r="F70" t="n">
        <v>14558</v>
      </c>
      <c r="G70" t="n">
        <v>27835</v>
      </c>
      <c r="H70" t="n">
        <v>53005</v>
      </c>
      <c r="I70" t="n">
        <v>100215</v>
      </c>
      <c r="J70" t="n">
        <v>1690</v>
      </c>
      <c r="K70" t="n">
        <v>3911</v>
      </c>
      <c r="L70" t="n">
        <v>1690</v>
      </c>
      <c r="M70" t="n">
        <v>1000</v>
      </c>
      <c r="N70" t="n">
        <v>1345</v>
      </c>
      <c r="O70" t="n">
        <v>1690</v>
      </c>
      <c r="P70" t="n">
        <v>2035</v>
      </c>
      <c r="Q70" t="n">
        <v>2380</v>
      </c>
      <c r="R70" t="n">
        <v>2725</v>
      </c>
      <c r="S70" t="n">
        <v>3070</v>
      </c>
      <c r="T70" t="n">
        <v>3415</v>
      </c>
      <c r="U70" t="n">
        <v>3760</v>
      </c>
      <c r="V70" t="n">
        <v>1771</v>
      </c>
      <c r="W70" t="n">
        <v>1276</v>
      </c>
      <c r="X70" t="n">
        <v>1207</v>
      </c>
      <c r="Y70" t="n">
        <v>4450</v>
      </c>
    </row>
    <row r="71">
      <c r="A71" t="n">
        <v>70</v>
      </c>
      <c r="B71" t="n">
        <v>0</v>
      </c>
      <c r="C71" t="n">
        <v>2852</v>
      </c>
      <c r="D71" t="n">
        <v>3990</v>
      </c>
      <c r="E71" t="n">
        <v>7783</v>
      </c>
      <c r="F71" t="n">
        <v>15141</v>
      </c>
      <c r="G71" t="n">
        <v>29227</v>
      </c>
      <c r="H71" t="n">
        <v>56186</v>
      </c>
      <c r="I71" t="n">
        <v>107231</v>
      </c>
      <c r="J71" t="n">
        <v>1700</v>
      </c>
      <c r="K71" t="n">
        <v>3990</v>
      </c>
      <c r="L71" t="n">
        <v>1700</v>
      </c>
      <c r="M71" t="n">
        <v>1000</v>
      </c>
      <c r="N71" t="n">
        <v>1350</v>
      </c>
      <c r="O71" t="n">
        <v>1700</v>
      </c>
      <c r="P71" t="n">
        <v>2050</v>
      </c>
      <c r="Q71" t="n">
        <v>2400</v>
      </c>
      <c r="R71" t="n">
        <v>2750</v>
      </c>
      <c r="S71" t="n">
        <v>3100</v>
      </c>
      <c r="T71" t="n">
        <v>3450</v>
      </c>
      <c r="U71" t="n">
        <v>3800</v>
      </c>
      <c r="V71" t="n">
        <v>1784</v>
      </c>
      <c r="W71" t="n">
        <v>1280</v>
      </c>
      <c r="X71" t="n">
        <v>1210</v>
      </c>
      <c r="Y71" t="n">
        <v>4500</v>
      </c>
    </row>
    <row r="72">
      <c r="A72" t="n">
        <v>71</v>
      </c>
      <c r="B72" t="n">
        <v>0</v>
      </c>
      <c r="C72" t="n">
        <v>2895</v>
      </c>
      <c r="D72" t="n">
        <v>4070</v>
      </c>
      <c r="E72" t="n">
        <v>8017</v>
      </c>
      <c r="F72" t="n">
        <v>15747</v>
      </c>
      <c r="G72" t="n">
        <v>30689</v>
      </c>
      <c r="H72" t="n">
        <v>59558</v>
      </c>
      <c r="I72" t="n">
        <v>114738</v>
      </c>
      <c r="J72" t="n">
        <v>1710</v>
      </c>
      <c r="K72" t="n">
        <v>4070</v>
      </c>
      <c r="L72" t="n">
        <v>1710</v>
      </c>
      <c r="M72" t="n">
        <v>1000</v>
      </c>
      <c r="N72" t="n">
        <v>1355</v>
      </c>
      <c r="O72" t="n">
        <v>1710</v>
      </c>
      <c r="P72" t="n">
        <v>2065</v>
      </c>
      <c r="Q72" t="n">
        <v>2420</v>
      </c>
      <c r="R72" t="n">
        <v>2775</v>
      </c>
      <c r="S72" t="n">
        <v>3130</v>
      </c>
      <c r="T72" t="n">
        <v>3485</v>
      </c>
      <c r="U72" t="n">
        <v>3840</v>
      </c>
      <c r="V72" t="n">
        <v>1797</v>
      </c>
      <c r="W72" t="n">
        <v>1284</v>
      </c>
      <c r="X72" t="n">
        <v>1213</v>
      </c>
      <c r="Y72" t="n">
        <v>4550</v>
      </c>
    </row>
    <row r="73">
      <c r="A73" t="n">
        <v>72</v>
      </c>
      <c r="B73" t="n">
        <v>0</v>
      </c>
      <c r="C73" t="n">
        <v>2939</v>
      </c>
      <c r="D73" t="n">
        <v>4152</v>
      </c>
      <c r="E73" t="n">
        <v>8258</v>
      </c>
      <c r="F73" t="n">
        <v>16377</v>
      </c>
      <c r="G73" t="n">
        <v>32224</v>
      </c>
      <c r="H73" t="n">
        <v>63132</v>
      </c>
      <c r="I73" t="n">
        <v>122770</v>
      </c>
      <c r="J73" t="n">
        <v>1720</v>
      </c>
      <c r="K73" t="n">
        <v>4152</v>
      </c>
      <c r="L73" t="n">
        <v>1720</v>
      </c>
      <c r="M73" t="n">
        <v>1000</v>
      </c>
      <c r="N73" t="n">
        <v>1360</v>
      </c>
      <c r="O73" t="n">
        <v>1720</v>
      </c>
      <c r="P73" t="n">
        <v>2080</v>
      </c>
      <c r="Q73" t="n">
        <v>2440</v>
      </c>
      <c r="R73" t="n">
        <v>2800</v>
      </c>
      <c r="S73" t="n">
        <v>3160</v>
      </c>
      <c r="T73" t="n">
        <v>3520</v>
      </c>
      <c r="U73" t="n">
        <v>3880</v>
      </c>
      <c r="V73" t="n">
        <v>1811</v>
      </c>
      <c r="W73" t="n">
        <v>1288</v>
      </c>
      <c r="X73" t="n">
        <v>1216</v>
      </c>
      <c r="Y73" t="n">
        <v>4600</v>
      </c>
    </row>
    <row r="74">
      <c r="A74" t="n">
        <v>73</v>
      </c>
      <c r="B74" t="n">
        <v>0</v>
      </c>
      <c r="C74" t="n">
        <v>2984</v>
      </c>
      <c r="D74" t="n">
        <v>4236</v>
      </c>
      <c r="E74" t="n">
        <v>8506</v>
      </c>
      <c r="F74" t="n">
        <v>17033</v>
      </c>
      <c r="G74" t="n">
        <v>33836</v>
      </c>
      <c r="H74" t="n">
        <v>66920</v>
      </c>
      <c r="I74" t="n">
        <v>131364</v>
      </c>
      <c r="J74" t="n">
        <v>1730</v>
      </c>
      <c r="K74" t="n">
        <v>4236</v>
      </c>
      <c r="L74" t="n">
        <v>1730</v>
      </c>
      <c r="M74" t="n">
        <v>1000</v>
      </c>
      <c r="N74" t="n">
        <v>1365</v>
      </c>
      <c r="O74" t="n">
        <v>1730</v>
      </c>
      <c r="P74" t="n">
        <v>2095</v>
      </c>
      <c r="Q74" t="n">
        <v>2460</v>
      </c>
      <c r="R74" t="n">
        <v>2825</v>
      </c>
      <c r="S74" t="n">
        <v>3190</v>
      </c>
      <c r="T74" t="n">
        <v>3555</v>
      </c>
      <c r="U74" t="n">
        <v>3920</v>
      </c>
      <c r="V74" t="n">
        <v>1825</v>
      </c>
      <c r="W74" t="n">
        <v>1292</v>
      </c>
      <c r="X74" t="n">
        <v>1219</v>
      </c>
      <c r="Y74" t="n">
        <v>4650</v>
      </c>
    </row>
    <row r="75">
      <c r="A75" t="n">
        <v>74</v>
      </c>
      <c r="B75" t="n">
        <v>0</v>
      </c>
      <c r="C75" t="n">
        <v>3029</v>
      </c>
      <c r="D75" t="n">
        <v>4321</v>
      </c>
      <c r="E75" t="n">
        <v>8762</v>
      </c>
      <c r="F75" t="n">
        <v>17715</v>
      </c>
      <c r="G75" t="n">
        <v>35528</v>
      </c>
      <c r="H75" t="n">
        <v>70936</v>
      </c>
      <c r="I75" t="n">
        <v>140560</v>
      </c>
      <c r="J75" t="n">
        <v>1740</v>
      </c>
      <c r="K75" t="n">
        <v>4321</v>
      </c>
      <c r="L75" t="n">
        <v>1740</v>
      </c>
      <c r="M75" t="n">
        <v>1000</v>
      </c>
      <c r="N75" t="n">
        <v>1370</v>
      </c>
      <c r="O75" t="n">
        <v>1740</v>
      </c>
      <c r="P75" t="n">
        <v>2110</v>
      </c>
      <c r="Q75" t="n">
        <v>2480</v>
      </c>
      <c r="R75" t="n">
        <v>2850</v>
      </c>
      <c r="S75" t="n">
        <v>3220</v>
      </c>
      <c r="T75" t="n">
        <v>3590</v>
      </c>
      <c r="U75" t="n">
        <v>3960</v>
      </c>
      <c r="V75" t="n">
        <v>1839</v>
      </c>
      <c r="W75" t="n">
        <v>1296</v>
      </c>
      <c r="X75" t="n">
        <v>1222</v>
      </c>
      <c r="Y75" t="n">
        <v>4700</v>
      </c>
    </row>
    <row r="76">
      <c r="A76" t="n">
        <v>75</v>
      </c>
      <c r="B76" t="n">
        <v>0</v>
      </c>
      <c r="C76" t="n">
        <v>3075</v>
      </c>
      <c r="D76" t="n">
        <v>4408</v>
      </c>
      <c r="E76" t="n">
        <v>9025</v>
      </c>
      <c r="F76" t="n">
        <v>18424</v>
      </c>
      <c r="G76" t="n">
        <v>37305</v>
      </c>
      <c r="H76" t="n">
        <v>75193</v>
      </c>
      <c r="I76" t="n">
        <v>150400</v>
      </c>
      <c r="J76" t="n">
        <v>1750</v>
      </c>
      <c r="K76" t="n">
        <v>4408</v>
      </c>
      <c r="L76" t="n">
        <v>1750</v>
      </c>
      <c r="M76" t="n">
        <v>1000</v>
      </c>
      <c r="N76" t="n">
        <v>1375</v>
      </c>
      <c r="O76" t="n">
        <v>1750</v>
      </c>
      <c r="P76" t="n">
        <v>2125</v>
      </c>
      <c r="Q76" t="n">
        <v>2500</v>
      </c>
      <c r="R76" t="n">
        <v>2875</v>
      </c>
      <c r="S76" t="n">
        <v>3250</v>
      </c>
      <c r="T76" t="n">
        <v>3625</v>
      </c>
      <c r="U76" t="n">
        <v>4000</v>
      </c>
      <c r="V76" t="n">
        <v>1853</v>
      </c>
      <c r="W76" t="n">
        <v>1300</v>
      </c>
      <c r="X76" t="n">
        <v>1225</v>
      </c>
      <c r="Y76" t="n">
        <v>4750</v>
      </c>
    </row>
    <row r="77">
      <c r="A77" t="n">
        <v>76</v>
      </c>
      <c r="B77" t="n">
        <v>0</v>
      </c>
      <c r="C77" t="n">
        <v>3122</v>
      </c>
      <c r="D77" t="n">
        <v>4497</v>
      </c>
      <c r="E77" t="n">
        <v>9296</v>
      </c>
      <c r="F77" t="n">
        <v>19161</v>
      </c>
      <c r="G77" t="n">
        <v>39171</v>
      </c>
      <c r="H77" t="n">
        <v>79705</v>
      </c>
      <c r="I77" t="n">
        <v>160928</v>
      </c>
      <c r="J77" t="n">
        <v>1760</v>
      </c>
      <c r="K77" t="n">
        <v>4497</v>
      </c>
      <c r="L77" t="n">
        <v>1760</v>
      </c>
      <c r="M77" t="n">
        <v>1000</v>
      </c>
      <c r="N77" t="n">
        <v>1380</v>
      </c>
      <c r="O77" t="n">
        <v>1760</v>
      </c>
      <c r="P77" t="n">
        <v>2140</v>
      </c>
      <c r="Q77" t="n">
        <v>2520</v>
      </c>
      <c r="R77" t="n">
        <v>2900</v>
      </c>
      <c r="S77" t="n">
        <v>3280</v>
      </c>
      <c r="T77" t="n">
        <v>3660</v>
      </c>
      <c r="U77" t="n">
        <v>4040</v>
      </c>
      <c r="V77" t="n">
        <v>1867</v>
      </c>
      <c r="W77" t="n">
        <v>1304</v>
      </c>
      <c r="X77" t="n">
        <v>1228</v>
      </c>
      <c r="Y77" t="n">
        <v>4800</v>
      </c>
    </row>
    <row r="78">
      <c r="A78" t="n">
        <v>77</v>
      </c>
      <c r="B78" t="n">
        <v>0</v>
      </c>
      <c r="C78" t="n">
        <v>3169</v>
      </c>
      <c r="D78" t="n">
        <v>4587</v>
      </c>
      <c r="E78" t="n">
        <v>9575</v>
      </c>
      <c r="F78" t="n">
        <v>19928</v>
      </c>
      <c r="G78" t="n">
        <v>41130</v>
      </c>
      <c r="H78" t="n">
        <v>84488</v>
      </c>
      <c r="I78" t="n">
        <v>172193</v>
      </c>
      <c r="J78" t="n">
        <v>1770</v>
      </c>
      <c r="K78" t="n">
        <v>4587</v>
      </c>
      <c r="L78" t="n">
        <v>1770</v>
      </c>
      <c r="M78" t="n">
        <v>1000</v>
      </c>
      <c r="N78" t="n">
        <v>1385</v>
      </c>
      <c r="O78" t="n">
        <v>1770</v>
      </c>
      <c r="P78" t="n">
        <v>2155</v>
      </c>
      <c r="Q78" t="n">
        <v>2540</v>
      </c>
      <c r="R78" t="n">
        <v>2925</v>
      </c>
      <c r="S78" t="n">
        <v>3310</v>
      </c>
      <c r="T78" t="n">
        <v>3695</v>
      </c>
      <c r="U78" t="n">
        <v>4080</v>
      </c>
      <c r="V78" t="n">
        <v>1881</v>
      </c>
      <c r="W78" t="n">
        <v>1308</v>
      </c>
      <c r="X78" t="n">
        <v>1231</v>
      </c>
      <c r="Y78" t="n">
        <v>4850</v>
      </c>
    </row>
    <row r="79">
      <c r="A79" t="n">
        <v>78</v>
      </c>
      <c r="B79" t="n">
        <v>0</v>
      </c>
      <c r="C79" t="n">
        <v>3217</v>
      </c>
      <c r="D79" t="n">
        <v>4679</v>
      </c>
      <c r="E79" t="n">
        <v>9863</v>
      </c>
      <c r="F79" t="n">
        <v>20726</v>
      </c>
      <c r="G79" t="n">
        <v>43187</v>
      </c>
      <c r="H79" t="n">
        <v>89558</v>
      </c>
      <c r="I79" t="n">
        <v>184247</v>
      </c>
      <c r="J79" t="n">
        <v>1780</v>
      </c>
      <c r="K79" t="n">
        <v>4679</v>
      </c>
      <c r="L79" t="n">
        <v>1780</v>
      </c>
      <c r="M79" t="n">
        <v>1000</v>
      </c>
      <c r="N79" t="n">
        <v>1390</v>
      </c>
      <c r="O79" t="n">
        <v>1780</v>
      </c>
      <c r="P79" t="n">
        <v>2170</v>
      </c>
      <c r="Q79" t="n">
        <v>2560</v>
      </c>
      <c r="R79" t="n">
        <v>2950</v>
      </c>
      <c r="S79" t="n">
        <v>3340</v>
      </c>
      <c r="T79" t="n">
        <v>3730</v>
      </c>
      <c r="U79" t="n">
        <v>4120</v>
      </c>
      <c r="V79" t="n">
        <v>1895</v>
      </c>
      <c r="W79" t="n">
        <v>1312</v>
      </c>
      <c r="X79" t="n">
        <v>1234</v>
      </c>
      <c r="Y79" t="n">
        <v>4900</v>
      </c>
    </row>
    <row r="80">
      <c r="A80" t="n">
        <v>79</v>
      </c>
      <c r="B80" t="n">
        <v>0</v>
      </c>
      <c r="C80" t="n">
        <v>3266</v>
      </c>
      <c r="D80" t="n">
        <v>4773</v>
      </c>
      <c r="E80" t="n">
        <v>10159</v>
      </c>
      <c r="F80" t="n">
        <v>21556</v>
      </c>
      <c r="G80" t="n">
        <v>45347</v>
      </c>
      <c r="H80" t="n">
        <v>94932</v>
      </c>
      <c r="I80" t="n">
        <v>197145</v>
      </c>
      <c r="J80" t="n">
        <v>1790</v>
      </c>
      <c r="K80" t="n">
        <v>4773</v>
      </c>
      <c r="L80" t="n">
        <v>1790</v>
      </c>
      <c r="M80" t="n">
        <v>1000</v>
      </c>
      <c r="N80" t="n">
        <v>1395</v>
      </c>
      <c r="O80" t="n">
        <v>1790</v>
      </c>
      <c r="P80" t="n">
        <v>2185</v>
      </c>
      <c r="Q80" t="n">
        <v>2580</v>
      </c>
      <c r="R80" t="n">
        <v>2975</v>
      </c>
      <c r="S80" t="n">
        <v>3370</v>
      </c>
      <c r="T80" t="n">
        <v>3765</v>
      </c>
      <c r="U80" t="n">
        <v>4160</v>
      </c>
      <c r="V80" t="n">
        <v>1909</v>
      </c>
      <c r="W80" t="n">
        <v>1316</v>
      </c>
      <c r="X80" t="n">
        <v>1237</v>
      </c>
      <c r="Y80" t="n">
        <v>4950</v>
      </c>
    </row>
    <row r="81">
      <c r="A81" t="n">
        <v>80</v>
      </c>
      <c r="B81" t="n">
        <v>0</v>
      </c>
      <c r="C81" t="n">
        <v>3315</v>
      </c>
      <c r="D81" t="n">
        <v>4869</v>
      </c>
      <c r="E81" t="n">
        <v>10464</v>
      </c>
      <c r="F81" t="n">
        <v>22419</v>
      </c>
      <c r="G81" t="n">
        <v>47615</v>
      </c>
      <c r="H81" t="n">
        <v>100628</v>
      </c>
      <c r="I81" t="n">
        <v>210946</v>
      </c>
      <c r="J81" t="n">
        <v>1800</v>
      </c>
      <c r="K81" t="n">
        <v>4869</v>
      </c>
      <c r="L81" t="n">
        <v>1800</v>
      </c>
      <c r="M81" t="n">
        <v>1000</v>
      </c>
      <c r="N81" t="n">
        <v>1400</v>
      </c>
      <c r="O81" t="n">
        <v>1800</v>
      </c>
      <c r="P81" t="n">
        <v>2200</v>
      </c>
      <c r="Q81" t="n">
        <v>2600</v>
      </c>
      <c r="R81" t="n">
        <v>3000</v>
      </c>
      <c r="S81" t="n">
        <v>3400</v>
      </c>
      <c r="T81" t="n">
        <v>3800</v>
      </c>
      <c r="U81" t="n">
        <v>4200</v>
      </c>
      <c r="V81" t="n">
        <v>1923</v>
      </c>
      <c r="W81" t="n">
        <v>1320</v>
      </c>
      <c r="X81" t="n">
        <v>1240</v>
      </c>
      <c r="Y81" t="n">
        <v>5000</v>
      </c>
    </row>
    <row r="82">
      <c r="A82" t="n">
        <v>81</v>
      </c>
      <c r="B82" t="n">
        <v>0</v>
      </c>
      <c r="C82" t="n">
        <v>3365</v>
      </c>
      <c r="D82" t="n">
        <v>4967</v>
      </c>
      <c r="E82" t="n">
        <v>10778</v>
      </c>
      <c r="F82" t="n">
        <v>23316</v>
      </c>
      <c r="G82" t="n">
        <v>49996</v>
      </c>
      <c r="H82" t="n">
        <v>106666</v>
      </c>
      <c r="I82" t="n">
        <v>225713</v>
      </c>
      <c r="J82" t="n">
        <v>1810</v>
      </c>
      <c r="K82" t="n">
        <v>4967</v>
      </c>
      <c r="L82" t="n">
        <v>1810</v>
      </c>
      <c r="M82" t="n">
        <v>1000</v>
      </c>
      <c r="N82" t="n">
        <v>1405</v>
      </c>
      <c r="O82" t="n">
        <v>1810</v>
      </c>
      <c r="P82" t="n">
        <v>2215</v>
      </c>
      <c r="Q82" t="n">
        <v>2620</v>
      </c>
      <c r="R82" t="n">
        <v>3025</v>
      </c>
      <c r="S82" t="n">
        <v>3430</v>
      </c>
      <c r="T82" t="n">
        <v>3835</v>
      </c>
      <c r="U82" t="n">
        <v>4240</v>
      </c>
      <c r="V82" t="n">
        <v>1937</v>
      </c>
      <c r="W82" t="n">
        <v>1324</v>
      </c>
      <c r="X82" t="n">
        <v>1243</v>
      </c>
      <c r="Y82" t="n">
        <v>5050</v>
      </c>
    </row>
    <row r="83">
      <c r="A83" t="n">
        <v>82</v>
      </c>
      <c r="B83" t="n">
        <v>0</v>
      </c>
      <c r="C83" t="n">
        <v>3416</v>
      </c>
      <c r="D83" t="n">
        <v>5067</v>
      </c>
      <c r="E83" t="n">
        <v>11102</v>
      </c>
      <c r="F83" t="n">
        <v>24249</v>
      </c>
      <c r="G83" t="n">
        <v>52496</v>
      </c>
      <c r="H83" t="n">
        <v>113066</v>
      </c>
      <c r="I83" t="n">
        <v>241513</v>
      </c>
      <c r="J83" t="n">
        <v>1820</v>
      </c>
      <c r="K83" t="n">
        <v>5067</v>
      </c>
      <c r="L83" t="n">
        <v>1820</v>
      </c>
      <c r="M83" t="n">
        <v>1000</v>
      </c>
      <c r="N83" t="n">
        <v>1410</v>
      </c>
      <c r="O83" t="n">
        <v>1820</v>
      </c>
      <c r="P83" t="n">
        <v>2230</v>
      </c>
      <c r="Q83" t="n">
        <v>2640</v>
      </c>
      <c r="R83" t="n">
        <v>3050</v>
      </c>
      <c r="S83" t="n">
        <v>3460</v>
      </c>
      <c r="T83" t="n">
        <v>3870</v>
      </c>
      <c r="U83" t="n">
        <v>4280</v>
      </c>
      <c r="V83" t="n">
        <v>1951</v>
      </c>
      <c r="W83" t="n">
        <v>1328</v>
      </c>
      <c r="X83" t="n">
        <v>1246</v>
      </c>
      <c r="Y83" t="n">
        <v>5100</v>
      </c>
    </row>
    <row r="84">
      <c r="A84" t="n">
        <v>83</v>
      </c>
      <c r="B84" t="n">
        <v>0</v>
      </c>
      <c r="C84" t="n">
        <v>3468</v>
      </c>
      <c r="D84" t="n">
        <v>5169</v>
      </c>
      <c r="E84" t="n">
        <v>11436</v>
      </c>
      <c r="F84" t="n">
        <v>25219</v>
      </c>
      <c r="G84" t="n">
        <v>55121</v>
      </c>
      <c r="H84" t="n">
        <v>119850</v>
      </c>
      <c r="I84" t="n">
        <v>258419</v>
      </c>
      <c r="J84" t="n">
        <v>1830</v>
      </c>
      <c r="K84" t="n">
        <v>5169</v>
      </c>
      <c r="L84" t="n">
        <v>1830</v>
      </c>
      <c r="M84" t="n">
        <v>1000</v>
      </c>
      <c r="N84" t="n">
        <v>1415</v>
      </c>
      <c r="O84" t="n">
        <v>1830</v>
      </c>
      <c r="P84" t="n">
        <v>2245</v>
      </c>
      <c r="Q84" t="n">
        <v>2660</v>
      </c>
      <c r="R84" t="n">
        <v>3075</v>
      </c>
      <c r="S84" t="n">
        <v>3490</v>
      </c>
      <c r="T84" t="n">
        <v>3905</v>
      </c>
      <c r="U84" t="n">
        <v>4320</v>
      </c>
      <c r="V84" t="n">
        <v>1965</v>
      </c>
      <c r="W84" t="n">
        <v>1332</v>
      </c>
      <c r="X84" t="n">
        <v>1249</v>
      </c>
      <c r="Y84" t="n">
        <v>5150</v>
      </c>
    </row>
    <row r="85">
      <c r="A85" t="n">
        <v>84</v>
      </c>
      <c r="B85" t="n">
        <v>0</v>
      </c>
      <c r="C85" t="n">
        <v>3521</v>
      </c>
      <c r="D85" t="n">
        <v>5273</v>
      </c>
      <c r="E85" t="n">
        <v>11780</v>
      </c>
      <c r="F85" t="n">
        <v>26228</v>
      </c>
      <c r="G85" t="n">
        <v>57878</v>
      </c>
      <c r="H85" t="n">
        <v>127041</v>
      </c>
      <c r="I85" t="n">
        <v>276509</v>
      </c>
      <c r="J85" t="n">
        <v>1840</v>
      </c>
      <c r="K85" t="n">
        <v>5273</v>
      </c>
      <c r="L85" t="n">
        <v>1840</v>
      </c>
      <c r="M85" t="n">
        <v>1000</v>
      </c>
      <c r="N85" t="n">
        <v>1420</v>
      </c>
      <c r="O85" t="n">
        <v>1840</v>
      </c>
      <c r="P85" t="n">
        <v>2260</v>
      </c>
      <c r="Q85" t="n">
        <v>2680</v>
      </c>
      <c r="R85" t="n">
        <v>3100</v>
      </c>
      <c r="S85" t="n">
        <v>3520</v>
      </c>
      <c r="T85" t="n">
        <v>3940</v>
      </c>
      <c r="U85" t="n">
        <v>4360</v>
      </c>
      <c r="V85" t="n">
        <v>1979</v>
      </c>
      <c r="W85" t="n">
        <v>1336</v>
      </c>
      <c r="X85" t="n">
        <v>1252</v>
      </c>
      <c r="Y85" t="n">
        <v>5200</v>
      </c>
    </row>
    <row r="86">
      <c r="A86" t="n">
        <v>85</v>
      </c>
      <c r="B86" t="n">
        <v>0</v>
      </c>
      <c r="C86" t="n">
        <v>3574</v>
      </c>
      <c r="D86" t="n">
        <v>5379</v>
      </c>
      <c r="E86" t="n">
        <v>12134</v>
      </c>
      <c r="F86" t="n">
        <v>27278</v>
      </c>
      <c r="G86" t="n">
        <v>60772</v>
      </c>
      <c r="H86" t="n">
        <v>134664</v>
      </c>
      <c r="I86" t="n">
        <v>295865</v>
      </c>
      <c r="J86" t="n">
        <v>1850</v>
      </c>
      <c r="K86" t="n">
        <v>5379</v>
      </c>
      <c r="L86" t="n">
        <v>1850</v>
      </c>
      <c r="M86" t="n">
        <v>1000</v>
      </c>
      <c r="N86" t="n">
        <v>1425</v>
      </c>
      <c r="O86" t="n">
        <v>1850</v>
      </c>
      <c r="P86" t="n">
        <v>2275</v>
      </c>
      <c r="Q86" t="n">
        <v>2700</v>
      </c>
      <c r="R86" t="n">
        <v>3125</v>
      </c>
      <c r="S86" t="n">
        <v>3550</v>
      </c>
      <c r="T86" t="n">
        <v>3975</v>
      </c>
      <c r="U86" t="n">
        <v>4400</v>
      </c>
      <c r="V86" t="n">
        <v>1993</v>
      </c>
      <c r="W86" t="n">
        <v>1340</v>
      </c>
      <c r="X86" t="n">
        <v>1255</v>
      </c>
      <c r="Y86" t="n">
        <v>5250</v>
      </c>
    </row>
    <row r="87">
      <c r="A87" t="n">
        <v>86</v>
      </c>
      <c r="B87" t="n">
        <v>0</v>
      </c>
      <c r="C87" t="n">
        <v>3628</v>
      </c>
      <c r="D87" t="n">
        <v>5487</v>
      </c>
      <c r="E87" t="n">
        <v>12499</v>
      </c>
      <c r="F87" t="n">
        <v>28370</v>
      </c>
      <c r="G87" t="n">
        <v>63811</v>
      </c>
      <c r="H87" t="n">
        <v>142744</v>
      </c>
      <c r="I87" t="n">
        <v>316576</v>
      </c>
      <c r="J87" t="n">
        <v>1860</v>
      </c>
      <c r="K87" t="n">
        <v>5487</v>
      </c>
      <c r="L87" t="n">
        <v>1860</v>
      </c>
      <c r="M87" t="n">
        <v>1000</v>
      </c>
      <c r="N87" t="n">
        <v>1430</v>
      </c>
      <c r="O87" t="n">
        <v>1860</v>
      </c>
      <c r="P87" t="n">
        <v>2290</v>
      </c>
      <c r="Q87" t="n">
        <v>2720</v>
      </c>
      <c r="R87" t="n">
        <v>3150</v>
      </c>
      <c r="S87" t="n">
        <v>3580</v>
      </c>
      <c r="T87" t="n">
        <v>4010</v>
      </c>
      <c r="U87" t="n">
        <v>4440</v>
      </c>
      <c r="V87" t="n">
        <v>2007</v>
      </c>
      <c r="W87" t="n">
        <v>1344</v>
      </c>
      <c r="X87" t="n">
        <v>1258</v>
      </c>
      <c r="Y87" t="n">
        <v>5300</v>
      </c>
    </row>
    <row r="88">
      <c r="A88" t="n">
        <v>87</v>
      </c>
      <c r="B88" t="n">
        <v>0</v>
      </c>
      <c r="C88" t="n">
        <v>3683</v>
      </c>
      <c r="D88" t="n">
        <v>5597</v>
      </c>
      <c r="E88" t="n">
        <v>12874</v>
      </c>
      <c r="F88" t="n">
        <v>29505</v>
      </c>
      <c r="G88" t="n">
        <v>67002</v>
      </c>
      <c r="H88" t="n">
        <v>151309</v>
      </c>
      <c r="I88" t="n">
        <v>338737</v>
      </c>
      <c r="J88" t="n">
        <v>1870</v>
      </c>
      <c r="K88" t="n">
        <v>5597</v>
      </c>
      <c r="L88" t="n">
        <v>1870</v>
      </c>
      <c r="M88" t="n">
        <v>1000</v>
      </c>
      <c r="N88" t="n">
        <v>1435</v>
      </c>
      <c r="O88" t="n">
        <v>1870</v>
      </c>
      <c r="P88" t="n">
        <v>2305</v>
      </c>
      <c r="Q88" t="n">
        <v>2740</v>
      </c>
      <c r="R88" t="n">
        <v>3175</v>
      </c>
      <c r="S88" t="n">
        <v>3610</v>
      </c>
      <c r="T88" t="n">
        <v>4045</v>
      </c>
      <c r="U88" t="n">
        <v>4480</v>
      </c>
      <c r="V88" t="n">
        <v>2022</v>
      </c>
      <c r="W88" t="n">
        <v>1348</v>
      </c>
      <c r="X88" t="n">
        <v>1261</v>
      </c>
      <c r="Y88" t="n">
        <v>5350</v>
      </c>
    </row>
    <row r="89">
      <c r="A89" t="n">
        <v>88</v>
      </c>
      <c r="B89" t="n">
        <v>0</v>
      </c>
      <c r="C89" t="n">
        <v>3739</v>
      </c>
      <c r="D89" t="n">
        <v>5709</v>
      </c>
      <c r="E89" t="n">
        <v>13261</v>
      </c>
      <c r="F89" t="n">
        <v>30686</v>
      </c>
      <c r="G89" t="n">
        <v>70353</v>
      </c>
      <c r="H89" t="n">
        <v>160388</v>
      </c>
      <c r="I89" t="n">
        <v>362449</v>
      </c>
      <c r="J89" t="n">
        <v>1880</v>
      </c>
      <c r="K89" t="n">
        <v>5709</v>
      </c>
      <c r="L89" t="n">
        <v>1880</v>
      </c>
      <c r="M89" t="n">
        <v>1000</v>
      </c>
      <c r="N89" t="n">
        <v>1440</v>
      </c>
      <c r="O89" t="n">
        <v>1880</v>
      </c>
      <c r="P89" t="n">
        <v>2320</v>
      </c>
      <c r="Q89" t="n">
        <v>2760</v>
      </c>
      <c r="R89" t="n">
        <v>3200</v>
      </c>
      <c r="S89" t="n">
        <v>3640</v>
      </c>
      <c r="T89" t="n">
        <v>4080</v>
      </c>
      <c r="U89" t="n">
        <v>4520</v>
      </c>
      <c r="V89" t="n">
        <v>2037</v>
      </c>
      <c r="W89" t="n">
        <v>1352</v>
      </c>
      <c r="X89" t="n">
        <v>1264</v>
      </c>
      <c r="Y89" t="n">
        <v>5400</v>
      </c>
    </row>
    <row r="90">
      <c r="A90" t="n">
        <v>89</v>
      </c>
      <c r="B90" t="n">
        <v>0</v>
      </c>
      <c r="C90" t="n">
        <v>3796</v>
      </c>
      <c r="D90" t="n">
        <v>5824</v>
      </c>
      <c r="E90" t="n">
        <v>13659</v>
      </c>
      <c r="F90" t="n">
        <v>31914</v>
      </c>
      <c r="G90" t="n">
        <v>73871</v>
      </c>
      <c r="H90" t="n">
        <v>170012</v>
      </c>
      <c r="I90" t="n">
        <v>387821</v>
      </c>
      <c r="J90" t="n">
        <v>1890</v>
      </c>
      <c r="K90" t="n">
        <v>5824</v>
      </c>
      <c r="L90" t="n">
        <v>1890</v>
      </c>
      <c r="M90" t="n">
        <v>1000</v>
      </c>
      <c r="N90" t="n">
        <v>1445</v>
      </c>
      <c r="O90" t="n">
        <v>1890</v>
      </c>
      <c r="P90" t="n">
        <v>2335</v>
      </c>
      <c r="Q90" t="n">
        <v>2780</v>
      </c>
      <c r="R90" t="n">
        <v>3225</v>
      </c>
      <c r="S90" t="n">
        <v>3670</v>
      </c>
      <c r="T90" t="n">
        <v>4115</v>
      </c>
      <c r="U90" t="n">
        <v>4560</v>
      </c>
      <c r="V90" t="n">
        <v>2052</v>
      </c>
      <c r="W90" t="n">
        <v>1356</v>
      </c>
      <c r="X90" t="n">
        <v>1267</v>
      </c>
      <c r="Y90" t="n">
        <v>5450</v>
      </c>
    </row>
    <row r="91">
      <c r="A91" t="n">
        <v>90</v>
      </c>
      <c r="B91" t="n">
        <v>0</v>
      </c>
      <c r="C91" t="n">
        <v>3853</v>
      </c>
      <c r="D91" t="n">
        <v>5941</v>
      </c>
      <c r="E91" t="n">
        <v>14069</v>
      </c>
      <c r="F91" t="n">
        <v>33191</v>
      </c>
      <c r="G91" t="n">
        <v>77565</v>
      </c>
      <c r="H91" t="n">
        <v>180213</v>
      </c>
      <c r="I91" t="n">
        <v>414969</v>
      </c>
      <c r="J91" t="n">
        <v>1900</v>
      </c>
      <c r="K91" t="n">
        <v>5941</v>
      </c>
      <c r="L91" t="n">
        <v>1900</v>
      </c>
      <c r="M91" t="n">
        <v>1000</v>
      </c>
      <c r="N91" t="n">
        <v>1450</v>
      </c>
      <c r="O91" t="n">
        <v>1900</v>
      </c>
      <c r="P91" t="n">
        <v>2350</v>
      </c>
      <c r="Q91" t="n">
        <v>2800</v>
      </c>
      <c r="R91" t="n">
        <v>3250</v>
      </c>
      <c r="S91" t="n">
        <v>3700</v>
      </c>
      <c r="T91" t="n">
        <v>4150</v>
      </c>
      <c r="U91" t="n">
        <v>4600</v>
      </c>
      <c r="V91" t="n">
        <v>2067</v>
      </c>
      <c r="W91" t="n">
        <v>1360</v>
      </c>
      <c r="X91" t="n">
        <v>1270</v>
      </c>
      <c r="Y91" t="n">
        <v>5500</v>
      </c>
    </row>
    <row r="92">
      <c r="A92" t="n">
        <v>91</v>
      </c>
      <c r="B92" t="n">
        <v>0</v>
      </c>
      <c r="C92" t="n">
        <v>3911</v>
      </c>
      <c r="D92" t="n">
        <v>6060</v>
      </c>
      <c r="E92" t="n">
        <v>14492</v>
      </c>
      <c r="F92" t="n">
        <v>34519</v>
      </c>
      <c r="G92" t="n">
        <v>81444</v>
      </c>
      <c r="H92" t="n">
        <v>191026</v>
      </c>
      <c r="I92" t="n">
        <v>444017</v>
      </c>
      <c r="J92" t="n">
        <v>1910</v>
      </c>
      <c r="K92" t="n">
        <v>6060</v>
      </c>
      <c r="L92" t="n">
        <v>1910</v>
      </c>
      <c r="M92" t="n">
        <v>1000</v>
      </c>
      <c r="N92" t="n">
        <v>1455</v>
      </c>
      <c r="O92" t="n">
        <v>1910</v>
      </c>
      <c r="P92" t="n">
        <v>2365</v>
      </c>
      <c r="Q92" t="n">
        <v>2820</v>
      </c>
      <c r="R92" t="n">
        <v>3275</v>
      </c>
      <c r="S92" t="n">
        <v>3730</v>
      </c>
      <c r="T92" t="n">
        <v>4185</v>
      </c>
      <c r="U92" t="n">
        <v>4640</v>
      </c>
      <c r="V92" t="n">
        <v>2082</v>
      </c>
      <c r="W92" t="n">
        <v>1364</v>
      </c>
      <c r="X92" t="n">
        <v>1273</v>
      </c>
      <c r="Y92" t="n">
        <v>5550</v>
      </c>
    </row>
    <row r="93">
      <c r="A93" t="n">
        <v>92</v>
      </c>
      <c r="B93" t="n">
        <v>0</v>
      </c>
      <c r="C93" t="n">
        <v>3970</v>
      </c>
      <c r="D93" t="n">
        <v>6182</v>
      </c>
      <c r="E93" t="n">
        <v>14927</v>
      </c>
      <c r="F93" t="n">
        <v>35900</v>
      </c>
      <c r="G93" t="n">
        <v>85517</v>
      </c>
      <c r="H93" t="n">
        <v>202488</v>
      </c>
      <c r="I93" t="n">
        <v>475099</v>
      </c>
      <c r="J93" t="n">
        <v>1920</v>
      </c>
      <c r="K93" t="n">
        <v>6182</v>
      </c>
      <c r="L93" t="n">
        <v>1920</v>
      </c>
      <c r="M93" t="n">
        <v>1000</v>
      </c>
      <c r="N93" t="n">
        <v>1460</v>
      </c>
      <c r="O93" t="n">
        <v>1920</v>
      </c>
      <c r="P93" t="n">
        <v>2380</v>
      </c>
      <c r="Q93" t="n">
        <v>2840</v>
      </c>
      <c r="R93" t="n">
        <v>3300</v>
      </c>
      <c r="S93" t="n">
        <v>3760</v>
      </c>
      <c r="T93" t="n">
        <v>4220</v>
      </c>
      <c r="U93" t="n">
        <v>4680</v>
      </c>
      <c r="V93" t="n">
        <v>2097</v>
      </c>
      <c r="W93" t="n">
        <v>1368</v>
      </c>
      <c r="X93" t="n">
        <v>1276</v>
      </c>
      <c r="Y93" t="n">
        <v>5600</v>
      </c>
    </row>
    <row r="94">
      <c r="A94" t="n">
        <v>93</v>
      </c>
      <c r="B94" t="n">
        <v>0</v>
      </c>
      <c r="C94" t="n">
        <v>4030</v>
      </c>
      <c r="D94" t="n">
        <v>6306</v>
      </c>
      <c r="E94" t="n">
        <v>15375</v>
      </c>
      <c r="F94" t="n">
        <v>37336</v>
      </c>
      <c r="G94" t="n">
        <v>89793</v>
      </c>
      <c r="H94" t="n">
        <v>214638</v>
      </c>
      <c r="I94" t="n">
        <v>508356</v>
      </c>
      <c r="J94" t="n">
        <v>1930</v>
      </c>
      <c r="K94" t="n">
        <v>6306</v>
      </c>
      <c r="L94" t="n">
        <v>1930</v>
      </c>
      <c r="M94" t="n">
        <v>1000</v>
      </c>
      <c r="N94" t="n">
        <v>1465</v>
      </c>
      <c r="O94" t="n">
        <v>1930</v>
      </c>
      <c r="P94" t="n">
        <v>2395</v>
      </c>
      <c r="Q94" t="n">
        <v>2860</v>
      </c>
      <c r="R94" t="n">
        <v>3325</v>
      </c>
      <c r="S94" t="n">
        <v>3790</v>
      </c>
      <c r="T94" t="n">
        <v>4255</v>
      </c>
      <c r="U94" t="n">
        <v>4720</v>
      </c>
      <c r="V94" t="n">
        <v>2112</v>
      </c>
      <c r="W94" t="n">
        <v>1372</v>
      </c>
      <c r="X94" t="n">
        <v>1279</v>
      </c>
      <c r="Y94" t="n">
        <v>5650</v>
      </c>
    </row>
    <row r="95">
      <c r="A95" t="n">
        <v>94</v>
      </c>
      <c r="B95" t="n">
        <v>0</v>
      </c>
      <c r="C95" t="n">
        <v>4091</v>
      </c>
      <c r="D95" t="n">
        <v>6433</v>
      </c>
      <c r="E95" t="n">
        <v>15837</v>
      </c>
      <c r="F95" t="n">
        <v>38830</v>
      </c>
      <c r="G95" t="n">
        <v>94283</v>
      </c>
      <c r="H95" t="n">
        <v>227517</v>
      </c>
      <c r="I95" t="n">
        <v>543941</v>
      </c>
      <c r="J95" t="n">
        <v>1940</v>
      </c>
      <c r="K95" t="n">
        <v>6433</v>
      </c>
      <c r="L95" t="n">
        <v>1940</v>
      </c>
      <c r="M95" t="n">
        <v>1000</v>
      </c>
      <c r="N95" t="n">
        <v>1470</v>
      </c>
      <c r="O95" t="n">
        <v>1940</v>
      </c>
      <c r="P95" t="n">
        <v>2410</v>
      </c>
      <c r="Q95" t="n">
        <v>2880</v>
      </c>
      <c r="R95" t="n">
        <v>3350</v>
      </c>
      <c r="S95" t="n">
        <v>3820</v>
      </c>
      <c r="T95" t="n">
        <v>4290</v>
      </c>
      <c r="U95" t="n">
        <v>4760</v>
      </c>
      <c r="V95" t="n">
        <v>2127</v>
      </c>
      <c r="W95" t="n">
        <v>1376</v>
      </c>
      <c r="X95" t="n">
        <v>1282</v>
      </c>
      <c r="Y95" t="n">
        <v>5700</v>
      </c>
    </row>
    <row r="96">
      <c r="A96" t="n">
        <v>95</v>
      </c>
      <c r="B96" t="n">
        <v>0</v>
      </c>
      <c r="C96" t="n">
        <v>4153</v>
      </c>
      <c r="D96" t="n">
        <v>6562</v>
      </c>
      <c r="E96" t="n">
        <v>16313</v>
      </c>
      <c r="F96" t="n">
        <v>40384</v>
      </c>
      <c r="G96" t="n">
        <v>98998</v>
      </c>
      <c r="H96" t="n">
        <v>241169</v>
      </c>
      <c r="I96" t="n">
        <v>582017</v>
      </c>
      <c r="J96" t="n">
        <v>1950</v>
      </c>
      <c r="K96" t="n">
        <v>6562</v>
      </c>
      <c r="L96" t="n">
        <v>1950</v>
      </c>
      <c r="M96" t="n">
        <v>1000</v>
      </c>
      <c r="N96" t="n">
        <v>1475</v>
      </c>
      <c r="O96" t="n">
        <v>1950</v>
      </c>
      <c r="P96" t="n">
        <v>2425</v>
      </c>
      <c r="Q96" t="n">
        <v>2900</v>
      </c>
      <c r="R96" t="n">
        <v>3375</v>
      </c>
      <c r="S96" t="n">
        <v>3850</v>
      </c>
      <c r="T96" t="n">
        <v>4325</v>
      </c>
      <c r="U96" t="n">
        <v>4800</v>
      </c>
      <c r="V96" t="n">
        <v>2142</v>
      </c>
      <c r="W96" t="n">
        <v>1380</v>
      </c>
      <c r="X96" t="n">
        <v>1285</v>
      </c>
      <c r="Y96" t="n">
        <v>5750</v>
      </c>
    </row>
    <row r="97">
      <c r="A97" t="n">
        <v>96</v>
      </c>
      <c r="B97" t="n">
        <v>0</v>
      </c>
      <c r="C97" t="n">
        <v>4216</v>
      </c>
      <c r="D97" t="n">
        <v>6694</v>
      </c>
      <c r="E97" t="n">
        <v>16803</v>
      </c>
      <c r="F97" t="n">
        <v>42000</v>
      </c>
      <c r="G97" t="n">
        <v>103948</v>
      </c>
      <c r="H97" t="n">
        <v>255640</v>
      </c>
      <c r="I97" t="n">
        <v>622759</v>
      </c>
      <c r="J97" t="n">
        <v>1960</v>
      </c>
      <c r="K97" t="n">
        <v>6694</v>
      </c>
      <c r="L97" t="n">
        <v>1960</v>
      </c>
      <c r="M97" t="n">
        <v>1000</v>
      </c>
      <c r="N97" t="n">
        <v>1480</v>
      </c>
      <c r="O97" t="n">
        <v>1960</v>
      </c>
      <c r="P97" t="n">
        <v>2440</v>
      </c>
      <c r="Q97" t="n">
        <v>2920</v>
      </c>
      <c r="R97" t="n">
        <v>3400</v>
      </c>
      <c r="S97" t="n">
        <v>3880</v>
      </c>
      <c r="T97" t="n">
        <v>4360</v>
      </c>
      <c r="U97" t="n">
        <v>4840</v>
      </c>
      <c r="V97" t="n">
        <v>2157</v>
      </c>
      <c r="W97" t="n">
        <v>1384</v>
      </c>
      <c r="X97" t="n">
        <v>1288</v>
      </c>
      <c r="Y97" t="n">
        <v>5800</v>
      </c>
    </row>
    <row r="98">
      <c r="A98" t="n">
        <v>97</v>
      </c>
      <c r="B98" t="n">
        <v>0</v>
      </c>
      <c r="C98" t="n">
        <v>4280</v>
      </c>
      <c r="D98" t="n">
        <v>6828</v>
      </c>
      <c r="E98" t="n">
        <v>17308</v>
      </c>
      <c r="F98" t="n">
        <v>43680</v>
      </c>
      <c r="G98" t="n">
        <v>109146</v>
      </c>
      <c r="H98" t="n">
        <v>270979</v>
      </c>
      <c r="I98" t="n">
        <v>666353</v>
      </c>
      <c r="J98" t="n">
        <v>1970</v>
      </c>
      <c r="K98" t="n">
        <v>6828</v>
      </c>
      <c r="L98" t="n">
        <v>1970</v>
      </c>
      <c r="M98" t="n">
        <v>1000</v>
      </c>
      <c r="N98" t="n">
        <v>1485</v>
      </c>
      <c r="O98" t="n">
        <v>1970</v>
      </c>
      <c r="P98" t="n">
        <v>2455</v>
      </c>
      <c r="Q98" t="n">
        <v>2940</v>
      </c>
      <c r="R98" t="n">
        <v>3425</v>
      </c>
      <c r="S98" t="n">
        <v>3910</v>
      </c>
      <c r="T98" t="n">
        <v>4395</v>
      </c>
      <c r="U98" t="n">
        <v>4880</v>
      </c>
      <c r="V98" t="n">
        <v>2172</v>
      </c>
      <c r="W98" t="n">
        <v>1388</v>
      </c>
      <c r="X98" t="n">
        <v>1291</v>
      </c>
      <c r="Y98" t="n">
        <v>5850</v>
      </c>
    </row>
    <row r="99">
      <c r="A99" t="n">
        <v>98</v>
      </c>
      <c r="B99" t="n">
        <v>0</v>
      </c>
      <c r="C99" t="n">
        <v>4345</v>
      </c>
      <c r="D99" t="n">
        <v>6965</v>
      </c>
      <c r="E99" t="n">
        <v>17828</v>
      </c>
      <c r="F99" t="n">
        <v>45428</v>
      </c>
      <c r="G99" t="n">
        <v>114604</v>
      </c>
      <c r="H99" t="n">
        <v>287238</v>
      </c>
      <c r="I99" t="n">
        <v>712998</v>
      </c>
      <c r="J99" t="n">
        <v>1980</v>
      </c>
      <c r="K99" t="n">
        <v>6965</v>
      </c>
      <c r="L99" t="n">
        <v>1980</v>
      </c>
      <c r="M99" t="n">
        <v>1000</v>
      </c>
      <c r="N99" t="n">
        <v>1490</v>
      </c>
      <c r="O99" t="n">
        <v>1980</v>
      </c>
      <c r="P99" t="n">
        <v>2470</v>
      </c>
      <c r="Q99" t="n">
        <v>2960</v>
      </c>
      <c r="R99" t="n">
        <v>3450</v>
      </c>
      <c r="S99" t="n">
        <v>3940</v>
      </c>
      <c r="T99" t="n">
        <v>4430</v>
      </c>
      <c r="U99" t="n">
        <v>4920</v>
      </c>
      <c r="V99" t="n">
        <v>2187</v>
      </c>
      <c r="W99" t="n">
        <v>1392</v>
      </c>
      <c r="X99" t="n">
        <v>1294</v>
      </c>
      <c r="Y99" t="n">
        <v>5900</v>
      </c>
    </row>
    <row r="100">
      <c r="A100" t="n">
        <v>99</v>
      </c>
      <c r="B100" t="n">
        <v>0</v>
      </c>
      <c r="C100" t="n">
        <v>4411</v>
      </c>
      <c r="D100" t="n">
        <v>7105</v>
      </c>
      <c r="E100" t="n">
        <v>18363</v>
      </c>
      <c r="F100" t="n">
        <v>47246</v>
      </c>
      <c r="G100" t="n">
        <v>120335</v>
      </c>
      <c r="H100" t="n">
        <v>304473</v>
      </c>
      <c r="I100" t="n">
        <v>762908</v>
      </c>
      <c r="J100" t="n">
        <v>1990</v>
      </c>
      <c r="K100" t="n">
        <v>7105</v>
      </c>
      <c r="L100" t="n">
        <v>1990</v>
      </c>
      <c r="M100" t="n">
        <v>1000</v>
      </c>
      <c r="N100" t="n">
        <v>1495</v>
      </c>
      <c r="O100" t="n">
        <v>1990</v>
      </c>
      <c r="P100" t="n">
        <v>2485</v>
      </c>
      <c r="Q100" t="n">
        <v>2980</v>
      </c>
      <c r="R100" t="n">
        <v>3475</v>
      </c>
      <c r="S100" t="n">
        <v>3970</v>
      </c>
      <c r="T100" t="n">
        <v>4465</v>
      </c>
      <c r="U100" t="n">
        <v>4960</v>
      </c>
      <c r="V100" t="n">
        <v>2202</v>
      </c>
      <c r="W100" t="n">
        <v>1396</v>
      </c>
      <c r="X100" t="n">
        <v>1297</v>
      </c>
      <c r="Y100" t="n">
        <v>5950</v>
      </c>
    </row>
    <row r="101">
      <c r="A101" t="n">
        <v>100</v>
      </c>
      <c r="B101" t="n">
        <v>0</v>
      </c>
      <c r="C101" t="n">
        <v>4478</v>
      </c>
      <c r="D101" t="n">
        <v>7248</v>
      </c>
      <c r="E101" t="n">
        <v>18914</v>
      </c>
      <c r="F101" t="n">
        <v>49136</v>
      </c>
      <c r="G101" t="n">
        <v>126352</v>
      </c>
      <c r="H101" t="n">
        <v>322742</v>
      </c>
      <c r="I101" t="n">
        <v>816312</v>
      </c>
      <c r="J101" t="n">
        <v>2000</v>
      </c>
      <c r="K101" t="n">
        <v>7248</v>
      </c>
      <c r="L101" t="n">
        <v>2000</v>
      </c>
      <c r="M101" t="n">
        <v>1000</v>
      </c>
      <c r="N101" t="n">
        <v>1500</v>
      </c>
      <c r="O101" t="n">
        <v>2000</v>
      </c>
      <c r="P101" t="n">
        <v>2500</v>
      </c>
      <c r="Q101" t="n">
        <v>3000</v>
      </c>
      <c r="R101" t="n">
        <v>3500</v>
      </c>
      <c r="S101" t="n">
        <v>4000</v>
      </c>
      <c r="T101" t="n">
        <v>4500</v>
      </c>
      <c r="U101" t="n">
        <v>5000</v>
      </c>
      <c r="V101" t="n">
        <v>2218</v>
      </c>
      <c r="W101" t="n">
        <v>1400</v>
      </c>
      <c r="X101" t="n">
        <v>1300</v>
      </c>
      <c r="Y101" t="n">
        <v>6000</v>
      </c>
    </row>
    <row r="102">
      <c r="A102" t="n">
        <v>101</v>
      </c>
      <c r="B102" t="n">
        <v>0</v>
      </c>
      <c r="C102" t="n">
        <v>4546</v>
      </c>
      <c r="D102" t="n">
        <v>7393</v>
      </c>
      <c r="E102" t="n">
        <v>19482</v>
      </c>
      <c r="F102" t="n">
        <v>51102</v>
      </c>
      <c r="G102" t="n">
        <v>132670</v>
      </c>
      <c r="H102" t="n">
        <v>342107</v>
      </c>
      <c r="I102" t="n">
        <v>873454</v>
      </c>
      <c r="J102" t="n">
        <v>2000</v>
      </c>
      <c r="K102" t="n">
        <v>7321</v>
      </c>
      <c r="L102" t="n">
        <v>2010</v>
      </c>
      <c r="M102" t="n">
        <v>1001</v>
      </c>
      <c r="N102" t="n">
        <v>1505</v>
      </c>
      <c r="O102" t="n">
        <v>2010</v>
      </c>
      <c r="P102" t="n">
        <v>2515</v>
      </c>
      <c r="Q102" t="n">
        <v>3020</v>
      </c>
      <c r="R102" t="n">
        <v>3525</v>
      </c>
      <c r="S102" t="n">
        <v>4030</v>
      </c>
      <c r="T102" t="n">
        <v>4535</v>
      </c>
      <c r="U102" t="n">
        <v>5040</v>
      </c>
      <c r="V102" t="n">
        <v>2234</v>
      </c>
      <c r="W102" t="n">
        <v>1404</v>
      </c>
      <c r="X102" t="n">
        <v>1303</v>
      </c>
      <c r="Y102" t="n">
        <v>6050</v>
      </c>
    </row>
    <row r="103">
      <c r="A103" t="n">
        <v>102</v>
      </c>
      <c r="B103" t="n">
        <v>0</v>
      </c>
      <c r="C103" t="n">
        <v>4615</v>
      </c>
      <c r="D103" t="n">
        <v>7541</v>
      </c>
      <c r="E103" t="n">
        <v>20067</v>
      </c>
      <c r="F103" t="n">
        <v>53147</v>
      </c>
      <c r="G103" t="n">
        <v>139304</v>
      </c>
      <c r="H103" t="n">
        <v>362634</v>
      </c>
      <c r="I103" t="n">
        <v>934596</v>
      </c>
      <c r="J103" t="n">
        <v>2000</v>
      </c>
      <c r="K103" t="n">
        <v>7395</v>
      </c>
      <c r="L103" t="n">
        <v>2020</v>
      </c>
      <c r="M103" t="n">
        <v>1002</v>
      </c>
      <c r="N103" t="n">
        <v>1510</v>
      </c>
      <c r="O103" t="n">
        <v>2020</v>
      </c>
      <c r="P103" t="n">
        <v>2530</v>
      </c>
      <c r="Q103" t="n">
        <v>3040</v>
      </c>
      <c r="R103" t="n">
        <v>3550</v>
      </c>
      <c r="S103" t="n">
        <v>4060</v>
      </c>
      <c r="T103" t="n">
        <v>4570</v>
      </c>
      <c r="U103" t="n">
        <v>5080</v>
      </c>
      <c r="V103" t="n">
        <v>2250</v>
      </c>
      <c r="W103" t="n">
        <v>1408</v>
      </c>
      <c r="X103" t="n">
        <v>1306</v>
      </c>
      <c r="Y103" t="n">
        <v>6100</v>
      </c>
    </row>
    <row r="104">
      <c r="A104" t="n">
        <v>103</v>
      </c>
      <c r="B104" t="n">
        <v>0</v>
      </c>
      <c r="C104" t="n">
        <v>4685</v>
      </c>
      <c r="D104" t="n">
        <v>7692</v>
      </c>
      <c r="E104" t="n">
        <v>20670</v>
      </c>
      <c r="F104" t="n">
        <v>55273</v>
      </c>
      <c r="G104" t="n">
        <v>146270</v>
      </c>
      <c r="H104" t="n">
        <v>384393</v>
      </c>
      <c r="I104" t="n">
        <v>1000018</v>
      </c>
      <c r="J104" t="n">
        <v>2000</v>
      </c>
      <c r="K104" t="n">
        <v>7469</v>
      </c>
      <c r="L104" t="n">
        <v>2030</v>
      </c>
      <c r="M104" t="n">
        <v>1003</v>
      </c>
      <c r="N104" t="n">
        <v>1515</v>
      </c>
      <c r="O104" t="n">
        <v>2030</v>
      </c>
      <c r="P104" t="n">
        <v>2545</v>
      </c>
      <c r="Q104" t="n">
        <v>3060</v>
      </c>
      <c r="R104" t="n">
        <v>3575</v>
      </c>
      <c r="S104" t="n">
        <v>4090</v>
      </c>
      <c r="T104" t="n">
        <v>4605</v>
      </c>
      <c r="U104" t="n">
        <v>5120</v>
      </c>
      <c r="V104" t="n">
        <v>2266</v>
      </c>
      <c r="W104" t="n">
        <v>1412</v>
      </c>
      <c r="X104" t="n">
        <v>1309</v>
      </c>
      <c r="Y104" t="n">
        <v>6150</v>
      </c>
    </row>
    <row r="105">
      <c r="A105" t="n">
        <v>104</v>
      </c>
      <c r="B105" t="n">
        <v>0</v>
      </c>
      <c r="C105" t="n">
        <v>4756</v>
      </c>
      <c r="D105" t="n">
        <v>7846</v>
      </c>
      <c r="E105" t="n">
        <v>21291</v>
      </c>
      <c r="F105" t="n">
        <v>57484</v>
      </c>
      <c r="G105" t="n">
        <v>153584</v>
      </c>
      <c r="H105" t="n">
        <v>407457</v>
      </c>
      <c r="I105" t="n">
        <v>1070020</v>
      </c>
      <c r="J105" t="n">
        <v>2000</v>
      </c>
      <c r="K105" t="n">
        <v>7544</v>
      </c>
      <c r="L105" t="n">
        <v>2040</v>
      </c>
      <c r="M105" t="n">
        <v>1004</v>
      </c>
      <c r="N105" t="n">
        <v>1520</v>
      </c>
      <c r="O105" t="n">
        <v>2040</v>
      </c>
      <c r="P105" t="n">
        <v>2560</v>
      </c>
      <c r="Q105" t="n">
        <v>3080</v>
      </c>
      <c r="R105" t="n">
        <v>3600</v>
      </c>
      <c r="S105" t="n">
        <v>4120</v>
      </c>
      <c r="T105" t="n">
        <v>4640</v>
      </c>
      <c r="U105" t="n">
        <v>5160</v>
      </c>
      <c r="V105" t="n">
        <v>2282</v>
      </c>
      <c r="W105" t="n">
        <v>1416</v>
      </c>
      <c r="X105" t="n">
        <v>1312</v>
      </c>
      <c r="Y105" t="n">
        <v>6200</v>
      </c>
    </row>
    <row r="106">
      <c r="A106" t="n">
        <v>105</v>
      </c>
      <c r="B106" t="n">
        <v>0</v>
      </c>
      <c r="C106" t="n">
        <v>4828</v>
      </c>
      <c r="D106" t="n">
        <v>8003</v>
      </c>
      <c r="E106" t="n">
        <v>21930</v>
      </c>
      <c r="F106" t="n">
        <v>59784</v>
      </c>
      <c r="G106" t="n">
        <v>161264</v>
      </c>
      <c r="H106" t="n">
        <v>431905</v>
      </c>
      <c r="I106" t="n">
        <v>1144922</v>
      </c>
      <c r="J106" t="n">
        <v>2000</v>
      </c>
      <c r="K106" t="n">
        <v>7620</v>
      </c>
      <c r="L106" t="n">
        <v>2050</v>
      </c>
      <c r="M106" t="n">
        <v>1005</v>
      </c>
      <c r="N106" t="n">
        <v>1525</v>
      </c>
      <c r="O106" t="n">
        <v>2050</v>
      </c>
      <c r="P106" t="n">
        <v>2575</v>
      </c>
      <c r="Q106" t="n">
        <v>3100</v>
      </c>
      <c r="R106" t="n">
        <v>3625</v>
      </c>
      <c r="S106" t="n">
        <v>4150</v>
      </c>
      <c r="T106" t="n">
        <v>4675</v>
      </c>
      <c r="U106" t="n">
        <v>5200</v>
      </c>
      <c r="V106" t="n">
        <v>2298</v>
      </c>
      <c r="W106" t="n">
        <v>1420</v>
      </c>
      <c r="X106" t="n">
        <v>1315</v>
      </c>
      <c r="Y106" t="n">
        <v>6250</v>
      </c>
    </row>
    <row r="107">
      <c r="A107" t="n">
        <v>106</v>
      </c>
      <c r="B107" t="n">
        <v>0</v>
      </c>
      <c r="C107" t="n">
        <v>4901</v>
      </c>
      <c r="D107" t="n">
        <v>8164</v>
      </c>
      <c r="E107" t="n">
        <v>22588</v>
      </c>
      <c r="F107" t="n">
        <v>62176</v>
      </c>
      <c r="G107" t="n">
        <v>169328</v>
      </c>
      <c r="H107" t="n">
        <v>457820</v>
      </c>
      <c r="I107" t="n">
        <v>1225067</v>
      </c>
      <c r="J107" t="n">
        <v>2000</v>
      </c>
      <c r="K107" t="n">
        <v>7697</v>
      </c>
      <c r="L107" t="n">
        <v>2060</v>
      </c>
      <c r="M107" t="n">
        <v>1006</v>
      </c>
      <c r="N107" t="n">
        <v>1530</v>
      </c>
      <c r="O107" t="n">
        <v>2060</v>
      </c>
      <c r="P107" t="n">
        <v>2590</v>
      </c>
      <c r="Q107" t="n">
        <v>3120</v>
      </c>
      <c r="R107" t="n">
        <v>3650</v>
      </c>
      <c r="S107" t="n">
        <v>4180</v>
      </c>
      <c r="T107" t="n">
        <v>4710</v>
      </c>
      <c r="U107" t="n">
        <v>5240</v>
      </c>
      <c r="V107" t="n">
        <v>2314</v>
      </c>
      <c r="W107" t="n">
        <v>1424</v>
      </c>
      <c r="X107" t="n">
        <v>1318</v>
      </c>
      <c r="Y107" t="n">
        <v>6300</v>
      </c>
    </row>
    <row r="108">
      <c r="A108" t="n">
        <v>107</v>
      </c>
      <c r="B108" t="n">
        <v>0</v>
      </c>
      <c r="C108" t="n">
        <v>4975</v>
      </c>
      <c r="D108" t="n">
        <v>8328</v>
      </c>
      <c r="E108" t="n">
        <v>23266</v>
      </c>
      <c r="F108" t="n">
        <v>64664</v>
      </c>
      <c r="G108" t="n">
        <v>177795</v>
      </c>
      <c r="H108" t="n">
        <v>485290</v>
      </c>
      <c r="I108" t="n">
        <v>1310822</v>
      </c>
      <c r="J108" t="n">
        <v>2000</v>
      </c>
      <c r="K108" t="n">
        <v>7774</v>
      </c>
      <c r="L108" t="n">
        <v>2070</v>
      </c>
      <c r="M108" t="n">
        <v>1007</v>
      </c>
      <c r="N108" t="n">
        <v>1535</v>
      </c>
      <c r="O108" t="n">
        <v>2070</v>
      </c>
      <c r="P108" t="n">
        <v>2605</v>
      </c>
      <c r="Q108" t="n">
        <v>3140</v>
      </c>
      <c r="R108" t="n">
        <v>3675</v>
      </c>
      <c r="S108" t="n">
        <v>4210</v>
      </c>
      <c r="T108" t="n">
        <v>4745</v>
      </c>
      <c r="U108" t="n">
        <v>5280</v>
      </c>
      <c r="V108" t="n">
        <v>2330</v>
      </c>
      <c r="W108" t="n">
        <v>1428</v>
      </c>
      <c r="X108" t="n">
        <v>1321</v>
      </c>
      <c r="Y108" t="n">
        <v>6350</v>
      </c>
    </row>
    <row r="109">
      <c r="A109" t="n">
        <v>108</v>
      </c>
      <c r="B109" t="n">
        <v>0</v>
      </c>
      <c r="C109" t="n">
        <v>5050</v>
      </c>
      <c r="D109" t="n">
        <v>8495</v>
      </c>
      <c r="E109" t="n">
        <v>23964</v>
      </c>
      <c r="F109" t="n">
        <v>67251</v>
      </c>
      <c r="G109" t="n">
        <v>186685</v>
      </c>
      <c r="H109" t="n">
        <v>514408</v>
      </c>
      <c r="I109" t="n">
        <v>1402580</v>
      </c>
      <c r="J109" t="n">
        <v>2000</v>
      </c>
      <c r="K109" t="n">
        <v>7852</v>
      </c>
      <c r="L109" t="n">
        <v>2080</v>
      </c>
      <c r="M109" t="n">
        <v>1008</v>
      </c>
      <c r="N109" t="n">
        <v>1540</v>
      </c>
      <c r="O109" t="n">
        <v>2080</v>
      </c>
      <c r="P109" t="n">
        <v>2620</v>
      </c>
      <c r="Q109" t="n">
        <v>3160</v>
      </c>
      <c r="R109" t="n">
        <v>3700</v>
      </c>
      <c r="S109" t="n">
        <v>4240</v>
      </c>
      <c r="T109" t="n">
        <v>4780</v>
      </c>
      <c r="U109" t="n">
        <v>5320</v>
      </c>
      <c r="V109" t="n">
        <v>2346</v>
      </c>
      <c r="W109" t="n">
        <v>1432</v>
      </c>
      <c r="X109" t="n">
        <v>1324</v>
      </c>
      <c r="Y109" t="n">
        <v>6400</v>
      </c>
    </row>
    <row r="110">
      <c r="A110" t="n">
        <v>109</v>
      </c>
      <c r="B110" t="n">
        <v>0</v>
      </c>
      <c r="C110" t="n">
        <v>5126</v>
      </c>
      <c r="D110" t="n">
        <v>8665</v>
      </c>
      <c r="E110" t="n">
        <v>24683</v>
      </c>
      <c r="F110" t="n">
        <v>69942</v>
      </c>
      <c r="G110" t="n">
        <v>196020</v>
      </c>
      <c r="H110" t="n">
        <v>545273</v>
      </c>
      <c r="I110" t="n">
        <v>1500761</v>
      </c>
      <c r="J110" t="n">
        <v>2000</v>
      </c>
      <c r="K110" t="n">
        <v>7931</v>
      </c>
      <c r="L110" t="n">
        <v>2090</v>
      </c>
      <c r="M110" t="n">
        <v>1009</v>
      </c>
      <c r="N110" t="n">
        <v>1545</v>
      </c>
      <c r="O110" t="n">
        <v>2090</v>
      </c>
      <c r="P110" t="n">
        <v>2635</v>
      </c>
      <c r="Q110" t="n">
        <v>3180</v>
      </c>
      <c r="R110" t="n">
        <v>3725</v>
      </c>
      <c r="S110" t="n">
        <v>4270</v>
      </c>
      <c r="T110" t="n">
        <v>4815</v>
      </c>
      <c r="U110" t="n">
        <v>5360</v>
      </c>
      <c r="V110" t="n">
        <v>2362</v>
      </c>
      <c r="W110" t="n">
        <v>1436</v>
      </c>
      <c r="X110" t="n">
        <v>1327</v>
      </c>
      <c r="Y110" t="n">
        <v>6450</v>
      </c>
    </row>
    <row r="111">
      <c r="A111" t="n">
        <v>110</v>
      </c>
      <c r="B111" t="n">
        <v>0</v>
      </c>
      <c r="C111" t="n">
        <v>5203</v>
      </c>
      <c r="D111" t="n">
        <v>8839</v>
      </c>
      <c r="E111" t="n">
        <v>25424</v>
      </c>
      <c r="F111" t="n">
        <v>72740</v>
      </c>
      <c r="G111" t="n">
        <v>205821</v>
      </c>
      <c r="H111" t="n">
        <v>577990</v>
      </c>
      <c r="I111" t="n">
        <v>1605815</v>
      </c>
      <c r="J111" t="n">
        <v>2000</v>
      </c>
      <c r="K111" t="n">
        <v>8011</v>
      </c>
      <c r="L111" t="n">
        <v>2100</v>
      </c>
      <c r="M111" t="n">
        <v>1010</v>
      </c>
      <c r="N111" t="n">
        <v>1550</v>
      </c>
      <c r="O111" t="n">
        <v>2100</v>
      </c>
      <c r="P111" t="n">
        <v>2650</v>
      </c>
      <c r="Q111" t="n">
        <v>3200</v>
      </c>
      <c r="R111" t="n">
        <v>3750</v>
      </c>
      <c r="S111" t="n">
        <v>4300</v>
      </c>
      <c r="T111" t="n">
        <v>4850</v>
      </c>
      <c r="U111" t="n">
        <v>5400</v>
      </c>
      <c r="V111" t="n">
        <v>2378</v>
      </c>
      <c r="W111" t="n">
        <v>1440</v>
      </c>
      <c r="X111" t="n">
        <v>1330</v>
      </c>
      <c r="Y111" t="n">
        <v>6500</v>
      </c>
    </row>
    <row r="112">
      <c r="A112" t="n">
        <v>111</v>
      </c>
      <c r="B112" t="n">
        <v>0</v>
      </c>
      <c r="C112" t="n">
        <v>5282</v>
      </c>
      <c r="D112" t="n">
        <v>9016</v>
      </c>
      <c r="E112" t="n">
        <v>26187</v>
      </c>
      <c r="F112" t="n">
        <v>75650</v>
      </c>
      <c r="G112" t="n">
        <v>216113</v>
      </c>
      <c r="H112" t="n">
        <v>612670</v>
      </c>
      <c r="I112" t="n">
        <v>1718223</v>
      </c>
      <c r="J112" t="n">
        <v>2000</v>
      </c>
      <c r="K112" t="n">
        <v>8092</v>
      </c>
      <c r="L112" t="n">
        <v>2110</v>
      </c>
      <c r="M112" t="n">
        <v>1011</v>
      </c>
      <c r="N112" t="n">
        <v>1555</v>
      </c>
      <c r="O112" t="n">
        <v>2110</v>
      </c>
      <c r="P112" t="n">
        <v>2665</v>
      </c>
      <c r="Q112" t="n">
        <v>3220</v>
      </c>
      <c r="R112" t="n">
        <v>3775</v>
      </c>
      <c r="S112" t="n">
        <v>4330</v>
      </c>
      <c r="T112" t="n">
        <v>4885</v>
      </c>
      <c r="U112" t="n">
        <v>5440</v>
      </c>
      <c r="V112" t="n">
        <v>2394</v>
      </c>
      <c r="W112" t="n">
        <v>1444</v>
      </c>
      <c r="X112" t="n">
        <v>1333</v>
      </c>
      <c r="Y112" t="n">
        <v>6550</v>
      </c>
    </row>
    <row r="113">
      <c r="A113" t="n">
        <v>112</v>
      </c>
      <c r="B113" t="n">
        <v>0</v>
      </c>
      <c r="C113" t="n">
        <v>5362</v>
      </c>
      <c r="D113" t="n">
        <v>9197</v>
      </c>
      <c r="E113" t="n">
        <v>26973</v>
      </c>
      <c r="F113" t="n">
        <v>78676</v>
      </c>
      <c r="G113" t="n">
        <v>226919</v>
      </c>
      <c r="H113" t="n">
        <v>649431</v>
      </c>
      <c r="I113" t="n">
        <v>1838499</v>
      </c>
      <c r="J113" t="n">
        <v>2000</v>
      </c>
      <c r="K113" t="n">
        <v>8173</v>
      </c>
      <c r="L113" t="n">
        <v>2120</v>
      </c>
      <c r="M113" t="n">
        <v>1012</v>
      </c>
      <c r="N113" t="n">
        <v>1560</v>
      </c>
      <c r="O113" t="n">
        <v>2120</v>
      </c>
      <c r="P113" t="n">
        <v>2680</v>
      </c>
      <c r="Q113" t="n">
        <v>3240</v>
      </c>
      <c r="R113" t="n">
        <v>3800</v>
      </c>
      <c r="S113" t="n">
        <v>4360</v>
      </c>
      <c r="T113" t="n">
        <v>4920</v>
      </c>
      <c r="U113" t="n">
        <v>5480</v>
      </c>
      <c r="V113" t="n">
        <v>2410</v>
      </c>
      <c r="W113" t="n">
        <v>1448</v>
      </c>
      <c r="X113" t="n">
        <v>1336</v>
      </c>
      <c r="Y113" t="n">
        <v>6600</v>
      </c>
    </row>
    <row r="114">
      <c r="A114" t="n">
        <v>113</v>
      </c>
      <c r="B114" t="n">
        <v>0</v>
      </c>
      <c r="C114" t="n">
        <v>5443</v>
      </c>
      <c r="D114" t="n">
        <v>9381</v>
      </c>
      <c r="E114" t="n">
        <v>27783</v>
      </c>
      <c r="F114" t="n">
        <v>81824</v>
      </c>
      <c r="G114" t="n">
        <v>238265</v>
      </c>
      <c r="H114" t="n">
        <v>688397</v>
      </c>
      <c r="I114" t="n">
        <v>1967194</v>
      </c>
      <c r="J114" t="n">
        <v>2000</v>
      </c>
      <c r="K114" t="n">
        <v>8255</v>
      </c>
      <c r="L114" t="n">
        <v>2130</v>
      </c>
      <c r="M114" t="n">
        <v>1013</v>
      </c>
      <c r="N114" t="n">
        <v>1565</v>
      </c>
      <c r="O114" t="n">
        <v>2130</v>
      </c>
      <c r="P114" t="n">
        <v>2695</v>
      </c>
      <c r="Q114" t="n">
        <v>3260</v>
      </c>
      <c r="R114" t="n">
        <v>3825</v>
      </c>
      <c r="S114" t="n">
        <v>4390</v>
      </c>
      <c r="T114" t="n">
        <v>4955</v>
      </c>
      <c r="U114" t="n">
        <v>5520</v>
      </c>
      <c r="V114" t="n">
        <v>2427</v>
      </c>
      <c r="W114" t="n">
        <v>1452</v>
      </c>
      <c r="X114" t="n">
        <v>1339</v>
      </c>
      <c r="Y114" t="n">
        <v>6650</v>
      </c>
    </row>
    <row r="115">
      <c r="A115" t="n">
        <v>114</v>
      </c>
      <c r="B115" t="n">
        <v>0</v>
      </c>
      <c r="C115" t="n">
        <v>5525</v>
      </c>
      <c r="D115" t="n">
        <v>9569</v>
      </c>
      <c r="E115" t="n">
        <v>28617</v>
      </c>
      <c r="F115" t="n">
        <v>85097</v>
      </c>
      <c r="G115" t="n">
        <v>250179</v>
      </c>
      <c r="H115" t="n">
        <v>729701</v>
      </c>
      <c r="I115" t="n">
        <v>2104898</v>
      </c>
      <c r="J115" t="n">
        <v>2000</v>
      </c>
      <c r="K115" t="n">
        <v>8338</v>
      </c>
      <c r="L115" t="n">
        <v>2140</v>
      </c>
      <c r="M115" t="n">
        <v>1014</v>
      </c>
      <c r="N115" t="n">
        <v>1570</v>
      </c>
      <c r="O115" t="n">
        <v>2140</v>
      </c>
      <c r="P115" t="n">
        <v>2710</v>
      </c>
      <c r="Q115" t="n">
        <v>3280</v>
      </c>
      <c r="R115" t="n">
        <v>3850</v>
      </c>
      <c r="S115" t="n">
        <v>4420</v>
      </c>
      <c r="T115" t="n">
        <v>4990</v>
      </c>
      <c r="U115" t="n">
        <v>5560</v>
      </c>
      <c r="V115" t="n">
        <v>2444</v>
      </c>
      <c r="W115" t="n">
        <v>1456</v>
      </c>
      <c r="X115" t="n">
        <v>1342</v>
      </c>
      <c r="Y115" t="n">
        <v>6700</v>
      </c>
    </row>
    <row r="116">
      <c r="A116" t="n">
        <v>115</v>
      </c>
      <c r="B116" t="n">
        <v>0</v>
      </c>
      <c r="C116" t="n">
        <v>5608</v>
      </c>
      <c r="D116" t="n">
        <v>9761</v>
      </c>
      <c r="E116" t="n">
        <v>29476</v>
      </c>
      <c r="F116" t="n">
        <v>88501</v>
      </c>
      <c r="G116" t="n">
        <v>262688</v>
      </c>
      <c r="H116" t="n">
        <v>773484</v>
      </c>
      <c r="I116" t="n">
        <v>2252241</v>
      </c>
      <c r="J116" t="n">
        <v>2000</v>
      </c>
      <c r="K116" t="n">
        <v>8422</v>
      </c>
      <c r="L116" t="n">
        <v>2150</v>
      </c>
      <c r="M116" t="n">
        <v>1015</v>
      </c>
      <c r="N116" t="n">
        <v>1575</v>
      </c>
      <c r="O116" t="n">
        <v>2150</v>
      </c>
      <c r="P116" t="n">
        <v>2725</v>
      </c>
      <c r="Q116" t="n">
        <v>3300</v>
      </c>
      <c r="R116" t="n">
        <v>3875</v>
      </c>
      <c r="S116" t="n">
        <v>4450</v>
      </c>
      <c r="T116" t="n">
        <v>5025</v>
      </c>
      <c r="U116" t="n">
        <v>5600</v>
      </c>
      <c r="V116" t="n">
        <v>2461</v>
      </c>
      <c r="W116" t="n">
        <v>1460</v>
      </c>
      <c r="X116" t="n">
        <v>1345</v>
      </c>
      <c r="Y116" t="n">
        <v>6750</v>
      </c>
    </row>
    <row r="117">
      <c r="A117" t="n">
        <v>116</v>
      </c>
      <c r="B117" t="n">
        <v>0</v>
      </c>
      <c r="C117" t="n">
        <v>5693</v>
      </c>
      <c r="D117" t="n">
        <v>9957</v>
      </c>
      <c r="E117" t="n">
        <v>30361</v>
      </c>
      <c r="F117" t="n">
        <v>92042</v>
      </c>
      <c r="G117" t="n">
        <v>275823</v>
      </c>
      <c r="H117" t="n">
        <v>819894</v>
      </c>
      <c r="I117" t="n">
        <v>2409898</v>
      </c>
      <c r="J117" t="n">
        <v>2000</v>
      </c>
      <c r="K117" t="n">
        <v>8507</v>
      </c>
      <c r="L117" t="n">
        <v>2160</v>
      </c>
      <c r="M117" t="n">
        <v>1016</v>
      </c>
      <c r="N117" t="n">
        <v>1580</v>
      </c>
      <c r="O117" t="n">
        <v>2160</v>
      </c>
      <c r="P117" t="n">
        <v>2740</v>
      </c>
      <c r="Q117" t="n">
        <v>3320</v>
      </c>
      <c r="R117" t="n">
        <v>3900</v>
      </c>
      <c r="S117" t="n">
        <v>4480</v>
      </c>
      <c r="T117" t="n">
        <v>5060</v>
      </c>
      <c r="U117" t="n">
        <v>5640</v>
      </c>
      <c r="V117" t="n">
        <v>2478</v>
      </c>
      <c r="W117" t="n">
        <v>1464</v>
      </c>
      <c r="X117" t="n">
        <v>1348</v>
      </c>
      <c r="Y117" t="n">
        <v>6800</v>
      </c>
    </row>
    <row r="118">
      <c r="A118" t="n">
        <v>117</v>
      </c>
      <c r="B118" t="n">
        <v>0</v>
      </c>
      <c r="C118" t="n">
        <v>5779</v>
      </c>
      <c r="D118" t="n">
        <v>10157</v>
      </c>
      <c r="E118" t="n">
        <v>31272</v>
      </c>
      <c r="F118" t="n">
        <v>95724</v>
      </c>
      <c r="G118" t="n">
        <v>289615</v>
      </c>
      <c r="H118" t="n">
        <v>869088</v>
      </c>
      <c r="I118" t="n">
        <v>2578591</v>
      </c>
      <c r="J118" t="n">
        <v>2000</v>
      </c>
      <c r="K118" t="n">
        <v>8593</v>
      </c>
      <c r="L118" t="n">
        <v>2170</v>
      </c>
      <c r="M118" t="n">
        <v>1017</v>
      </c>
      <c r="N118" t="n">
        <v>1585</v>
      </c>
      <c r="O118" t="n">
        <v>2170</v>
      </c>
      <c r="P118" t="n">
        <v>2755</v>
      </c>
      <c r="Q118" t="n">
        <v>3340</v>
      </c>
      <c r="R118" t="n">
        <v>3925</v>
      </c>
      <c r="S118" t="n">
        <v>4510</v>
      </c>
      <c r="T118" t="n">
        <v>5095</v>
      </c>
      <c r="U118" t="n">
        <v>5680</v>
      </c>
      <c r="V118" t="n">
        <v>2495</v>
      </c>
      <c r="W118" t="n">
        <v>1468</v>
      </c>
      <c r="X118" t="n">
        <v>1351</v>
      </c>
      <c r="Y118" t="n">
        <v>6850</v>
      </c>
    </row>
    <row r="119">
      <c r="A119" t="n">
        <v>118</v>
      </c>
      <c r="B119" t="n">
        <v>0</v>
      </c>
      <c r="C119" t="n">
        <v>5866</v>
      </c>
      <c r="D119" t="n">
        <v>10361</v>
      </c>
      <c r="E119" t="n">
        <v>32211</v>
      </c>
      <c r="F119" t="n">
        <v>99553</v>
      </c>
      <c r="G119" t="n">
        <v>304096</v>
      </c>
      <c r="H119" t="n">
        <v>921234</v>
      </c>
      <c r="I119" t="n">
        <v>2759093</v>
      </c>
      <c r="J119" t="n">
        <v>2000</v>
      </c>
      <c r="K119" t="n">
        <v>8679</v>
      </c>
      <c r="L119" t="n">
        <v>2180</v>
      </c>
      <c r="M119" t="n">
        <v>1018</v>
      </c>
      <c r="N119" t="n">
        <v>1590</v>
      </c>
      <c r="O119" t="n">
        <v>2180</v>
      </c>
      <c r="P119" t="n">
        <v>2770</v>
      </c>
      <c r="Q119" t="n">
        <v>3360</v>
      </c>
      <c r="R119" t="n">
        <v>3950</v>
      </c>
      <c r="S119" t="n">
        <v>4540</v>
      </c>
      <c r="T119" t="n">
        <v>5130</v>
      </c>
      <c r="U119" t="n">
        <v>5720</v>
      </c>
      <c r="V119" t="n">
        <v>2512</v>
      </c>
      <c r="W119" t="n">
        <v>1472</v>
      </c>
      <c r="X119" t="n">
        <v>1354</v>
      </c>
      <c r="Y119" t="n">
        <v>6900</v>
      </c>
    </row>
    <row r="120">
      <c r="A120" t="n">
        <v>119</v>
      </c>
      <c r="B120" t="n">
        <v>0</v>
      </c>
      <c r="C120" t="n">
        <v>5954</v>
      </c>
      <c r="D120" t="n">
        <v>10569</v>
      </c>
      <c r="E120" t="n">
        <v>33178</v>
      </c>
      <c r="F120" t="n">
        <v>103536</v>
      </c>
      <c r="G120" t="n">
        <v>319301</v>
      </c>
      <c r="H120" t="n">
        <v>976509</v>
      </c>
      <c r="I120" t="n">
        <v>2952230</v>
      </c>
      <c r="J120" t="n">
        <v>2000</v>
      </c>
      <c r="K120" t="n">
        <v>8766</v>
      </c>
      <c r="L120" t="n">
        <v>2190</v>
      </c>
      <c r="M120" t="n">
        <v>1019</v>
      </c>
      <c r="N120" t="n">
        <v>1595</v>
      </c>
      <c r="O120" t="n">
        <v>2190</v>
      </c>
      <c r="P120" t="n">
        <v>2785</v>
      </c>
      <c r="Q120" t="n">
        <v>3380</v>
      </c>
      <c r="R120" t="n">
        <v>3975</v>
      </c>
      <c r="S120" t="n">
        <v>4570</v>
      </c>
      <c r="T120" t="n">
        <v>5165</v>
      </c>
      <c r="U120" t="n">
        <v>5760</v>
      </c>
      <c r="V120" t="n">
        <v>2529</v>
      </c>
      <c r="W120" t="n">
        <v>1476</v>
      </c>
      <c r="X120" t="n">
        <v>1357</v>
      </c>
      <c r="Y120" t="n">
        <v>6950</v>
      </c>
    </row>
    <row r="121">
      <c r="A121" t="n">
        <v>120</v>
      </c>
      <c r="B121" t="n">
        <v>0</v>
      </c>
      <c r="C121" t="n">
        <v>6044</v>
      </c>
      <c r="D121" t="n">
        <v>10781</v>
      </c>
      <c r="E121" t="n">
        <v>34174</v>
      </c>
      <c r="F121" t="n">
        <v>107678</v>
      </c>
      <c r="G121" t="n">
        <v>335267</v>
      </c>
      <c r="H121" t="n">
        <v>1035100</v>
      </c>
      <c r="I121" t="n">
        <v>3158887</v>
      </c>
      <c r="J121" t="n">
        <v>2000</v>
      </c>
      <c r="K121" t="n">
        <v>8854</v>
      </c>
      <c r="L121" t="n">
        <v>2200</v>
      </c>
      <c r="M121" t="n">
        <v>1020</v>
      </c>
      <c r="N121" t="n">
        <v>1600</v>
      </c>
      <c r="O121" t="n">
        <v>2200</v>
      </c>
      <c r="P121" t="n">
        <v>2800</v>
      </c>
      <c r="Q121" t="n">
        <v>3400</v>
      </c>
      <c r="R121" t="n">
        <v>4000</v>
      </c>
      <c r="S121" t="n">
        <v>4600</v>
      </c>
      <c r="T121" t="n">
        <v>5200</v>
      </c>
      <c r="U121" t="n">
        <v>5800</v>
      </c>
      <c r="V121" t="n">
        <v>2546</v>
      </c>
      <c r="W121" t="n">
        <v>1480</v>
      </c>
      <c r="X121" t="n">
        <v>1360</v>
      </c>
      <c r="Y121" t="n">
        <v>7000</v>
      </c>
    </row>
    <row r="122">
      <c r="A122" t="n">
        <v>121</v>
      </c>
      <c r="B122" t="n">
        <v>0</v>
      </c>
      <c r="C122" t="n">
        <v>6135</v>
      </c>
      <c r="D122" t="n">
        <v>10997</v>
      </c>
      <c r="E122" t="n">
        <v>35200</v>
      </c>
      <c r="F122" t="n">
        <v>111986</v>
      </c>
      <c r="G122" t="n">
        <v>352031</v>
      </c>
      <c r="H122" t="n">
        <v>1097206</v>
      </c>
      <c r="I122" t="n">
        <v>3380010</v>
      </c>
      <c r="J122" t="n">
        <v>2000</v>
      </c>
      <c r="K122" t="n">
        <v>8943</v>
      </c>
      <c r="L122" t="n">
        <v>2210</v>
      </c>
      <c r="M122" t="n">
        <v>1021</v>
      </c>
      <c r="N122" t="n">
        <v>1605</v>
      </c>
      <c r="O122" t="n">
        <v>2210</v>
      </c>
      <c r="P122" t="n">
        <v>2815</v>
      </c>
      <c r="Q122" t="n">
        <v>3420</v>
      </c>
      <c r="R122" t="n">
        <v>4025</v>
      </c>
      <c r="S122" t="n">
        <v>4630</v>
      </c>
      <c r="T122" t="n">
        <v>5235</v>
      </c>
      <c r="U122" t="n">
        <v>5840</v>
      </c>
      <c r="V122" t="n">
        <v>2563</v>
      </c>
      <c r="W122" t="n">
        <v>1484</v>
      </c>
      <c r="X122" t="n">
        <v>1363</v>
      </c>
      <c r="Y122" t="n">
        <v>7010</v>
      </c>
    </row>
    <row r="123">
      <c r="A123" t="n">
        <v>122</v>
      </c>
      <c r="B123" t="n">
        <v>0</v>
      </c>
      <c r="C123" t="n">
        <v>6228</v>
      </c>
      <c r="D123" t="n">
        <v>11217</v>
      </c>
      <c r="E123" t="n">
        <v>36256</v>
      </c>
      <c r="F123" t="n">
        <v>116466</v>
      </c>
      <c r="G123" t="n">
        <v>369633</v>
      </c>
      <c r="H123" t="n">
        <v>1163039</v>
      </c>
      <c r="I123" t="n">
        <v>3616611</v>
      </c>
      <c r="J123" t="n">
        <v>2000</v>
      </c>
      <c r="K123" t="n">
        <v>9033</v>
      </c>
      <c r="L123" t="n">
        <v>2220</v>
      </c>
      <c r="M123" t="n">
        <v>1022</v>
      </c>
      <c r="N123" t="n">
        <v>1610</v>
      </c>
      <c r="O123" t="n">
        <v>2220</v>
      </c>
      <c r="P123" t="n">
        <v>2830</v>
      </c>
      <c r="Q123" t="n">
        <v>3440</v>
      </c>
      <c r="R123" t="n">
        <v>4050</v>
      </c>
      <c r="S123" t="n">
        <v>4660</v>
      </c>
      <c r="T123" t="n">
        <v>5270</v>
      </c>
      <c r="U123" t="n">
        <v>5880</v>
      </c>
      <c r="V123" t="n">
        <v>2580</v>
      </c>
      <c r="W123" t="n">
        <v>1488</v>
      </c>
      <c r="X123" t="n">
        <v>1366</v>
      </c>
      <c r="Y123" t="n">
        <v>7020</v>
      </c>
    </row>
    <row r="124">
      <c r="A124" t="n">
        <v>123</v>
      </c>
      <c r="B124" t="n">
        <v>0</v>
      </c>
      <c r="C124" t="n">
        <v>6322</v>
      </c>
      <c r="D124" t="n">
        <v>11442</v>
      </c>
      <c r="E124" t="n">
        <v>37344</v>
      </c>
      <c r="F124" t="n">
        <v>121125</v>
      </c>
      <c r="G124" t="n">
        <v>388115</v>
      </c>
      <c r="H124" t="n">
        <v>1232822</v>
      </c>
      <c r="I124" t="n">
        <v>3869774</v>
      </c>
      <c r="J124" t="n">
        <v>2000</v>
      </c>
      <c r="K124" t="n">
        <v>9124</v>
      </c>
      <c r="L124" t="n">
        <v>2230</v>
      </c>
      <c r="M124" t="n">
        <v>1023</v>
      </c>
      <c r="N124" t="n">
        <v>1615</v>
      </c>
      <c r="O124" t="n">
        <v>2230</v>
      </c>
      <c r="P124" t="n">
        <v>2845</v>
      </c>
      <c r="Q124" t="n">
        <v>3460</v>
      </c>
      <c r="R124" t="n">
        <v>4075</v>
      </c>
      <c r="S124" t="n">
        <v>4690</v>
      </c>
      <c r="T124" t="n">
        <v>5305</v>
      </c>
      <c r="U124" t="n">
        <v>5920</v>
      </c>
      <c r="V124" t="n">
        <v>2597</v>
      </c>
      <c r="W124" t="n">
        <v>1492</v>
      </c>
      <c r="X124" t="n">
        <v>1369</v>
      </c>
      <c r="Y124" t="n">
        <v>7030</v>
      </c>
    </row>
    <row r="125">
      <c r="A125" t="n">
        <v>124</v>
      </c>
      <c r="B125" t="n">
        <v>0</v>
      </c>
      <c r="C125" t="n">
        <v>6417</v>
      </c>
      <c r="D125" t="n">
        <v>11671</v>
      </c>
      <c r="E125" t="n">
        <v>38465</v>
      </c>
      <c r="F125" t="n">
        <v>125970</v>
      </c>
      <c r="G125" t="n">
        <v>407521</v>
      </c>
      <c r="H125" t="n">
        <v>1306792</v>
      </c>
      <c r="I125" t="n">
        <v>4140659</v>
      </c>
      <c r="J125" t="n">
        <v>2000</v>
      </c>
      <c r="K125" t="n">
        <v>9216</v>
      </c>
      <c r="L125" t="n">
        <v>2240</v>
      </c>
      <c r="M125" t="n">
        <v>1024</v>
      </c>
      <c r="N125" t="n">
        <v>1620</v>
      </c>
      <c r="O125" t="n">
        <v>2240</v>
      </c>
      <c r="P125" t="n">
        <v>2860</v>
      </c>
      <c r="Q125" t="n">
        <v>3480</v>
      </c>
      <c r="R125" t="n">
        <v>4100</v>
      </c>
      <c r="S125" t="n">
        <v>4720</v>
      </c>
      <c r="T125" t="n">
        <v>5340</v>
      </c>
      <c r="U125" t="n">
        <v>5960</v>
      </c>
      <c r="V125" t="n">
        <v>2615</v>
      </c>
      <c r="W125" t="n">
        <v>1496</v>
      </c>
      <c r="X125" t="n">
        <v>1372</v>
      </c>
      <c r="Y125" t="n">
        <v>7040</v>
      </c>
    </row>
    <row r="126">
      <c r="A126" t="n">
        <v>125</v>
      </c>
      <c r="B126" t="n">
        <v>0</v>
      </c>
      <c r="C126" t="n">
        <v>6514</v>
      </c>
      <c r="D126" t="n">
        <v>11905</v>
      </c>
      <c r="E126" t="n">
        <v>39619</v>
      </c>
      <c r="F126" t="n">
        <v>131009</v>
      </c>
      <c r="G126" t="n">
        <v>427898</v>
      </c>
      <c r="H126" t="n">
        <v>1385200</v>
      </c>
      <c r="I126" t="n">
        <v>4430506</v>
      </c>
      <c r="J126" t="n">
        <v>2000</v>
      </c>
      <c r="K126" t="n">
        <v>9309</v>
      </c>
      <c r="L126" t="n">
        <v>2250</v>
      </c>
      <c r="M126" t="n">
        <v>1025</v>
      </c>
      <c r="N126" t="n">
        <v>1625</v>
      </c>
      <c r="O126" t="n">
        <v>2250</v>
      </c>
      <c r="P126" t="n">
        <v>2875</v>
      </c>
      <c r="Q126" t="n">
        <v>3500</v>
      </c>
      <c r="R126" t="n">
        <v>4125</v>
      </c>
      <c r="S126" t="n">
        <v>4750</v>
      </c>
      <c r="T126" t="n">
        <v>5375</v>
      </c>
      <c r="U126" t="n">
        <v>6000</v>
      </c>
      <c r="V126" t="n">
        <v>2633</v>
      </c>
      <c r="W126" t="n">
        <v>1500</v>
      </c>
      <c r="X126" t="n">
        <v>1375</v>
      </c>
      <c r="Y126" t="n">
        <v>7050</v>
      </c>
    </row>
    <row r="127">
      <c r="A127" t="n">
        <v>126</v>
      </c>
      <c r="B127" t="n">
        <v>0</v>
      </c>
      <c r="C127" t="n">
        <v>6612</v>
      </c>
      <c r="D127" t="n">
        <v>12144</v>
      </c>
      <c r="E127" t="n">
        <v>40808</v>
      </c>
      <c r="F127" t="n">
        <v>136250</v>
      </c>
      <c r="G127" t="n">
        <v>449293</v>
      </c>
      <c r="H127" t="n">
        <v>1468312</v>
      </c>
      <c r="I127" t="n">
        <v>4740642</v>
      </c>
      <c r="J127" t="n">
        <v>2000</v>
      </c>
      <c r="K127" t="n">
        <v>9403</v>
      </c>
      <c r="L127" t="n">
        <v>2260</v>
      </c>
      <c r="M127" t="n">
        <v>1026</v>
      </c>
      <c r="N127" t="n">
        <v>1630</v>
      </c>
      <c r="O127" t="n">
        <v>2260</v>
      </c>
      <c r="P127" t="n">
        <v>2890</v>
      </c>
      <c r="Q127" t="n">
        <v>3520</v>
      </c>
      <c r="R127" t="n">
        <v>4150</v>
      </c>
      <c r="S127" t="n">
        <v>4780</v>
      </c>
      <c r="T127" t="n">
        <v>5410</v>
      </c>
      <c r="U127" t="n">
        <v>6040</v>
      </c>
      <c r="V127" t="n">
        <v>2651</v>
      </c>
      <c r="W127" t="n">
        <v>1504</v>
      </c>
      <c r="X127" t="n">
        <v>1378</v>
      </c>
      <c r="Y127" t="n">
        <v>7060</v>
      </c>
    </row>
    <row r="128">
      <c r="A128" t="n">
        <v>127</v>
      </c>
      <c r="B128" t="n">
        <v>0</v>
      </c>
      <c r="C128" t="n">
        <v>6712</v>
      </c>
      <c r="D128" t="n">
        <v>12387</v>
      </c>
      <c r="E128" t="n">
        <v>42033</v>
      </c>
      <c r="F128" t="n">
        <v>141700</v>
      </c>
      <c r="G128" t="n">
        <v>471758</v>
      </c>
      <c r="H128" t="n">
        <v>1556411</v>
      </c>
      <c r="I128" t="n">
        <v>5072487</v>
      </c>
      <c r="J128" t="n">
        <v>2000</v>
      </c>
      <c r="K128" t="n">
        <v>9498</v>
      </c>
      <c r="L128" t="n">
        <v>2270</v>
      </c>
      <c r="M128" t="n">
        <v>1027</v>
      </c>
      <c r="N128" t="n">
        <v>1635</v>
      </c>
      <c r="O128" t="n">
        <v>2270</v>
      </c>
      <c r="P128" t="n">
        <v>2905</v>
      </c>
      <c r="Q128" t="n">
        <v>3540</v>
      </c>
      <c r="R128" t="n">
        <v>4175</v>
      </c>
      <c r="S128" t="n">
        <v>4810</v>
      </c>
      <c r="T128" t="n">
        <v>5445</v>
      </c>
      <c r="U128" t="n">
        <v>6080</v>
      </c>
      <c r="V128" t="n">
        <v>2669</v>
      </c>
      <c r="W128" t="n">
        <v>1508</v>
      </c>
      <c r="X128" t="n">
        <v>1381</v>
      </c>
      <c r="Y128" t="n">
        <v>7070</v>
      </c>
    </row>
    <row r="129">
      <c r="A129" t="n">
        <v>128</v>
      </c>
      <c r="B129" t="n">
        <v>0</v>
      </c>
      <c r="C129" t="n">
        <v>6813</v>
      </c>
      <c r="D129" t="n">
        <v>12635</v>
      </c>
      <c r="E129" t="n">
        <v>43294</v>
      </c>
      <c r="F129" t="n">
        <v>147368</v>
      </c>
      <c r="G129" t="n">
        <v>495346</v>
      </c>
      <c r="H129" t="n">
        <v>1649796</v>
      </c>
      <c r="I129" t="n">
        <v>5427562</v>
      </c>
      <c r="J129" t="n">
        <v>2000</v>
      </c>
      <c r="K129" t="n">
        <v>9593</v>
      </c>
      <c r="L129" t="n">
        <v>2280</v>
      </c>
      <c r="M129" t="n">
        <v>1028</v>
      </c>
      <c r="N129" t="n">
        <v>1640</v>
      </c>
      <c r="O129" t="n">
        <v>2280</v>
      </c>
      <c r="P129" t="n">
        <v>2920</v>
      </c>
      <c r="Q129" t="n">
        <v>3560</v>
      </c>
      <c r="R129" t="n">
        <v>4200</v>
      </c>
      <c r="S129" t="n">
        <v>4840</v>
      </c>
      <c r="T129" t="n">
        <v>5480</v>
      </c>
      <c r="U129" t="n">
        <v>6120</v>
      </c>
      <c r="V129" t="n">
        <v>2687</v>
      </c>
      <c r="W129" t="n">
        <v>1512</v>
      </c>
      <c r="X129" t="n">
        <v>1384</v>
      </c>
      <c r="Y129" t="n">
        <v>7080</v>
      </c>
    </row>
    <row r="130">
      <c r="A130" t="n">
        <v>129</v>
      </c>
      <c r="B130" t="n">
        <v>0</v>
      </c>
      <c r="C130" t="n">
        <v>6916</v>
      </c>
      <c r="D130" t="n">
        <v>12888</v>
      </c>
      <c r="E130" t="n">
        <v>44593</v>
      </c>
      <c r="F130" t="n">
        <v>153263</v>
      </c>
      <c r="G130" t="n">
        <v>520114</v>
      </c>
      <c r="H130" t="n">
        <v>1748784</v>
      </c>
      <c r="I130" t="n">
        <v>5807492</v>
      </c>
      <c r="J130" t="n">
        <v>2000</v>
      </c>
      <c r="K130" t="n">
        <v>9689</v>
      </c>
      <c r="L130" t="n">
        <v>2290</v>
      </c>
      <c r="M130" t="n">
        <v>1029</v>
      </c>
      <c r="N130" t="n">
        <v>1645</v>
      </c>
      <c r="O130" t="n">
        <v>2290</v>
      </c>
      <c r="P130" t="n">
        <v>2935</v>
      </c>
      <c r="Q130" t="n">
        <v>3580</v>
      </c>
      <c r="R130" t="n">
        <v>4225</v>
      </c>
      <c r="S130" t="n">
        <v>4870</v>
      </c>
      <c r="T130" t="n">
        <v>5515</v>
      </c>
      <c r="U130" t="n">
        <v>6160</v>
      </c>
      <c r="V130" t="n">
        <v>2705</v>
      </c>
      <c r="W130" t="n">
        <v>1516</v>
      </c>
      <c r="X130" t="n">
        <v>1387</v>
      </c>
      <c r="Y130" t="n">
        <v>7090</v>
      </c>
    </row>
    <row r="131">
      <c r="A131" t="n">
        <v>130</v>
      </c>
      <c r="B131" t="n">
        <v>0</v>
      </c>
      <c r="C131" t="n">
        <v>7020</v>
      </c>
      <c r="D131" t="n">
        <v>13146</v>
      </c>
      <c r="E131" t="n">
        <v>45931</v>
      </c>
      <c r="F131" t="n">
        <v>159394</v>
      </c>
      <c r="G131" t="n">
        <v>546120</v>
      </c>
      <c r="H131" t="n">
        <v>1853712</v>
      </c>
      <c r="I131" t="n">
        <v>6214017</v>
      </c>
      <c r="J131" t="n">
        <v>2000</v>
      </c>
      <c r="K131" t="n">
        <v>9786</v>
      </c>
      <c r="L131" t="n">
        <v>2300</v>
      </c>
      <c r="M131" t="n">
        <v>1030</v>
      </c>
      <c r="N131" t="n">
        <v>1650</v>
      </c>
      <c r="O131" t="n">
        <v>2300</v>
      </c>
      <c r="P131" t="n">
        <v>2950</v>
      </c>
      <c r="Q131" t="n">
        <v>3600</v>
      </c>
      <c r="R131" t="n">
        <v>4250</v>
      </c>
      <c r="S131" t="n">
        <v>4900</v>
      </c>
      <c r="T131" t="n">
        <v>5550</v>
      </c>
      <c r="U131" t="n">
        <v>6200</v>
      </c>
      <c r="V131" t="n">
        <v>2723</v>
      </c>
      <c r="W131" t="n">
        <v>1520</v>
      </c>
      <c r="X131" t="n">
        <v>1390</v>
      </c>
      <c r="Y131" t="n">
        <v>7100</v>
      </c>
    </row>
    <row r="132">
      <c r="A132" t="n">
        <v>131</v>
      </c>
      <c r="B132" t="n">
        <v>0</v>
      </c>
      <c r="C132" t="n">
        <v>7126</v>
      </c>
      <c r="D132" t="n">
        <v>13409</v>
      </c>
      <c r="E132" t="n">
        <v>47309</v>
      </c>
      <c r="F132" t="n">
        <v>165770</v>
      </c>
      <c r="G132" t="n">
        <v>573426</v>
      </c>
      <c r="H132" t="n">
        <v>1964935</v>
      </c>
      <c r="I132" t="n">
        <v>6648999</v>
      </c>
      <c r="J132" t="n">
        <v>2000</v>
      </c>
      <c r="K132" t="n">
        <v>9884</v>
      </c>
      <c r="L132" t="n">
        <v>2310</v>
      </c>
      <c r="M132" t="n">
        <v>1031</v>
      </c>
      <c r="N132" t="n">
        <v>1655</v>
      </c>
      <c r="O132" t="n">
        <v>2310</v>
      </c>
      <c r="P132" t="n">
        <v>2965</v>
      </c>
      <c r="Q132" t="n">
        <v>3620</v>
      </c>
      <c r="R132" t="n">
        <v>4275</v>
      </c>
      <c r="S132" t="n">
        <v>4930</v>
      </c>
      <c r="T132" t="n">
        <v>5585</v>
      </c>
      <c r="U132" t="n">
        <v>6240</v>
      </c>
      <c r="V132" t="n">
        <v>2741</v>
      </c>
      <c r="W132" t="n">
        <v>1524</v>
      </c>
      <c r="X132" t="n">
        <v>1393</v>
      </c>
      <c r="Y132" t="n">
        <v>7110</v>
      </c>
    </row>
    <row r="133">
      <c r="A133" t="n">
        <v>132</v>
      </c>
      <c r="B133" t="n">
        <v>0</v>
      </c>
      <c r="C133" t="n">
        <v>7233</v>
      </c>
      <c r="D133" t="n">
        <v>13678</v>
      </c>
      <c r="E133" t="n">
        <v>48729</v>
      </c>
      <c r="F133" t="n">
        <v>172401</v>
      </c>
      <c r="G133" t="n">
        <v>602098</v>
      </c>
      <c r="H133" t="n">
        <v>2082832</v>
      </c>
      <c r="I133" t="n">
        <v>7114429</v>
      </c>
      <c r="J133" t="n">
        <v>2000</v>
      </c>
      <c r="K133" t="n">
        <v>9983</v>
      </c>
      <c r="L133" t="n">
        <v>2320</v>
      </c>
      <c r="M133" t="n">
        <v>1032</v>
      </c>
      <c r="N133" t="n">
        <v>1660</v>
      </c>
      <c r="O133" t="n">
        <v>2320</v>
      </c>
      <c r="P133" t="n">
        <v>2980</v>
      </c>
      <c r="Q133" t="n">
        <v>3640</v>
      </c>
      <c r="R133" t="n">
        <v>4300</v>
      </c>
      <c r="S133" t="n">
        <v>4960</v>
      </c>
      <c r="T133" t="n">
        <v>5620</v>
      </c>
      <c r="U133" t="n">
        <v>6280</v>
      </c>
      <c r="V133" t="n">
        <v>2759</v>
      </c>
      <c r="W133" t="n">
        <v>1528</v>
      </c>
      <c r="X133" t="n">
        <v>1396</v>
      </c>
      <c r="Y133" t="n">
        <v>7120</v>
      </c>
    </row>
    <row r="134">
      <c r="A134" t="n">
        <v>133</v>
      </c>
      <c r="B134" t="n">
        <v>0</v>
      </c>
      <c r="C134" t="n">
        <v>7342</v>
      </c>
      <c r="D134" t="n">
        <v>13952</v>
      </c>
      <c r="E134" t="n">
        <v>50191</v>
      </c>
      <c r="F134" t="n">
        <v>179298</v>
      </c>
      <c r="G134" t="n">
        <v>632203</v>
      </c>
      <c r="H134" t="n">
        <v>2207802</v>
      </c>
      <c r="I134" t="n">
        <v>7612440</v>
      </c>
      <c r="J134" t="n">
        <v>2000</v>
      </c>
      <c r="K134" t="n">
        <v>10083</v>
      </c>
      <c r="L134" t="n">
        <v>2330</v>
      </c>
      <c r="M134" t="n">
        <v>1033</v>
      </c>
      <c r="N134" t="n">
        <v>1665</v>
      </c>
      <c r="O134" t="n">
        <v>2330</v>
      </c>
      <c r="P134" t="n">
        <v>2995</v>
      </c>
      <c r="Q134" t="n">
        <v>3660</v>
      </c>
      <c r="R134" t="n">
        <v>4325</v>
      </c>
      <c r="S134" t="n">
        <v>4990</v>
      </c>
      <c r="T134" t="n">
        <v>5655</v>
      </c>
      <c r="U134" t="n">
        <v>6320</v>
      </c>
      <c r="V134" t="n">
        <v>2777</v>
      </c>
      <c r="W134" t="n">
        <v>1532</v>
      </c>
      <c r="X134" t="n">
        <v>1399</v>
      </c>
      <c r="Y134" t="n">
        <v>7130</v>
      </c>
    </row>
    <row r="135">
      <c r="A135" t="n">
        <v>134</v>
      </c>
      <c r="B135" t="n">
        <v>0</v>
      </c>
      <c r="C135" t="n">
        <v>7453</v>
      </c>
      <c r="D135" t="n">
        <v>14232</v>
      </c>
      <c r="E135" t="n">
        <v>51697</v>
      </c>
      <c r="F135" t="n">
        <v>186470</v>
      </c>
      <c r="G135" t="n">
        <v>663814</v>
      </c>
      <c r="H135" t="n">
        <v>2340271</v>
      </c>
      <c r="I135" t="n">
        <v>8145311</v>
      </c>
      <c r="J135" t="n">
        <v>2000</v>
      </c>
      <c r="K135" t="n">
        <v>10184</v>
      </c>
      <c r="L135" t="n">
        <v>2340</v>
      </c>
      <c r="M135" t="n">
        <v>1034</v>
      </c>
      <c r="N135" t="n">
        <v>1670</v>
      </c>
      <c r="O135" t="n">
        <v>2340</v>
      </c>
      <c r="P135" t="n">
        <v>3010</v>
      </c>
      <c r="Q135" t="n">
        <v>3680</v>
      </c>
      <c r="R135" t="n">
        <v>4350</v>
      </c>
      <c r="S135" t="n">
        <v>5020</v>
      </c>
      <c r="T135" t="n">
        <v>5690</v>
      </c>
      <c r="U135" t="n">
        <v>6360</v>
      </c>
      <c r="V135" t="n">
        <v>2795</v>
      </c>
      <c r="W135" t="n">
        <v>1536</v>
      </c>
      <c r="X135" t="n">
        <v>1402</v>
      </c>
      <c r="Y135" t="n">
        <v>7140</v>
      </c>
    </row>
    <row r="136">
      <c r="A136" t="n">
        <v>135</v>
      </c>
      <c r="B136" t="n">
        <v>0</v>
      </c>
      <c r="C136" t="n">
        <v>7565</v>
      </c>
      <c r="D136" t="n">
        <v>14517</v>
      </c>
      <c r="E136" t="n">
        <v>53248</v>
      </c>
      <c r="F136" t="n">
        <v>193929</v>
      </c>
      <c r="G136" t="n">
        <v>697005</v>
      </c>
      <c r="H136" t="n">
        <v>2480688</v>
      </c>
      <c r="I136" t="n">
        <v>8715483</v>
      </c>
      <c r="J136" t="n">
        <v>2000</v>
      </c>
      <c r="K136" t="n">
        <v>10286</v>
      </c>
      <c r="L136" t="n">
        <v>2350</v>
      </c>
      <c r="M136" t="n">
        <v>1035</v>
      </c>
      <c r="N136" t="n">
        <v>1675</v>
      </c>
      <c r="O136" t="n">
        <v>2350</v>
      </c>
      <c r="P136" t="n">
        <v>3025</v>
      </c>
      <c r="Q136" t="n">
        <v>3700</v>
      </c>
      <c r="R136" t="n">
        <v>4375</v>
      </c>
      <c r="S136" t="n">
        <v>5050</v>
      </c>
      <c r="T136" t="n">
        <v>5725</v>
      </c>
      <c r="U136" t="n">
        <v>6400</v>
      </c>
      <c r="V136" t="n">
        <v>2813</v>
      </c>
      <c r="W136" t="n">
        <v>1540</v>
      </c>
      <c r="X136" t="n">
        <v>1405</v>
      </c>
      <c r="Y136" t="n">
        <v>7150</v>
      </c>
    </row>
    <row r="137">
      <c r="A137" t="n">
        <v>136</v>
      </c>
      <c r="B137" t="n">
        <v>0</v>
      </c>
      <c r="C137" t="n">
        <v>7679</v>
      </c>
      <c r="D137" t="n">
        <v>14808</v>
      </c>
      <c r="E137" t="n">
        <v>54846</v>
      </c>
      <c r="F137" t="n">
        <v>201687</v>
      </c>
      <c r="G137" t="n">
        <v>731856</v>
      </c>
      <c r="H137" t="n">
        <v>2629530</v>
      </c>
      <c r="I137" t="n">
        <v>9325567</v>
      </c>
      <c r="J137" t="n">
        <v>2000</v>
      </c>
      <c r="K137" t="n">
        <v>10389</v>
      </c>
      <c r="L137" t="n">
        <v>2360</v>
      </c>
      <c r="M137" t="n">
        <v>1036</v>
      </c>
      <c r="N137" t="n">
        <v>1680</v>
      </c>
      <c r="O137" t="n">
        <v>2360</v>
      </c>
      <c r="P137" t="n">
        <v>3040</v>
      </c>
      <c r="Q137" t="n">
        <v>3720</v>
      </c>
      <c r="R137" t="n">
        <v>4400</v>
      </c>
      <c r="S137" t="n">
        <v>5080</v>
      </c>
      <c r="T137" t="n">
        <v>5760</v>
      </c>
      <c r="U137" t="n">
        <v>6440</v>
      </c>
      <c r="V137" t="n">
        <v>2832</v>
      </c>
      <c r="W137" t="n">
        <v>1544</v>
      </c>
      <c r="X137" t="n">
        <v>1408</v>
      </c>
      <c r="Y137" t="n">
        <v>7160</v>
      </c>
    </row>
    <row r="138">
      <c r="A138" t="n">
        <v>137</v>
      </c>
      <c r="B138" t="n">
        <v>0</v>
      </c>
      <c r="C138" t="n">
        <v>7795</v>
      </c>
      <c r="D138" t="n">
        <v>15105</v>
      </c>
      <c r="E138" t="n">
        <v>56492</v>
      </c>
      <c r="F138" t="n">
        <v>209755</v>
      </c>
      <c r="G138" t="n">
        <v>768449</v>
      </c>
      <c r="H138" t="n">
        <v>2787302</v>
      </c>
      <c r="I138" t="n">
        <v>9978357</v>
      </c>
      <c r="J138" t="n">
        <v>2000</v>
      </c>
      <c r="K138" t="n">
        <v>10493</v>
      </c>
      <c r="L138" t="n">
        <v>2370</v>
      </c>
      <c r="M138" t="n">
        <v>1037</v>
      </c>
      <c r="N138" t="n">
        <v>1685</v>
      </c>
      <c r="O138" t="n">
        <v>2370</v>
      </c>
      <c r="P138" t="n">
        <v>3055</v>
      </c>
      <c r="Q138" t="n">
        <v>3740</v>
      </c>
      <c r="R138" t="n">
        <v>4425</v>
      </c>
      <c r="S138" t="n">
        <v>5110</v>
      </c>
      <c r="T138" t="n">
        <v>5795</v>
      </c>
      <c r="U138" t="n">
        <v>6480</v>
      </c>
      <c r="V138" t="n">
        <v>2851</v>
      </c>
      <c r="W138" t="n">
        <v>1548</v>
      </c>
      <c r="X138" t="n">
        <v>1411</v>
      </c>
      <c r="Y138" t="n">
        <v>7170</v>
      </c>
    </row>
    <row r="139">
      <c r="A139" t="n">
        <v>138</v>
      </c>
      <c r="B139" t="n">
        <v>0</v>
      </c>
      <c r="C139" t="n">
        <v>7912</v>
      </c>
      <c r="D139" t="n">
        <v>15408</v>
      </c>
      <c r="E139" t="n">
        <v>58187</v>
      </c>
      <c r="F139" t="n">
        <v>218146</v>
      </c>
      <c r="G139" t="n">
        <v>806872</v>
      </c>
      <c r="H139" t="n">
        <v>2954541</v>
      </c>
      <c r="I139" t="n">
        <v>10676842</v>
      </c>
      <c r="J139" t="n">
        <v>2000</v>
      </c>
      <c r="K139" t="n">
        <v>10598</v>
      </c>
      <c r="L139" t="n">
        <v>2380</v>
      </c>
      <c r="M139" t="n">
        <v>1038</v>
      </c>
      <c r="N139" t="n">
        <v>1690</v>
      </c>
      <c r="O139" t="n">
        <v>2380</v>
      </c>
      <c r="P139" t="n">
        <v>3070</v>
      </c>
      <c r="Q139" t="n">
        <v>3760</v>
      </c>
      <c r="R139" t="n">
        <v>4450</v>
      </c>
      <c r="S139" t="n">
        <v>5140</v>
      </c>
      <c r="T139" t="n">
        <v>5830</v>
      </c>
      <c r="U139" t="n">
        <v>6520</v>
      </c>
      <c r="V139" t="n">
        <v>2870</v>
      </c>
      <c r="W139" t="n">
        <v>1552</v>
      </c>
      <c r="X139" t="n">
        <v>1414</v>
      </c>
      <c r="Y139" t="n">
        <v>7180</v>
      </c>
    </row>
    <row r="140">
      <c r="A140" t="n">
        <v>139</v>
      </c>
      <c r="B140" t="n">
        <v>0</v>
      </c>
      <c r="C140" t="n">
        <v>8031</v>
      </c>
      <c r="D140" t="n">
        <v>15717</v>
      </c>
      <c r="E140" t="n">
        <v>59933</v>
      </c>
      <c r="F140" t="n">
        <v>226872</v>
      </c>
      <c r="G140" t="n">
        <v>847216</v>
      </c>
      <c r="H140" t="n">
        <v>3131814</v>
      </c>
      <c r="I140" t="n">
        <v>11424221</v>
      </c>
      <c r="J140" t="n">
        <v>2000</v>
      </c>
      <c r="K140" t="n">
        <v>10704</v>
      </c>
      <c r="L140" t="n">
        <v>2390</v>
      </c>
      <c r="M140" t="n">
        <v>1039</v>
      </c>
      <c r="N140" t="n">
        <v>1695</v>
      </c>
      <c r="O140" t="n">
        <v>2390</v>
      </c>
      <c r="P140" t="n">
        <v>3085</v>
      </c>
      <c r="Q140" t="n">
        <v>3780</v>
      </c>
      <c r="R140" t="n">
        <v>4475</v>
      </c>
      <c r="S140" t="n">
        <v>5170</v>
      </c>
      <c r="T140" t="n">
        <v>5865</v>
      </c>
      <c r="U140" t="n">
        <v>6560</v>
      </c>
      <c r="V140" t="n">
        <v>2889</v>
      </c>
      <c r="W140" t="n">
        <v>1556</v>
      </c>
      <c r="X140" t="n">
        <v>1417</v>
      </c>
      <c r="Y140" t="n">
        <v>7190</v>
      </c>
    </row>
    <row r="141">
      <c r="A141" t="n">
        <v>140</v>
      </c>
      <c r="B141" t="n">
        <v>0</v>
      </c>
      <c r="C141" t="n">
        <v>8152</v>
      </c>
      <c r="D141" t="n">
        <v>16032</v>
      </c>
      <c r="E141" t="n">
        <v>61731</v>
      </c>
      <c r="F141" t="n">
        <v>235947</v>
      </c>
      <c r="G141" t="n">
        <v>889577</v>
      </c>
      <c r="H141" t="n">
        <v>3319723</v>
      </c>
      <c r="I141" t="n">
        <v>12223917</v>
      </c>
      <c r="J141" t="n">
        <v>2000</v>
      </c>
      <c r="K141" t="n">
        <v>10812</v>
      </c>
      <c r="L141" t="n">
        <v>2400</v>
      </c>
      <c r="M141" t="n">
        <v>1040</v>
      </c>
      <c r="N141" t="n">
        <v>1700</v>
      </c>
      <c r="O141" t="n">
        <v>2400</v>
      </c>
      <c r="P141" t="n">
        <v>3100</v>
      </c>
      <c r="Q141" t="n">
        <v>3800</v>
      </c>
      <c r="R141" t="n">
        <v>4500</v>
      </c>
      <c r="S141" t="n">
        <v>5200</v>
      </c>
      <c r="T141" t="n">
        <v>5900</v>
      </c>
      <c r="U141" t="n">
        <v>6600</v>
      </c>
      <c r="V141" t="n">
        <v>2908</v>
      </c>
      <c r="W141" t="n">
        <v>1560</v>
      </c>
      <c r="X141" t="n">
        <v>1420</v>
      </c>
      <c r="Y141" t="n">
        <v>7200</v>
      </c>
    </row>
    <row r="142">
      <c r="A142" t="n">
        <v>141</v>
      </c>
      <c r="B142" t="n">
        <v>0</v>
      </c>
      <c r="C142" t="n">
        <v>8275</v>
      </c>
      <c r="D142" t="n">
        <v>16353</v>
      </c>
      <c r="E142" t="n">
        <v>63583</v>
      </c>
      <c r="F142" t="n">
        <v>245385</v>
      </c>
      <c r="G142" t="n">
        <v>934056</v>
      </c>
      <c r="H142" t="n">
        <v>3518907</v>
      </c>
      <c r="I142" t="n">
        <v>13079592</v>
      </c>
      <c r="J142" t="n">
        <v>2000</v>
      </c>
      <c r="K142" t="n">
        <v>10921</v>
      </c>
      <c r="L142" t="n">
        <v>2410</v>
      </c>
      <c r="M142" t="n">
        <v>1041</v>
      </c>
      <c r="N142" t="n">
        <v>1705</v>
      </c>
      <c r="O142" t="n">
        <v>2410</v>
      </c>
      <c r="P142" t="n">
        <v>3115</v>
      </c>
      <c r="Q142" t="n">
        <v>3820</v>
      </c>
      <c r="R142" t="n">
        <v>4525</v>
      </c>
      <c r="S142" t="n">
        <v>5230</v>
      </c>
      <c r="T142" t="n">
        <v>5935</v>
      </c>
      <c r="U142" t="n">
        <v>6640</v>
      </c>
      <c r="V142" t="n">
        <v>2927</v>
      </c>
      <c r="W142" t="n">
        <v>1564</v>
      </c>
      <c r="X142" t="n">
        <v>1423</v>
      </c>
      <c r="Y142" t="n">
        <v>7210</v>
      </c>
    </row>
    <row r="143">
      <c r="A143" t="n">
        <v>142</v>
      </c>
      <c r="B143" t="n">
        <v>0</v>
      </c>
      <c r="C143" t="n">
        <v>8400</v>
      </c>
      <c r="D143" t="n">
        <v>16681</v>
      </c>
      <c r="E143" t="n">
        <v>65491</v>
      </c>
      <c r="F143" t="n">
        <v>255201</v>
      </c>
      <c r="G143" t="n">
        <v>980759</v>
      </c>
      <c r="H143" t="n">
        <v>3730042</v>
      </c>
      <c r="I143" t="n">
        <v>13995164</v>
      </c>
      <c r="J143" t="n">
        <v>2000</v>
      </c>
      <c r="K143" t="n">
        <v>11031</v>
      </c>
      <c r="L143" t="n">
        <v>2420</v>
      </c>
      <c r="M143" t="n">
        <v>1042</v>
      </c>
      <c r="N143" t="n">
        <v>1710</v>
      </c>
      <c r="O143" t="n">
        <v>2420</v>
      </c>
      <c r="P143" t="n">
        <v>3130</v>
      </c>
      <c r="Q143" t="n">
        <v>3840</v>
      </c>
      <c r="R143" t="n">
        <v>4550</v>
      </c>
      <c r="S143" t="n">
        <v>5260</v>
      </c>
      <c r="T143" t="n">
        <v>5970</v>
      </c>
      <c r="U143" t="n">
        <v>6680</v>
      </c>
      <c r="V143" t="n">
        <v>2946</v>
      </c>
      <c r="W143" t="n">
        <v>1568</v>
      </c>
      <c r="X143" t="n">
        <v>1426</v>
      </c>
      <c r="Y143" t="n">
        <v>7220</v>
      </c>
    </row>
    <row r="144">
      <c r="A144" t="n">
        <v>143</v>
      </c>
      <c r="B144" t="n">
        <v>0</v>
      </c>
      <c r="C144" t="n">
        <v>8526</v>
      </c>
      <c r="D144" t="n">
        <v>17015</v>
      </c>
      <c r="E144" t="n">
        <v>67456</v>
      </c>
      <c r="F144" t="n">
        <v>265410</v>
      </c>
      <c r="G144" t="n">
        <v>1029797</v>
      </c>
      <c r="H144" t="n">
        <v>3953845</v>
      </c>
      <c r="I144" t="n">
        <v>14974826</v>
      </c>
      <c r="J144" t="n">
        <v>2000</v>
      </c>
      <c r="K144" t="n">
        <v>11142</v>
      </c>
      <c r="L144" t="n">
        <v>2430</v>
      </c>
      <c r="M144" t="n">
        <v>1043</v>
      </c>
      <c r="N144" t="n">
        <v>1715</v>
      </c>
      <c r="O144" t="n">
        <v>2430</v>
      </c>
      <c r="P144" t="n">
        <v>3145</v>
      </c>
      <c r="Q144" t="n">
        <v>3860</v>
      </c>
      <c r="R144" t="n">
        <v>4575</v>
      </c>
      <c r="S144" t="n">
        <v>5290</v>
      </c>
      <c r="T144" t="n">
        <v>6005</v>
      </c>
      <c r="U144" t="n">
        <v>6720</v>
      </c>
      <c r="V144" t="n">
        <v>2965</v>
      </c>
      <c r="W144" t="n">
        <v>1572</v>
      </c>
      <c r="X144" t="n">
        <v>1429</v>
      </c>
      <c r="Y144" t="n">
        <v>7230</v>
      </c>
    </row>
    <row r="145">
      <c r="A145" t="n">
        <v>144</v>
      </c>
      <c r="B145" t="n">
        <v>0</v>
      </c>
      <c r="C145" t="n">
        <v>8654</v>
      </c>
      <c r="D145" t="n">
        <v>17356</v>
      </c>
      <c r="E145" t="n">
        <v>69480</v>
      </c>
      <c r="F145" t="n">
        <v>276027</v>
      </c>
      <c r="G145" t="n">
        <v>1081287</v>
      </c>
      <c r="H145" t="n">
        <v>4191076</v>
      </c>
      <c r="I145" t="n">
        <v>16023064</v>
      </c>
      <c r="J145" t="n">
        <v>2000</v>
      </c>
      <c r="K145" t="n">
        <v>11254</v>
      </c>
      <c r="L145" t="n">
        <v>2440</v>
      </c>
      <c r="M145" t="n">
        <v>1044</v>
      </c>
      <c r="N145" t="n">
        <v>1720</v>
      </c>
      <c r="O145" t="n">
        <v>2440</v>
      </c>
      <c r="P145" t="n">
        <v>3160</v>
      </c>
      <c r="Q145" t="n">
        <v>3880</v>
      </c>
      <c r="R145" t="n">
        <v>4600</v>
      </c>
      <c r="S145" t="n">
        <v>5320</v>
      </c>
      <c r="T145" t="n">
        <v>6040</v>
      </c>
      <c r="U145" t="n">
        <v>6760</v>
      </c>
      <c r="V145" t="n">
        <v>2984</v>
      </c>
      <c r="W145" t="n">
        <v>1576</v>
      </c>
      <c r="X145" t="n">
        <v>1432</v>
      </c>
      <c r="Y145" t="n">
        <v>7240</v>
      </c>
    </row>
    <row r="146">
      <c r="A146" t="n">
        <v>145</v>
      </c>
      <c r="B146" t="n">
        <v>0</v>
      </c>
      <c r="C146" t="n">
        <v>8784</v>
      </c>
      <c r="D146" t="n">
        <v>17704</v>
      </c>
      <c r="E146" t="n">
        <v>71565</v>
      </c>
      <c r="F146" t="n">
        <v>287069</v>
      </c>
      <c r="G146" t="n">
        <v>1135352</v>
      </c>
      <c r="H146" t="n">
        <v>4442541</v>
      </c>
      <c r="I146" t="n">
        <v>17144679</v>
      </c>
      <c r="J146" t="n">
        <v>2000</v>
      </c>
      <c r="K146" t="n">
        <v>11367</v>
      </c>
      <c r="L146" t="n">
        <v>2450</v>
      </c>
      <c r="M146" t="n">
        <v>1045</v>
      </c>
      <c r="N146" t="n">
        <v>1725</v>
      </c>
      <c r="O146" t="n">
        <v>2450</v>
      </c>
      <c r="P146" t="n">
        <v>3175</v>
      </c>
      <c r="Q146" t="n">
        <v>3900</v>
      </c>
      <c r="R146" t="n">
        <v>4625</v>
      </c>
      <c r="S146" t="n">
        <v>5350</v>
      </c>
      <c r="T146" t="n">
        <v>6075</v>
      </c>
      <c r="U146" t="n">
        <v>6800</v>
      </c>
      <c r="V146" t="n">
        <v>3003</v>
      </c>
      <c r="W146" t="n">
        <v>1580</v>
      </c>
      <c r="X146" t="n">
        <v>1435</v>
      </c>
      <c r="Y146" t="n">
        <v>7250</v>
      </c>
    </row>
    <row r="147">
      <c r="A147" t="n">
        <v>146</v>
      </c>
      <c r="B147" t="n">
        <v>0</v>
      </c>
      <c r="C147" t="n">
        <v>8916</v>
      </c>
      <c r="D147" t="n">
        <v>18059</v>
      </c>
      <c r="E147" t="n">
        <v>73712</v>
      </c>
      <c r="F147" t="n">
        <v>298552</v>
      </c>
      <c r="G147" t="n">
        <v>1192120</v>
      </c>
      <c r="H147" t="n">
        <v>4709094</v>
      </c>
      <c r="I147" t="n">
        <v>18344807</v>
      </c>
      <c r="J147" t="n">
        <v>2000</v>
      </c>
      <c r="K147" t="n">
        <v>11481</v>
      </c>
      <c r="L147" t="n">
        <v>2460</v>
      </c>
      <c r="M147" t="n">
        <v>1046</v>
      </c>
      <c r="N147" t="n">
        <v>1730</v>
      </c>
      <c r="O147" t="n">
        <v>2460</v>
      </c>
      <c r="P147" t="n">
        <v>3190</v>
      </c>
      <c r="Q147" t="n">
        <v>3920</v>
      </c>
      <c r="R147" t="n">
        <v>4650</v>
      </c>
      <c r="S147" t="n">
        <v>5380</v>
      </c>
      <c r="T147" t="n">
        <v>6110</v>
      </c>
      <c r="U147" t="n">
        <v>6840</v>
      </c>
      <c r="V147" t="n">
        <v>3023</v>
      </c>
      <c r="W147" t="n">
        <v>1584</v>
      </c>
      <c r="X147" t="n">
        <v>1438</v>
      </c>
      <c r="Y147" t="n">
        <v>7260</v>
      </c>
    </row>
    <row r="148">
      <c r="A148" t="n">
        <v>147</v>
      </c>
      <c r="B148" t="n">
        <v>0</v>
      </c>
      <c r="C148" t="n">
        <v>9050</v>
      </c>
      <c r="D148" t="n">
        <v>18421</v>
      </c>
      <c r="E148" t="n">
        <v>75924</v>
      </c>
      <c r="F148" t="n">
        <v>310495</v>
      </c>
      <c r="G148" t="n">
        <v>1251726</v>
      </c>
      <c r="H148" t="n">
        <v>4991640</v>
      </c>
      <c r="I148" t="n">
        <v>19628944</v>
      </c>
      <c r="J148" t="n">
        <v>2000</v>
      </c>
      <c r="K148" t="n">
        <v>11596</v>
      </c>
      <c r="L148" t="n">
        <v>2470</v>
      </c>
      <c r="M148" t="n">
        <v>1047</v>
      </c>
      <c r="N148" t="n">
        <v>1735</v>
      </c>
      <c r="O148" t="n">
        <v>2470</v>
      </c>
      <c r="P148" t="n">
        <v>3205</v>
      </c>
      <c r="Q148" t="n">
        <v>3940</v>
      </c>
      <c r="R148" t="n">
        <v>4675</v>
      </c>
      <c r="S148" t="n">
        <v>5410</v>
      </c>
      <c r="T148" t="n">
        <v>6145</v>
      </c>
      <c r="U148" t="n">
        <v>6880</v>
      </c>
      <c r="V148" t="n">
        <v>3043</v>
      </c>
      <c r="W148" t="n">
        <v>1588</v>
      </c>
      <c r="X148" t="n">
        <v>1441</v>
      </c>
      <c r="Y148" t="n">
        <v>7270</v>
      </c>
    </row>
    <row r="149">
      <c r="A149" t="n">
        <v>148</v>
      </c>
      <c r="B149" t="n">
        <v>0</v>
      </c>
      <c r="C149" t="n">
        <v>9186</v>
      </c>
      <c r="D149" t="n">
        <v>18790</v>
      </c>
      <c r="E149" t="n">
        <v>78202</v>
      </c>
      <c r="F149" t="n">
        <v>322915</v>
      </c>
      <c r="G149" t="n">
        <v>1314313</v>
      </c>
      <c r="H149" t="n">
        <v>5291139</v>
      </c>
      <c r="I149" t="n">
        <v>21002971</v>
      </c>
      <c r="J149" t="n">
        <v>2000</v>
      </c>
      <c r="K149" t="n">
        <v>11712</v>
      </c>
      <c r="L149" t="n">
        <v>2480</v>
      </c>
      <c r="M149" t="n">
        <v>1048</v>
      </c>
      <c r="N149" t="n">
        <v>1740</v>
      </c>
      <c r="O149" t="n">
        <v>2480</v>
      </c>
      <c r="P149" t="n">
        <v>3220</v>
      </c>
      <c r="Q149" t="n">
        <v>3960</v>
      </c>
      <c r="R149" t="n">
        <v>4700</v>
      </c>
      <c r="S149" t="n">
        <v>5440</v>
      </c>
      <c r="T149" t="n">
        <v>6180</v>
      </c>
      <c r="U149" t="n">
        <v>6920</v>
      </c>
      <c r="V149" t="n">
        <v>3063</v>
      </c>
      <c r="W149" t="n">
        <v>1592</v>
      </c>
      <c r="X149" t="n">
        <v>1444</v>
      </c>
      <c r="Y149" t="n">
        <v>7280</v>
      </c>
    </row>
    <row r="150">
      <c r="A150" t="n">
        <v>149</v>
      </c>
      <c r="B150" t="n">
        <v>0</v>
      </c>
      <c r="C150" t="n">
        <v>9324</v>
      </c>
      <c r="D150" t="n">
        <v>19166</v>
      </c>
      <c r="E150" t="n">
        <v>80549</v>
      </c>
      <c r="F150" t="n">
        <v>335832</v>
      </c>
      <c r="G150" t="n">
        <v>1380029</v>
      </c>
      <c r="H150" t="n">
        <v>5608608</v>
      </c>
      <c r="I150" t="n">
        <v>22473179</v>
      </c>
      <c r="J150" t="n">
        <v>2000</v>
      </c>
      <c r="K150" t="n">
        <v>11830</v>
      </c>
      <c r="L150" t="n">
        <v>2490</v>
      </c>
      <c r="M150" t="n">
        <v>1049</v>
      </c>
      <c r="N150" t="n">
        <v>1745</v>
      </c>
      <c r="O150" t="n">
        <v>2490</v>
      </c>
      <c r="P150" t="n">
        <v>3235</v>
      </c>
      <c r="Q150" t="n">
        <v>3980</v>
      </c>
      <c r="R150" t="n">
        <v>4725</v>
      </c>
      <c r="S150" t="n">
        <v>5470</v>
      </c>
      <c r="T150" t="n">
        <v>6215</v>
      </c>
      <c r="U150" t="n">
        <v>6960</v>
      </c>
      <c r="V150" t="n">
        <v>3083</v>
      </c>
      <c r="W150" t="n">
        <v>1596</v>
      </c>
      <c r="X150" t="n">
        <v>1447</v>
      </c>
      <c r="Y150" t="n">
        <v>7290</v>
      </c>
    </row>
    <row r="151">
      <c r="A151" t="n">
        <v>150</v>
      </c>
      <c r="B151" t="n">
        <v>0</v>
      </c>
      <c r="C151" t="n">
        <v>9464</v>
      </c>
      <c r="D151" t="n">
        <v>19550</v>
      </c>
      <c r="E151" t="n">
        <v>82966</v>
      </c>
      <c r="F151" t="n">
        <v>349266</v>
      </c>
      <c r="G151" t="n">
        <v>1449031</v>
      </c>
      <c r="H151" t="n">
        <v>5945125</v>
      </c>
      <c r="I151" t="n">
        <v>24046302</v>
      </c>
      <c r="J151" t="n">
        <v>2000</v>
      </c>
      <c r="K151" t="n">
        <v>11949</v>
      </c>
      <c r="L151" t="n">
        <v>2500</v>
      </c>
      <c r="M151" t="n">
        <v>1050</v>
      </c>
      <c r="N151" t="n">
        <v>1750</v>
      </c>
      <c r="O151" t="n">
        <v>2500</v>
      </c>
      <c r="P151" t="n">
        <v>3250</v>
      </c>
      <c r="Q151" t="n">
        <v>4000</v>
      </c>
      <c r="R151" t="n">
        <v>4750</v>
      </c>
      <c r="S151" t="n">
        <v>5500</v>
      </c>
      <c r="T151" t="n">
        <v>6250</v>
      </c>
      <c r="U151" t="n">
        <v>7000</v>
      </c>
      <c r="V151" t="n">
        <v>3103</v>
      </c>
      <c r="W151" t="n">
        <v>1600</v>
      </c>
      <c r="X151" t="n">
        <v>1450</v>
      </c>
      <c r="Y151" t="n">
        <v>7300</v>
      </c>
    </row>
    <row r="152">
      <c r="A152" t="n">
        <v>151</v>
      </c>
      <c r="B152" t="n">
        <v>0</v>
      </c>
      <c r="C152" t="n">
        <v>9606</v>
      </c>
      <c r="D152" t="n">
        <v>19941</v>
      </c>
      <c r="E152" t="n">
        <v>85455</v>
      </c>
      <c r="F152" t="n">
        <v>363237</v>
      </c>
      <c r="G152" t="n">
        <v>1521483</v>
      </c>
      <c r="H152" t="n">
        <v>6301833</v>
      </c>
      <c r="I152" t="n">
        <v>25729544</v>
      </c>
      <c r="J152" t="n">
        <v>2000</v>
      </c>
      <c r="K152" t="n">
        <v>12069</v>
      </c>
      <c r="L152" t="n">
        <v>2500</v>
      </c>
      <c r="M152" t="n">
        <v>1051</v>
      </c>
      <c r="N152" t="n">
        <v>1755</v>
      </c>
      <c r="O152" t="n">
        <v>2510</v>
      </c>
      <c r="P152" t="n">
        <v>3265</v>
      </c>
      <c r="Q152" t="n">
        <v>4020</v>
      </c>
      <c r="R152" t="n">
        <v>4775</v>
      </c>
      <c r="S152" t="n">
        <v>5530</v>
      </c>
      <c r="T152" t="n">
        <v>6285</v>
      </c>
      <c r="U152" t="n">
        <v>7040</v>
      </c>
      <c r="V152" t="n">
        <v>3123</v>
      </c>
      <c r="W152" t="n">
        <v>1604</v>
      </c>
      <c r="X152" t="n">
        <v>1453</v>
      </c>
      <c r="Y152" t="n">
        <v>7310</v>
      </c>
    </row>
    <row r="153">
      <c r="A153" t="n">
        <v>152</v>
      </c>
      <c r="B153" t="n">
        <v>0</v>
      </c>
      <c r="C153" t="n">
        <v>9751</v>
      </c>
      <c r="D153" t="n">
        <v>20340</v>
      </c>
      <c r="E153" t="n">
        <v>88019</v>
      </c>
      <c r="F153" t="n">
        <v>377767</v>
      </c>
      <c r="G153" t="n">
        <v>1597558</v>
      </c>
      <c r="H153" t="n">
        <v>6679943</v>
      </c>
      <c r="I153" t="n">
        <v>27530613</v>
      </c>
      <c r="J153" t="n">
        <v>2000</v>
      </c>
      <c r="K153" t="n">
        <v>12190</v>
      </c>
      <c r="L153" t="n">
        <v>2500</v>
      </c>
      <c r="M153" t="n">
        <v>1052</v>
      </c>
      <c r="N153" t="n">
        <v>1760</v>
      </c>
      <c r="O153" t="n">
        <v>2520</v>
      </c>
      <c r="P153" t="n">
        <v>3280</v>
      </c>
      <c r="Q153" t="n">
        <v>4040</v>
      </c>
      <c r="R153" t="n">
        <v>4800</v>
      </c>
      <c r="S153" t="n">
        <v>5560</v>
      </c>
      <c r="T153" t="n">
        <v>6320</v>
      </c>
      <c r="U153" t="n">
        <v>7080</v>
      </c>
      <c r="V153" t="n">
        <v>3143</v>
      </c>
      <c r="W153" t="n">
        <v>1608</v>
      </c>
      <c r="X153" t="n">
        <v>1456</v>
      </c>
      <c r="Y153" t="n">
        <v>7320</v>
      </c>
    </row>
    <row r="154">
      <c r="A154" t="n">
        <v>153</v>
      </c>
      <c r="B154" t="n">
        <v>0</v>
      </c>
      <c r="C154" t="n">
        <v>9898</v>
      </c>
      <c r="D154" t="n">
        <v>20747</v>
      </c>
      <c r="E154" t="n">
        <v>90660</v>
      </c>
      <c r="F154" t="n">
        <v>392878</v>
      </c>
      <c r="G154" t="n">
        <v>1677436</v>
      </c>
      <c r="H154" t="n">
        <v>7080740</v>
      </c>
      <c r="I154" t="n">
        <v>29457756</v>
      </c>
      <c r="J154" t="n">
        <v>2000</v>
      </c>
      <c r="K154" t="n">
        <v>12312</v>
      </c>
      <c r="L154" t="n">
        <v>2500</v>
      </c>
      <c r="M154" t="n">
        <v>1053</v>
      </c>
      <c r="N154" t="n">
        <v>1765</v>
      </c>
      <c r="O154" t="n">
        <v>2530</v>
      </c>
      <c r="P154" t="n">
        <v>3295</v>
      </c>
      <c r="Q154" t="n">
        <v>4060</v>
      </c>
      <c r="R154" t="n">
        <v>4825</v>
      </c>
      <c r="S154" t="n">
        <v>5590</v>
      </c>
      <c r="T154" t="n">
        <v>6355</v>
      </c>
      <c r="U154" t="n">
        <v>7120</v>
      </c>
      <c r="V154" t="n">
        <v>3163</v>
      </c>
      <c r="W154" t="n">
        <v>1612</v>
      </c>
      <c r="X154" t="n">
        <v>1459</v>
      </c>
      <c r="Y154" t="n">
        <v>7330</v>
      </c>
    </row>
    <row r="155">
      <c r="A155" t="n">
        <v>154</v>
      </c>
      <c r="B155" t="n">
        <v>0</v>
      </c>
      <c r="C155" t="n">
        <v>10047</v>
      </c>
      <c r="D155" t="n">
        <v>21162</v>
      </c>
      <c r="E155" t="n">
        <v>93380</v>
      </c>
      <c r="F155" t="n">
        <v>408594</v>
      </c>
      <c r="G155" t="n">
        <v>1761308</v>
      </c>
      <c r="H155" t="n">
        <v>7505585</v>
      </c>
      <c r="I155" t="n">
        <v>31519799</v>
      </c>
      <c r="J155" t="n">
        <v>2000</v>
      </c>
      <c r="K155" t="n">
        <v>12436</v>
      </c>
      <c r="L155" t="n">
        <v>2500</v>
      </c>
      <c r="M155" t="n">
        <v>1054</v>
      </c>
      <c r="N155" t="n">
        <v>1770</v>
      </c>
      <c r="O155" t="n">
        <v>2540</v>
      </c>
      <c r="P155" t="n">
        <v>3310</v>
      </c>
      <c r="Q155" t="n">
        <v>4080</v>
      </c>
      <c r="R155" t="n">
        <v>4850</v>
      </c>
      <c r="S155" t="n">
        <v>5620</v>
      </c>
      <c r="T155" t="n">
        <v>6390</v>
      </c>
      <c r="U155" t="n">
        <v>7160</v>
      </c>
      <c r="V155" t="n">
        <v>3183</v>
      </c>
      <c r="W155" t="n">
        <v>1616</v>
      </c>
      <c r="X155" t="n">
        <v>1462</v>
      </c>
      <c r="Y155" t="n">
        <v>7340</v>
      </c>
    </row>
    <row r="156">
      <c r="A156" t="n">
        <v>155</v>
      </c>
      <c r="B156" t="n">
        <v>0</v>
      </c>
      <c r="C156" t="n">
        <v>10198</v>
      </c>
      <c r="D156" t="n">
        <v>21586</v>
      </c>
      <c r="E156" t="n">
        <v>96182</v>
      </c>
      <c r="F156" t="n">
        <v>424938</v>
      </c>
      <c r="G156" t="n">
        <v>1849374</v>
      </c>
      <c r="H156" t="n">
        <v>7955921</v>
      </c>
      <c r="I156" t="n">
        <v>33726185</v>
      </c>
      <c r="J156" t="n">
        <v>2000</v>
      </c>
      <c r="K156" t="n">
        <v>12561</v>
      </c>
      <c r="L156" t="n">
        <v>2500</v>
      </c>
      <c r="M156" t="n">
        <v>1055</v>
      </c>
      <c r="N156" t="n">
        <v>1775</v>
      </c>
      <c r="O156" t="n">
        <v>2550</v>
      </c>
      <c r="P156" t="n">
        <v>3325</v>
      </c>
      <c r="Q156" t="n">
        <v>4100</v>
      </c>
      <c r="R156" t="n">
        <v>4875</v>
      </c>
      <c r="S156" t="n">
        <v>5650</v>
      </c>
      <c r="T156" t="n">
        <v>6425</v>
      </c>
      <c r="U156" t="n">
        <v>7200</v>
      </c>
      <c r="V156" t="n">
        <v>3203</v>
      </c>
      <c r="W156" t="n">
        <v>1620</v>
      </c>
      <c r="X156" t="n">
        <v>1465</v>
      </c>
      <c r="Y156" t="n">
        <v>7350</v>
      </c>
    </row>
    <row r="157">
      <c r="A157" t="n">
        <v>156</v>
      </c>
      <c r="B157" t="n">
        <v>0</v>
      </c>
      <c r="C157" t="n">
        <v>10351</v>
      </c>
      <c r="D157" t="n">
        <v>22018</v>
      </c>
      <c r="E157" t="n">
        <v>99068</v>
      </c>
      <c r="F157" t="n">
        <v>441936</v>
      </c>
      <c r="G157" t="n">
        <v>1941843</v>
      </c>
      <c r="H157" t="n">
        <v>8433277</v>
      </c>
      <c r="I157" t="n">
        <v>36087018</v>
      </c>
      <c r="J157" t="n">
        <v>2000</v>
      </c>
      <c r="K157" t="n">
        <v>12687</v>
      </c>
      <c r="L157" t="n">
        <v>2500</v>
      </c>
      <c r="M157" t="n">
        <v>1056</v>
      </c>
      <c r="N157" t="n">
        <v>1780</v>
      </c>
      <c r="O157" t="n">
        <v>2560</v>
      </c>
      <c r="P157" t="n">
        <v>3340</v>
      </c>
      <c r="Q157" t="n">
        <v>4120</v>
      </c>
      <c r="R157" t="n">
        <v>4900</v>
      </c>
      <c r="S157" t="n">
        <v>5680</v>
      </c>
      <c r="T157" t="n">
        <v>6460</v>
      </c>
      <c r="U157" t="n">
        <v>7240</v>
      </c>
      <c r="V157" t="n">
        <v>3224</v>
      </c>
      <c r="W157" t="n">
        <v>1624</v>
      </c>
      <c r="X157" t="n">
        <v>1468</v>
      </c>
      <c r="Y157" t="n">
        <v>7360</v>
      </c>
    </row>
    <row r="158">
      <c r="A158" t="n">
        <v>157</v>
      </c>
      <c r="B158" t="n">
        <v>0</v>
      </c>
      <c r="C158" t="n">
        <v>10507</v>
      </c>
      <c r="D158" t="n">
        <v>22459</v>
      </c>
      <c r="E158" t="n">
        <v>102041</v>
      </c>
      <c r="F158" t="n">
        <v>459614</v>
      </c>
      <c r="G158" t="n">
        <v>2038936</v>
      </c>
      <c r="H158" t="n">
        <v>8939274</v>
      </c>
      <c r="I158" t="n">
        <v>38613110</v>
      </c>
      <c r="J158" t="n">
        <v>2000</v>
      </c>
      <c r="K158" t="n">
        <v>12814</v>
      </c>
      <c r="L158" t="n">
        <v>2500</v>
      </c>
      <c r="M158" t="n">
        <v>1057</v>
      </c>
      <c r="N158" t="n">
        <v>1785</v>
      </c>
      <c r="O158" t="n">
        <v>2570</v>
      </c>
      <c r="P158" t="n">
        <v>3355</v>
      </c>
      <c r="Q158" t="n">
        <v>4140</v>
      </c>
      <c r="R158" t="n">
        <v>4925</v>
      </c>
      <c r="S158" t="n">
        <v>5710</v>
      </c>
      <c r="T158" t="n">
        <v>6495</v>
      </c>
      <c r="U158" t="n">
        <v>7280</v>
      </c>
      <c r="V158" t="n">
        <v>3245</v>
      </c>
      <c r="W158" t="n">
        <v>1628</v>
      </c>
      <c r="X158" t="n">
        <v>1471</v>
      </c>
      <c r="Y158" t="n">
        <v>7370</v>
      </c>
    </row>
    <row r="159">
      <c r="A159" t="n">
        <v>158</v>
      </c>
      <c r="B159" t="n">
        <v>0</v>
      </c>
      <c r="C159" t="n">
        <v>10665</v>
      </c>
      <c r="D159" t="n">
        <v>22909</v>
      </c>
      <c r="E159" t="n">
        <v>105103</v>
      </c>
      <c r="F159" t="n">
        <v>477999</v>
      </c>
      <c r="G159" t="n">
        <v>2140883</v>
      </c>
      <c r="H159" t="n">
        <v>9475631</v>
      </c>
      <c r="I159" t="n">
        <v>41316028</v>
      </c>
      <c r="J159" t="n">
        <v>2000</v>
      </c>
      <c r="K159" t="n">
        <v>12943</v>
      </c>
      <c r="L159" t="n">
        <v>2500</v>
      </c>
      <c r="M159" t="n">
        <v>1058</v>
      </c>
      <c r="N159" t="n">
        <v>1790</v>
      </c>
      <c r="O159" t="n">
        <v>2580</v>
      </c>
      <c r="P159" t="n">
        <v>3370</v>
      </c>
      <c r="Q159" t="n">
        <v>4160</v>
      </c>
      <c r="R159" t="n">
        <v>4950</v>
      </c>
      <c r="S159" t="n">
        <v>5740</v>
      </c>
      <c r="T159" t="n">
        <v>6530</v>
      </c>
      <c r="U159" t="n">
        <v>7320</v>
      </c>
      <c r="V159" t="n">
        <v>3266</v>
      </c>
      <c r="W159" t="n">
        <v>1632</v>
      </c>
      <c r="X159" t="n">
        <v>1474</v>
      </c>
      <c r="Y159" t="n">
        <v>7380</v>
      </c>
    </row>
    <row r="160">
      <c r="A160" t="n">
        <v>159</v>
      </c>
      <c r="B160" t="n">
        <v>0</v>
      </c>
      <c r="C160" t="n">
        <v>10825</v>
      </c>
      <c r="D160" t="n">
        <v>23368</v>
      </c>
      <c r="E160" t="n">
        <v>108257</v>
      </c>
      <c r="F160" t="n">
        <v>497119</v>
      </c>
      <c r="G160" t="n">
        <v>2247928</v>
      </c>
      <c r="H160" t="n">
        <v>10044169</v>
      </c>
      <c r="I160" t="n">
        <v>44208150</v>
      </c>
      <c r="J160" t="n">
        <v>2000</v>
      </c>
      <c r="K160" t="n">
        <v>13073</v>
      </c>
      <c r="L160" t="n">
        <v>2500</v>
      </c>
      <c r="M160" t="n">
        <v>1059</v>
      </c>
      <c r="N160" t="n">
        <v>1795</v>
      </c>
      <c r="O160" t="n">
        <v>2590</v>
      </c>
      <c r="P160" t="n">
        <v>3385</v>
      </c>
      <c r="Q160" t="n">
        <v>4180</v>
      </c>
      <c r="R160" t="n">
        <v>4975</v>
      </c>
      <c r="S160" t="n">
        <v>5770</v>
      </c>
      <c r="T160" t="n">
        <v>6565</v>
      </c>
      <c r="U160" t="n">
        <v>7360</v>
      </c>
      <c r="V160" t="n">
        <v>3287</v>
      </c>
      <c r="W160" t="n">
        <v>1636</v>
      </c>
      <c r="X160" t="n">
        <v>1477</v>
      </c>
      <c r="Y160" t="n">
        <v>7390</v>
      </c>
    </row>
    <row r="161">
      <c r="A161" t="n">
        <v>160</v>
      </c>
      <c r="B161" t="n">
        <v>0</v>
      </c>
      <c r="C161" t="n">
        <v>10988</v>
      </c>
      <c r="D161" t="n">
        <v>23836</v>
      </c>
      <c r="E161" t="n">
        <v>111505</v>
      </c>
      <c r="F161" t="n">
        <v>517004</v>
      </c>
      <c r="G161" t="n">
        <v>2360325</v>
      </c>
      <c r="H161" t="n">
        <v>10646820</v>
      </c>
      <c r="I161" t="n">
        <v>47302721</v>
      </c>
      <c r="J161" t="n">
        <v>2000</v>
      </c>
      <c r="K161" t="n">
        <v>13204</v>
      </c>
      <c r="L161" t="n">
        <v>2500</v>
      </c>
      <c r="M161" t="n">
        <v>1060</v>
      </c>
      <c r="N161" t="n">
        <v>1800</v>
      </c>
      <c r="O161" t="n">
        <v>2600</v>
      </c>
      <c r="P161" t="n">
        <v>3400</v>
      </c>
      <c r="Q161" t="n">
        <v>4200</v>
      </c>
      <c r="R161" t="n">
        <v>5000</v>
      </c>
      <c r="S161" t="n">
        <v>5800</v>
      </c>
      <c r="T161" t="n">
        <v>6600</v>
      </c>
      <c r="U161" t="n">
        <v>7400</v>
      </c>
      <c r="V161" t="n">
        <v>3308</v>
      </c>
      <c r="W161" t="n">
        <v>1640</v>
      </c>
      <c r="X161" t="n">
        <v>1480</v>
      </c>
      <c r="Y161" t="n">
        <v>7400</v>
      </c>
    </row>
    <row r="162">
      <c r="A162" t="n">
        <v>161</v>
      </c>
      <c r="B162" t="n">
        <v>0</v>
      </c>
      <c r="C162" t="n">
        <v>11153</v>
      </c>
      <c r="D162" t="n">
        <v>24313</v>
      </c>
      <c r="E162" t="n">
        <v>114851</v>
      </c>
      <c r="F162" t="n">
        <v>537685</v>
      </c>
      <c r="G162" t="n">
        <v>2478342</v>
      </c>
      <c r="H162" t="n">
        <v>11285630</v>
      </c>
      <c r="I162" t="n">
        <v>50613912</v>
      </c>
      <c r="J162" t="n">
        <v>2000</v>
      </c>
      <c r="K162" t="n">
        <v>13337</v>
      </c>
      <c r="L162" t="n">
        <v>2500</v>
      </c>
      <c r="M162" t="n">
        <v>1061</v>
      </c>
      <c r="N162" t="n">
        <v>1805</v>
      </c>
      <c r="O162" t="n">
        <v>2610</v>
      </c>
      <c r="P162" t="n">
        <v>3415</v>
      </c>
      <c r="Q162" t="n">
        <v>4220</v>
      </c>
      <c r="R162" t="n">
        <v>5025</v>
      </c>
      <c r="S162" t="n">
        <v>5830</v>
      </c>
      <c r="T162" t="n">
        <v>6635</v>
      </c>
      <c r="U162" t="n">
        <v>7440</v>
      </c>
      <c r="V162" t="n">
        <v>3329</v>
      </c>
      <c r="W162" t="n">
        <v>1644</v>
      </c>
      <c r="X162" t="n">
        <v>1483</v>
      </c>
      <c r="Y162" t="n">
        <v>7410</v>
      </c>
    </row>
    <row r="163">
      <c r="A163" t="n">
        <v>162</v>
      </c>
      <c r="B163" t="n">
        <v>0</v>
      </c>
      <c r="C163" t="n">
        <v>11321</v>
      </c>
      <c r="D163" t="n">
        <v>24800</v>
      </c>
      <c r="E163" t="n">
        <v>118297</v>
      </c>
      <c r="F163" t="n">
        <v>559193</v>
      </c>
      <c r="G163" t="n">
        <v>2602260</v>
      </c>
      <c r="H163" t="n">
        <v>11962768</v>
      </c>
      <c r="I163" t="n">
        <v>54156886</v>
      </c>
      <c r="J163" t="n">
        <v>2000</v>
      </c>
      <c r="K163" t="n">
        <v>13471</v>
      </c>
      <c r="L163" t="n">
        <v>2500</v>
      </c>
      <c r="M163" t="n">
        <v>1062</v>
      </c>
      <c r="N163" t="n">
        <v>1810</v>
      </c>
      <c r="O163" t="n">
        <v>2620</v>
      </c>
      <c r="P163" t="n">
        <v>3430</v>
      </c>
      <c r="Q163" t="n">
        <v>4240</v>
      </c>
      <c r="R163" t="n">
        <v>5050</v>
      </c>
      <c r="S163" t="n">
        <v>5860</v>
      </c>
      <c r="T163" t="n">
        <v>6670</v>
      </c>
      <c r="U163" t="n">
        <v>7480</v>
      </c>
      <c r="V163" t="n">
        <v>3350</v>
      </c>
      <c r="W163" t="n">
        <v>1648</v>
      </c>
      <c r="X163" t="n">
        <v>1486</v>
      </c>
      <c r="Y163" t="n">
        <v>7420</v>
      </c>
    </row>
    <row r="164">
      <c r="A164" t="n">
        <v>163</v>
      </c>
      <c r="B164" t="n">
        <v>0</v>
      </c>
      <c r="C164" t="n">
        <v>11491</v>
      </c>
      <c r="D164" t="n">
        <v>25296</v>
      </c>
      <c r="E164" t="n">
        <v>121846</v>
      </c>
      <c r="F164" t="n">
        <v>581561</v>
      </c>
      <c r="G164" t="n">
        <v>2732373</v>
      </c>
      <c r="H164" t="n">
        <v>12680535</v>
      </c>
      <c r="I164" t="n">
        <v>57947869</v>
      </c>
      <c r="J164" t="n">
        <v>2000</v>
      </c>
      <c r="K164" t="n">
        <v>13606</v>
      </c>
      <c r="L164" t="n">
        <v>2500</v>
      </c>
      <c r="M164" t="n">
        <v>1063</v>
      </c>
      <c r="N164" t="n">
        <v>1815</v>
      </c>
      <c r="O164" t="n">
        <v>2630</v>
      </c>
      <c r="P164" t="n">
        <v>3445</v>
      </c>
      <c r="Q164" t="n">
        <v>4260</v>
      </c>
      <c r="R164" t="n">
        <v>5075</v>
      </c>
      <c r="S164" t="n">
        <v>5890</v>
      </c>
      <c r="T164" t="n">
        <v>6705</v>
      </c>
      <c r="U164" t="n">
        <v>7520</v>
      </c>
      <c r="V164" t="n">
        <v>3371</v>
      </c>
      <c r="W164" t="n">
        <v>1652</v>
      </c>
      <c r="X164" t="n">
        <v>1489</v>
      </c>
      <c r="Y164" t="n">
        <v>7430</v>
      </c>
    </row>
    <row r="165">
      <c r="A165" t="n">
        <v>164</v>
      </c>
      <c r="B165" t="n">
        <v>0</v>
      </c>
      <c r="C165" t="n">
        <v>11664</v>
      </c>
      <c r="D165" t="n">
        <v>25802</v>
      </c>
      <c r="E165" t="n">
        <v>125502</v>
      </c>
      <c r="F165" t="n">
        <v>604824</v>
      </c>
      <c r="G165" t="n">
        <v>2868992</v>
      </c>
      <c r="H165" t="n">
        <v>13441368</v>
      </c>
      <c r="I165" t="n">
        <v>62004220</v>
      </c>
      <c r="J165" t="n">
        <v>2000</v>
      </c>
      <c r="K165" t="n">
        <v>13743</v>
      </c>
      <c r="L165" t="n">
        <v>2500</v>
      </c>
      <c r="M165" t="n">
        <v>1064</v>
      </c>
      <c r="N165" t="n">
        <v>1820</v>
      </c>
      <c r="O165" t="n">
        <v>2640</v>
      </c>
      <c r="P165" t="n">
        <v>3460</v>
      </c>
      <c r="Q165" t="n">
        <v>4280</v>
      </c>
      <c r="R165" t="n">
        <v>5100</v>
      </c>
      <c r="S165" t="n">
        <v>5920</v>
      </c>
      <c r="T165" t="n">
        <v>6740</v>
      </c>
      <c r="U165" t="n">
        <v>7560</v>
      </c>
      <c r="V165" t="n">
        <v>3392</v>
      </c>
      <c r="W165" t="n">
        <v>1656</v>
      </c>
      <c r="X165" t="n">
        <v>1492</v>
      </c>
      <c r="Y165" t="n">
        <v>7440</v>
      </c>
    </row>
    <row r="166">
      <c r="A166" t="n">
        <v>165</v>
      </c>
      <c r="B166" t="n">
        <v>0</v>
      </c>
      <c r="C166" t="n">
        <v>11839</v>
      </c>
      <c r="D166" t="n">
        <v>26319</v>
      </c>
      <c r="E166" t="n">
        <v>129268</v>
      </c>
      <c r="F166" t="n">
        <v>629017</v>
      </c>
      <c r="G166" t="n">
        <v>3012442</v>
      </c>
      <c r="H166" t="n">
        <v>14247851</v>
      </c>
      <c r="I166" t="n">
        <v>66344516</v>
      </c>
      <c r="J166" t="n">
        <v>2000</v>
      </c>
      <c r="K166" t="n">
        <v>13881</v>
      </c>
      <c r="L166" t="n">
        <v>2500</v>
      </c>
      <c r="M166" t="n">
        <v>1065</v>
      </c>
      <c r="N166" t="n">
        <v>1825</v>
      </c>
      <c r="O166" t="n">
        <v>2650</v>
      </c>
      <c r="P166" t="n">
        <v>3475</v>
      </c>
      <c r="Q166" t="n">
        <v>4300</v>
      </c>
      <c r="R166" t="n">
        <v>5125</v>
      </c>
      <c r="S166" t="n">
        <v>5950</v>
      </c>
      <c r="T166" t="n">
        <v>6775</v>
      </c>
      <c r="U166" t="n">
        <v>7600</v>
      </c>
      <c r="V166" t="n">
        <v>3413</v>
      </c>
      <c r="W166" t="n">
        <v>1660</v>
      </c>
      <c r="X166" t="n">
        <v>1495</v>
      </c>
      <c r="Y166" t="n">
        <v>7450</v>
      </c>
    </row>
    <row r="167">
      <c r="A167" t="n">
        <v>166</v>
      </c>
      <c r="B167" t="n">
        <v>0</v>
      </c>
      <c r="C167" t="n">
        <v>12017</v>
      </c>
      <c r="D167" t="n">
        <v>26846</v>
      </c>
      <c r="E167" t="n">
        <v>133147</v>
      </c>
      <c r="F167" t="n">
        <v>654178</v>
      </c>
      <c r="G167" t="n">
        <v>3163065</v>
      </c>
      <c r="H167" t="n">
        <v>15102723</v>
      </c>
      <c r="I167" t="n">
        <v>70988633</v>
      </c>
      <c r="J167" t="n">
        <v>2000</v>
      </c>
      <c r="K167" t="n">
        <v>14020</v>
      </c>
      <c r="L167" t="n">
        <v>2500</v>
      </c>
      <c r="M167" t="n">
        <v>1066</v>
      </c>
      <c r="N167" t="n">
        <v>1830</v>
      </c>
      <c r="O167" t="n">
        <v>2660</v>
      </c>
      <c r="P167" t="n">
        <v>3490</v>
      </c>
      <c r="Q167" t="n">
        <v>4320</v>
      </c>
      <c r="R167" t="n">
        <v>5150</v>
      </c>
      <c r="S167" t="n">
        <v>5980</v>
      </c>
      <c r="T167" t="n">
        <v>6810</v>
      </c>
      <c r="U167" t="n">
        <v>7640</v>
      </c>
      <c r="V167" t="n">
        <v>3435</v>
      </c>
      <c r="W167" t="n">
        <v>1664</v>
      </c>
      <c r="X167" t="n">
        <v>1498</v>
      </c>
      <c r="Y167" t="n">
        <v>7460</v>
      </c>
    </row>
    <row r="168">
      <c r="A168" t="n">
        <v>167</v>
      </c>
      <c r="B168" t="n">
        <v>0</v>
      </c>
      <c r="C168" t="n">
        <v>12198</v>
      </c>
      <c r="D168" t="n">
        <v>27383</v>
      </c>
      <c r="E168" t="n">
        <v>137142</v>
      </c>
      <c r="F168" t="n">
        <v>680346</v>
      </c>
      <c r="G168" t="n">
        <v>3321219</v>
      </c>
      <c r="H168" t="n">
        <v>16008887</v>
      </c>
      <c r="I168" t="n">
        <v>75957838</v>
      </c>
      <c r="J168" t="n">
        <v>2000</v>
      </c>
      <c r="K168" t="n">
        <v>14161</v>
      </c>
      <c r="L168" t="n">
        <v>2500</v>
      </c>
      <c r="M168" t="n">
        <v>1067</v>
      </c>
      <c r="N168" t="n">
        <v>1835</v>
      </c>
      <c r="O168" t="n">
        <v>2670</v>
      </c>
      <c r="P168" t="n">
        <v>3505</v>
      </c>
      <c r="Q168" t="n">
        <v>4340</v>
      </c>
      <c r="R168" t="n">
        <v>5175</v>
      </c>
      <c r="S168" t="n">
        <v>6010</v>
      </c>
      <c r="T168" t="n">
        <v>6845</v>
      </c>
      <c r="U168" t="n">
        <v>7680</v>
      </c>
      <c r="V168" t="n">
        <v>3457</v>
      </c>
      <c r="W168" t="n">
        <v>1668</v>
      </c>
      <c r="X168" t="n">
        <v>1501</v>
      </c>
      <c r="Y168" t="n">
        <v>7470</v>
      </c>
    </row>
    <row r="169">
      <c r="A169" t="n">
        <v>168</v>
      </c>
      <c r="B169" t="n">
        <v>0</v>
      </c>
      <c r="C169" t="n">
        <v>12381</v>
      </c>
      <c r="D169" t="n">
        <v>27931</v>
      </c>
      <c r="E169" t="n">
        <v>141257</v>
      </c>
      <c r="F169" t="n">
        <v>707560</v>
      </c>
      <c r="G169" t="n">
        <v>3487280</v>
      </c>
      <c r="H169" t="n">
        <v>16969421</v>
      </c>
      <c r="I169" t="n">
        <v>81274887</v>
      </c>
      <c r="J169" t="n">
        <v>2000</v>
      </c>
      <c r="K169" t="n">
        <v>14303</v>
      </c>
      <c r="L169" t="n">
        <v>2500</v>
      </c>
      <c r="M169" t="n">
        <v>1068</v>
      </c>
      <c r="N169" t="n">
        <v>1840</v>
      </c>
      <c r="O169" t="n">
        <v>2680</v>
      </c>
      <c r="P169" t="n">
        <v>3520</v>
      </c>
      <c r="Q169" t="n">
        <v>4360</v>
      </c>
      <c r="R169" t="n">
        <v>5200</v>
      </c>
      <c r="S169" t="n">
        <v>6040</v>
      </c>
      <c r="T169" t="n">
        <v>6880</v>
      </c>
      <c r="U169" t="n">
        <v>7720</v>
      </c>
      <c r="V169" t="n">
        <v>3479</v>
      </c>
      <c r="W169" t="n">
        <v>1672</v>
      </c>
      <c r="X169" t="n">
        <v>1504</v>
      </c>
      <c r="Y169" t="n">
        <v>7480</v>
      </c>
    </row>
    <row r="170">
      <c r="A170" t="n">
        <v>169</v>
      </c>
      <c r="B170" t="n">
        <v>0</v>
      </c>
      <c r="C170" t="n">
        <v>12567</v>
      </c>
      <c r="D170" t="n">
        <v>28490</v>
      </c>
      <c r="E170" t="n">
        <v>145495</v>
      </c>
      <c r="F170" t="n">
        <v>735863</v>
      </c>
      <c r="G170" t="n">
        <v>3661644</v>
      </c>
      <c r="H170" t="n">
        <v>17987587</v>
      </c>
      <c r="I170" t="n">
        <v>86964130</v>
      </c>
      <c r="J170" t="n">
        <v>2000</v>
      </c>
      <c r="K170" t="n">
        <v>14447</v>
      </c>
      <c r="L170" t="n">
        <v>2500</v>
      </c>
      <c r="M170" t="n">
        <v>1069</v>
      </c>
      <c r="N170" t="n">
        <v>1845</v>
      </c>
      <c r="O170" t="n">
        <v>2690</v>
      </c>
      <c r="P170" t="n">
        <v>3535</v>
      </c>
      <c r="Q170" t="n">
        <v>4380</v>
      </c>
      <c r="R170" t="n">
        <v>5225</v>
      </c>
      <c r="S170" t="n">
        <v>6070</v>
      </c>
      <c r="T170" t="n">
        <v>6915</v>
      </c>
      <c r="U170" t="n">
        <v>7760</v>
      </c>
      <c r="V170" t="n">
        <v>3501</v>
      </c>
      <c r="W170" t="n">
        <v>1676</v>
      </c>
      <c r="X170" t="n">
        <v>1507</v>
      </c>
      <c r="Y170" t="n">
        <v>7490</v>
      </c>
    </row>
    <row r="171">
      <c r="A171" t="n">
        <v>170</v>
      </c>
      <c r="B171" t="n">
        <v>0</v>
      </c>
      <c r="C171" t="n">
        <v>12756</v>
      </c>
      <c r="D171" t="n">
        <v>29060</v>
      </c>
      <c r="E171" t="n">
        <v>149860</v>
      </c>
      <c r="F171" t="n">
        <v>765298</v>
      </c>
      <c r="G171" t="n">
        <v>3844727</v>
      </c>
      <c r="H171" t="n">
        <v>19066843</v>
      </c>
      <c r="I171" t="n">
        <v>93051620</v>
      </c>
      <c r="J171" t="n">
        <v>2000</v>
      </c>
      <c r="K171" t="n">
        <v>14592</v>
      </c>
      <c r="L171" t="n">
        <v>2500</v>
      </c>
      <c r="M171" t="n">
        <v>1070</v>
      </c>
      <c r="N171" t="n">
        <v>1850</v>
      </c>
      <c r="O171" t="n">
        <v>2700</v>
      </c>
      <c r="P171" t="n">
        <v>3550</v>
      </c>
      <c r="Q171" t="n">
        <v>4400</v>
      </c>
      <c r="R171" t="n">
        <v>5250</v>
      </c>
      <c r="S171" t="n">
        <v>6100</v>
      </c>
      <c r="T171" t="n">
        <v>6950</v>
      </c>
      <c r="U171" t="n">
        <v>7800</v>
      </c>
      <c r="V171" t="n">
        <v>3523</v>
      </c>
      <c r="W171" t="n">
        <v>1680</v>
      </c>
      <c r="X171" t="n">
        <v>1510</v>
      </c>
      <c r="Y171" t="n">
        <v>7500</v>
      </c>
    </row>
    <row r="172">
      <c r="A172" t="n">
        <v>171</v>
      </c>
      <c r="B172" t="n">
        <v>0</v>
      </c>
      <c r="C172" t="n">
        <v>12948</v>
      </c>
      <c r="D172" t="n">
        <v>29642</v>
      </c>
      <c r="E172" t="n">
        <v>154356</v>
      </c>
      <c r="F172" t="n">
        <v>795910</v>
      </c>
      <c r="G172" t="n">
        <v>4036964</v>
      </c>
      <c r="H172" t="n">
        <v>20210854</v>
      </c>
      <c r="I172" t="n">
        <v>99565234</v>
      </c>
      <c r="J172" t="n">
        <v>2000</v>
      </c>
      <c r="K172" t="n">
        <v>14738</v>
      </c>
      <c r="L172" t="n">
        <v>2500</v>
      </c>
      <c r="M172" t="n">
        <v>1071</v>
      </c>
      <c r="N172" t="n">
        <v>1855</v>
      </c>
      <c r="O172" t="n">
        <v>2710</v>
      </c>
      <c r="P172" t="n">
        <v>3565</v>
      </c>
      <c r="Q172" t="n">
        <v>4420</v>
      </c>
      <c r="R172" t="n">
        <v>5275</v>
      </c>
      <c r="S172" t="n">
        <v>6130</v>
      </c>
      <c r="T172" t="n">
        <v>6985</v>
      </c>
      <c r="U172" t="n">
        <v>7840</v>
      </c>
      <c r="V172" t="n">
        <v>3545</v>
      </c>
      <c r="W172" t="n">
        <v>1684</v>
      </c>
      <c r="X172" t="n">
        <v>1513</v>
      </c>
      <c r="Y172" t="n">
        <v>7510</v>
      </c>
    </row>
    <row r="173">
      <c r="A173" t="n">
        <v>172</v>
      </c>
      <c r="B173" t="n">
        <v>0</v>
      </c>
      <c r="C173" t="n">
        <v>13143</v>
      </c>
      <c r="D173" t="n">
        <v>30235</v>
      </c>
      <c r="E173" t="n">
        <v>158987</v>
      </c>
      <c r="F173" t="n">
        <v>827747</v>
      </c>
      <c r="G173" t="n">
        <v>4238813</v>
      </c>
      <c r="H173" t="n">
        <v>21423506</v>
      </c>
      <c r="I173" t="n">
        <v>106534801</v>
      </c>
      <c r="J173" t="n">
        <v>2000</v>
      </c>
      <c r="K173" t="n">
        <v>14886</v>
      </c>
      <c r="L173" t="n">
        <v>2500</v>
      </c>
      <c r="M173" t="n">
        <v>1072</v>
      </c>
      <c r="N173" t="n">
        <v>1860</v>
      </c>
      <c r="O173" t="n">
        <v>2720</v>
      </c>
      <c r="P173" t="n">
        <v>3580</v>
      </c>
      <c r="Q173" t="n">
        <v>4440</v>
      </c>
      <c r="R173" t="n">
        <v>5300</v>
      </c>
      <c r="S173" t="n">
        <v>6160</v>
      </c>
      <c r="T173" t="n">
        <v>7020</v>
      </c>
      <c r="U173" t="n">
        <v>7880</v>
      </c>
      <c r="V173" t="n">
        <v>3567</v>
      </c>
      <c r="W173" t="n">
        <v>1688</v>
      </c>
      <c r="X173" t="n">
        <v>1516</v>
      </c>
      <c r="Y173" t="n">
        <v>7520</v>
      </c>
    </row>
    <row r="174">
      <c r="A174" t="n">
        <v>173</v>
      </c>
      <c r="B174" t="n">
        <v>0</v>
      </c>
      <c r="C174" t="n">
        <v>13341</v>
      </c>
      <c r="D174" t="n">
        <v>30840</v>
      </c>
      <c r="E174" t="n">
        <v>163757</v>
      </c>
      <c r="F174" t="n">
        <v>860857</v>
      </c>
      <c r="G174" t="n">
        <v>4450754</v>
      </c>
      <c r="H174" t="n">
        <v>22708917</v>
      </c>
      <c r="I174" t="n">
        <v>113992238</v>
      </c>
      <c r="J174" t="n">
        <v>2000</v>
      </c>
      <c r="K174" t="n">
        <v>15035</v>
      </c>
      <c r="L174" t="n">
        <v>2500</v>
      </c>
      <c r="M174" t="n">
        <v>1073</v>
      </c>
      <c r="N174" t="n">
        <v>1865</v>
      </c>
      <c r="O174" t="n">
        <v>2730</v>
      </c>
      <c r="P174" t="n">
        <v>3595</v>
      </c>
      <c r="Q174" t="n">
        <v>4460</v>
      </c>
      <c r="R174" t="n">
        <v>5325</v>
      </c>
      <c r="S174" t="n">
        <v>6190</v>
      </c>
      <c r="T174" t="n">
        <v>7055</v>
      </c>
      <c r="U174" t="n">
        <v>7920</v>
      </c>
      <c r="V174" t="n">
        <v>3589</v>
      </c>
      <c r="W174" t="n">
        <v>1692</v>
      </c>
      <c r="X174" t="n">
        <v>1519</v>
      </c>
      <c r="Y174" t="n">
        <v>7530</v>
      </c>
    </row>
    <row r="175">
      <c r="A175" t="n">
        <v>174</v>
      </c>
      <c r="B175" t="n">
        <v>0</v>
      </c>
      <c r="C175" t="n">
        <v>13542</v>
      </c>
      <c r="D175" t="n">
        <v>31457</v>
      </c>
      <c r="E175" t="n">
        <v>168670</v>
      </c>
      <c r="F175" t="n">
        <v>895292</v>
      </c>
      <c r="G175" t="n">
        <v>4673292</v>
      </c>
      <c r="H175" t="n">
        <v>24071453</v>
      </c>
      <c r="I175" t="n">
        <v>121971695</v>
      </c>
      <c r="J175" t="n">
        <v>2000</v>
      </c>
      <c r="K175" t="n">
        <v>15186</v>
      </c>
      <c r="L175" t="n">
        <v>2500</v>
      </c>
      <c r="M175" t="n">
        <v>1074</v>
      </c>
      <c r="N175" t="n">
        <v>1870</v>
      </c>
      <c r="O175" t="n">
        <v>2740</v>
      </c>
      <c r="P175" t="n">
        <v>3610</v>
      </c>
      <c r="Q175" t="n">
        <v>4480</v>
      </c>
      <c r="R175" t="n">
        <v>5350</v>
      </c>
      <c r="S175" t="n">
        <v>6220</v>
      </c>
      <c r="T175" t="n">
        <v>7090</v>
      </c>
      <c r="U175" t="n">
        <v>7960</v>
      </c>
      <c r="V175" t="n">
        <v>3611</v>
      </c>
      <c r="W175" t="n">
        <v>1696</v>
      </c>
      <c r="X175" t="n">
        <v>1522</v>
      </c>
      <c r="Y175" t="n">
        <v>7540</v>
      </c>
    </row>
    <row r="176">
      <c r="A176" t="n">
        <v>175</v>
      </c>
      <c r="B176" t="n">
        <v>0</v>
      </c>
      <c r="C176" t="n">
        <v>13746</v>
      </c>
      <c r="D176" t="n">
        <v>32087</v>
      </c>
      <c r="E176" t="n">
        <v>173731</v>
      </c>
      <c r="F176" t="n">
        <v>931104</v>
      </c>
      <c r="G176" t="n">
        <v>4906957</v>
      </c>
      <c r="H176" t="n">
        <v>25515741</v>
      </c>
      <c r="I176" t="n">
        <v>130509714</v>
      </c>
      <c r="J176" t="n">
        <v>2000</v>
      </c>
      <c r="K176" t="n">
        <v>15338</v>
      </c>
      <c r="L176" t="n">
        <v>2500</v>
      </c>
      <c r="M176" t="n">
        <v>1075</v>
      </c>
      <c r="N176" t="n">
        <v>1875</v>
      </c>
      <c r="O176" t="n">
        <v>2750</v>
      </c>
      <c r="P176" t="n">
        <v>3625</v>
      </c>
      <c r="Q176" t="n">
        <v>4500</v>
      </c>
      <c r="R176" t="n">
        <v>5375</v>
      </c>
      <c r="S176" t="n">
        <v>6250</v>
      </c>
      <c r="T176" t="n">
        <v>7125</v>
      </c>
      <c r="U176" t="n">
        <v>8000</v>
      </c>
      <c r="V176" t="n">
        <v>3634</v>
      </c>
      <c r="W176" t="n">
        <v>1700</v>
      </c>
      <c r="X176" t="n">
        <v>1525</v>
      </c>
      <c r="Y176" t="n">
        <v>7550</v>
      </c>
    </row>
    <row r="177">
      <c r="A177" t="n">
        <v>176</v>
      </c>
      <c r="B177" t="n">
        <v>0</v>
      </c>
      <c r="C177" t="n">
        <v>13953</v>
      </c>
      <c r="D177" t="n">
        <v>32729</v>
      </c>
      <c r="E177" t="n">
        <v>178943</v>
      </c>
      <c r="F177" t="n">
        <v>968349</v>
      </c>
      <c r="G177" t="n">
        <v>5152305</v>
      </c>
      <c r="H177" t="n">
        <v>27046686</v>
      </c>
      <c r="I177" t="n">
        <v>139645394</v>
      </c>
      <c r="J177" t="n">
        <v>2000</v>
      </c>
      <c r="K177" t="n">
        <v>15492</v>
      </c>
      <c r="L177" t="n">
        <v>2500</v>
      </c>
      <c r="M177" t="n">
        <v>1076</v>
      </c>
      <c r="N177" t="n">
        <v>1880</v>
      </c>
      <c r="O177" t="n">
        <v>2760</v>
      </c>
      <c r="P177" t="n">
        <v>3640</v>
      </c>
      <c r="Q177" t="n">
        <v>4520</v>
      </c>
      <c r="R177" t="n">
        <v>5400</v>
      </c>
      <c r="S177" t="n">
        <v>6280</v>
      </c>
      <c r="T177" t="n">
        <v>7160</v>
      </c>
      <c r="U177" t="n">
        <v>8040</v>
      </c>
      <c r="V177" t="n">
        <v>3657</v>
      </c>
      <c r="W177" t="n">
        <v>1704</v>
      </c>
      <c r="X177" t="n">
        <v>1528</v>
      </c>
      <c r="Y177" t="n">
        <v>7560</v>
      </c>
    </row>
    <row r="178">
      <c r="A178" t="n">
        <v>177</v>
      </c>
      <c r="B178" t="n">
        <v>0</v>
      </c>
      <c r="C178" t="n">
        <v>14163</v>
      </c>
      <c r="D178" t="n">
        <v>33384</v>
      </c>
      <c r="E178" t="n">
        <v>184312</v>
      </c>
      <c r="F178" t="n">
        <v>1007083</v>
      </c>
      <c r="G178" t="n">
        <v>5409921</v>
      </c>
      <c r="H178" t="n">
        <v>28669488</v>
      </c>
      <c r="I178" t="n">
        <v>149420572</v>
      </c>
      <c r="J178" t="n">
        <v>2000</v>
      </c>
      <c r="K178" t="n">
        <v>15647</v>
      </c>
      <c r="L178" t="n">
        <v>2500</v>
      </c>
      <c r="M178" t="n">
        <v>1077</v>
      </c>
      <c r="N178" t="n">
        <v>1885</v>
      </c>
      <c r="O178" t="n">
        <v>2770</v>
      </c>
      <c r="P178" t="n">
        <v>3655</v>
      </c>
      <c r="Q178" t="n">
        <v>4540</v>
      </c>
      <c r="R178" t="n">
        <v>5425</v>
      </c>
      <c r="S178" t="n">
        <v>6310</v>
      </c>
      <c r="T178" t="n">
        <v>7195</v>
      </c>
      <c r="U178" t="n">
        <v>8080</v>
      </c>
      <c r="V178" t="n">
        <v>3680</v>
      </c>
      <c r="W178" t="n">
        <v>1708</v>
      </c>
      <c r="X178" t="n">
        <v>1531</v>
      </c>
      <c r="Y178" t="n">
        <v>7570</v>
      </c>
    </row>
    <row r="179">
      <c r="A179" t="n">
        <v>178</v>
      </c>
      <c r="B179" t="n">
        <v>0</v>
      </c>
      <c r="C179" t="n">
        <v>14376</v>
      </c>
      <c r="D179" t="n">
        <v>34052</v>
      </c>
      <c r="E179" t="n">
        <v>189842</v>
      </c>
      <c r="F179" t="n">
        <v>1047367</v>
      </c>
      <c r="G179" t="n">
        <v>5680418</v>
      </c>
      <c r="H179" t="n">
        <v>30389658</v>
      </c>
      <c r="I179" t="n">
        <v>159880013</v>
      </c>
      <c r="J179" t="n">
        <v>2000</v>
      </c>
      <c r="K179" t="n">
        <v>15804</v>
      </c>
      <c r="L179" t="n">
        <v>2500</v>
      </c>
      <c r="M179" t="n">
        <v>1078</v>
      </c>
      <c r="N179" t="n">
        <v>1890</v>
      </c>
      <c r="O179" t="n">
        <v>2780</v>
      </c>
      <c r="P179" t="n">
        <v>3670</v>
      </c>
      <c r="Q179" t="n">
        <v>4560</v>
      </c>
      <c r="R179" t="n">
        <v>5450</v>
      </c>
      <c r="S179" t="n">
        <v>6340</v>
      </c>
      <c r="T179" t="n">
        <v>7230</v>
      </c>
      <c r="U179" t="n">
        <v>8120</v>
      </c>
      <c r="V179" t="n">
        <v>3703</v>
      </c>
      <c r="W179" t="n">
        <v>1712</v>
      </c>
      <c r="X179" t="n">
        <v>1534</v>
      </c>
      <c r="Y179" t="n">
        <v>7580</v>
      </c>
    </row>
    <row r="180">
      <c r="A180" t="n">
        <v>179</v>
      </c>
      <c r="B180" t="n">
        <v>0</v>
      </c>
      <c r="C180" t="n">
        <v>14592</v>
      </c>
      <c r="D180" t="n">
        <v>34734</v>
      </c>
      <c r="E180" t="n">
        <v>195538</v>
      </c>
      <c r="F180" t="n">
        <v>1089262</v>
      </c>
      <c r="G180" t="n">
        <v>5964439</v>
      </c>
      <c r="H180" t="n">
        <v>32213038</v>
      </c>
      <c r="I180" t="n">
        <v>171071614</v>
      </c>
      <c r="J180" t="n">
        <v>2000</v>
      </c>
      <c r="K180" t="n">
        <v>15963</v>
      </c>
      <c r="L180" t="n">
        <v>2500</v>
      </c>
      <c r="M180" t="n">
        <v>1079</v>
      </c>
      <c r="N180" t="n">
        <v>1895</v>
      </c>
      <c r="O180" t="n">
        <v>2790</v>
      </c>
      <c r="P180" t="n">
        <v>3685</v>
      </c>
      <c r="Q180" t="n">
        <v>4580</v>
      </c>
      <c r="R180" t="n">
        <v>5475</v>
      </c>
      <c r="S180" t="n">
        <v>6370</v>
      </c>
      <c r="T180" t="n">
        <v>7265</v>
      </c>
      <c r="U180" t="n">
        <v>8160</v>
      </c>
      <c r="V180" t="n">
        <v>3726</v>
      </c>
      <c r="W180" t="n">
        <v>1716</v>
      </c>
      <c r="X180" t="n">
        <v>1537</v>
      </c>
      <c r="Y180" t="n">
        <v>7590</v>
      </c>
    </row>
    <row r="181">
      <c r="A181" t="n">
        <v>180</v>
      </c>
      <c r="B181" t="n">
        <v>0</v>
      </c>
      <c r="C181" t="n">
        <v>14811</v>
      </c>
      <c r="D181" t="n">
        <v>35429</v>
      </c>
      <c r="E181" t="n">
        <v>201405</v>
      </c>
      <c r="F181" t="n">
        <v>1132833</v>
      </c>
      <c r="G181" t="n">
        <v>6262661</v>
      </c>
      <c r="H181" t="n">
        <v>34145821</v>
      </c>
      <c r="I181" t="n">
        <v>183046627</v>
      </c>
      <c r="J181" t="n">
        <v>2000</v>
      </c>
      <c r="K181" t="n">
        <v>16123</v>
      </c>
      <c r="L181" t="n">
        <v>2500</v>
      </c>
      <c r="M181" t="n">
        <v>1080</v>
      </c>
      <c r="N181" t="n">
        <v>1900</v>
      </c>
      <c r="O181" t="n">
        <v>2800</v>
      </c>
      <c r="P181" t="n">
        <v>3700</v>
      </c>
      <c r="Q181" t="n">
        <v>4600</v>
      </c>
      <c r="R181" t="n">
        <v>5500</v>
      </c>
      <c r="S181" t="n">
        <v>6400</v>
      </c>
      <c r="T181" t="n">
        <v>7300</v>
      </c>
      <c r="U181" t="n">
        <v>8200</v>
      </c>
      <c r="V181" t="n">
        <v>3749</v>
      </c>
      <c r="W181" t="n">
        <v>1720</v>
      </c>
      <c r="X181" t="n">
        <v>1540</v>
      </c>
      <c r="Y181" t="n">
        <v>7600</v>
      </c>
    </row>
    <row r="182">
      <c r="A182" t="n">
        <v>181</v>
      </c>
      <c r="B182" t="n">
        <v>0</v>
      </c>
      <c r="C182" t="n">
        <v>15034</v>
      </c>
      <c r="D182" t="n">
        <v>36138</v>
      </c>
      <c r="E182" t="n">
        <v>207448</v>
      </c>
      <c r="F182" t="n">
        <v>1178147</v>
      </c>
      <c r="G182" t="n">
        <v>6575795</v>
      </c>
      <c r="H182" t="n">
        <v>36194571</v>
      </c>
      <c r="I182" t="n">
        <v>195859891</v>
      </c>
      <c r="J182" t="n">
        <v>2000</v>
      </c>
      <c r="K182" t="n">
        <v>16285</v>
      </c>
      <c r="L182" t="n">
        <v>2500</v>
      </c>
      <c r="M182" t="n">
        <v>1081</v>
      </c>
      <c r="N182" t="n">
        <v>1905</v>
      </c>
      <c r="O182" t="n">
        <v>2810</v>
      </c>
      <c r="P182" t="n">
        <v>3715</v>
      </c>
      <c r="Q182" t="n">
        <v>4620</v>
      </c>
      <c r="R182" t="n">
        <v>5525</v>
      </c>
      <c r="S182" t="n">
        <v>6430</v>
      </c>
      <c r="T182" t="n">
        <v>7335</v>
      </c>
      <c r="U182" t="n">
        <v>8240</v>
      </c>
      <c r="V182" t="n">
        <v>3772</v>
      </c>
      <c r="W182" t="n">
        <v>1724</v>
      </c>
      <c r="X182" t="n">
        <v>1543</v>
      </c>
      <c r="Y182" t="n">
        <v>7610</v>
      </c>
    </row>
    <row r="183">
      <c r="A183" t="n">
        <v>182</v>
      </c>
      <c r="B183" t="n">
        <v>0</v>
      </c>
      <c r="C183" t="n">
        <v>15260</v>
      </c>
      <c r="D183" t="n">
        <v>36861</v>
      </c>
      <c r="E183" t="n">
        <v>213672</v>
      </c>
      <c r="F183" t="n">
        <v>1225273</v>
      </c>
      <c r="G183" t="n">
        <v>6904585</v>
      </c>
      <c r="H183" t="n">
        <v>38366246</v>
      </c>
      <c r="I183" t="n">
        <v>209570084</v>
      </c>
      <c r="J183" t="n">
        <v>2000</v>
      </c>
      <c r="K183" t="n">
        <v>16448</v>
      </c>
      <c r="L183" t="n">
        <v>2500</v>
      </c>
      <c r="M183" t="n">
        <v>1082</v>
      </c>
      <c r="N183" t="n">
        <v>1910</v>
      </c>
      <c r="O183" t="n">
        <v>2820</v>
      </c>
      <c r="P183" t="n">
        <v>3730</v>
      </c>
      <c r="Q183" t="n">
        <v>4640</v>
      </c>
      <c r="R183" t="n">
        <v>5550</v>
      </c>
      <c r="S183" t="n">
        <v>6460</v>
      </c>
      <c r="T183" t="n">
        <v>7370</v>
      </c>
      <c r="U183" t="n">
        <v>8280</v>
      </c>
      <c r="V183" t="n">
        <v>3795</v>
      </c>
      <c r="W183" t="n">
        <v>1728</v>
      </c>
      <c r="X183" t="n">
        <v>1546</v>
      </c>
      <c r="Y183" t="n">
        <v>7620</v>
      </c>
    </row>
    <row r="184">
      <c r="A184" t="n">
        <v>183</v>
      </c>
      <c r="B184" t="n">
        <v>0</v>
      </c>
      <c r="C184" t="n">
        <v>15489</v>
      </c>
      <c r="D184" t="n">
        <v>37599</v>
      </c>
      <c r="E184" t="n">
        <v>220083</v>
      </c>
      <c r="F184" t="n">
        <v>1274284</v>
      </c>
      <c r="G184" t="n">
        <v>7249815</v>
      </c>
      <c r="H184" t="n">
        <v>40668221</v>
      </c>
      <c r="I184" t="n">
        <v>224239990</v>
      </c>
      <c r="J184" t="n">
        <v>2000</v>
      </c>
      <c r="K184" t="n">
        <v>16613</v>
      </c>
      <c r="L184" t="n">
        <v>2500</v>
      </c>
      <c r="M184" t="n">
        <v>1083</v>
      </c>
      <c r="N184" t="n">
        <v>1915</v>
      </c>
      <c r="O184" t="n">
        <v>2830</v>
      </c>
      <c r="P184" t="n">
        <v>3745</v>
      </c>
      <c r="Q184" t="n">
        <v>4660</v>
      </c>
      <c r="R184" t="n">
        <v>5575</v>
      </c>
      <c r="S184" t="n">
        <v>6490</v>
      </c>
      <c r="T184" t="n">
        <v>7405</v>
      </c>
      <c r="U184" t="n">
        <v>8320</v>
      </c>
      <c r="V184" t="n">
        <v>3818</v>
      </c>
      <c r="W184" t="n">
        <v>1732</v>
      </c>
      <c r="X184" t="n">
        <v>1549</v>
      </c>
      <c r="Y184" t="n">
        <v>7630</v>
      </c>
    </row>
    <row r="185">
      <c r="A185" t="n">
        <v>184</v>
      </c>
      <c r="B185" t="n">
        <v>0</v>
      </c>
      <c r="C185" t="n">
        <v>15722</v>
      </c>
      <c r="D185" t="n">
        <v>38351</v>
      </c>
      <c r="E185" t="n">
        <v>226686</v>
      </c>
      <c r="F185" t="n">
        <v>1325256</v>
      </c>
      <c r="G185" t="n">
        <v>7612306</v>
      </c>
      <c r="H185" t="n">
        <v>43108315</v>
      </c>
      <c r="I185" t="n">
        <v>239936790</v>
      </c>
      <c r="J185" t="n">
        <v>2000</v>
      </c>
      <c r="K185" t="n">
        <v>16780</v>
      </c>
      <c r="L185" t="n">
        <v>2500</v>
      </c>
      <c r="M185" t="n">
        <v>1084</v>
      </c>
      <c r="N185" t="n">
        <v>1920</v>
      </c>
      <c r="O185" t="n">
        <v>2840</v>
      </c>
      <c r="P185" t="n">
        <v>3760</v>
      </c>
      <c r="Q185" t="n">
        <v>4680</v>
      </c>
      <c r="R185" t="n">
        <v>5600</v>
      </c>
      <c r="S185" t="n">
        <v>6520</v>
      </c>
      <c r="T185" t="n">
        <v>7440</v>
      </c>
      <c r="U185" t="n">
        <v>8360</v>
      </c>
      <c r="V185" t="n">
        <v>3842</v>
      </c>
      <c r="W185" t="n">
        <v>1736</v>
      </c>
      <c r="X185" t="n">
        <v>1552</v>
      </c>
      <c r="Y185" t="n">
        <v>7640</v>
      </c>
    </row>
    <row r="186">
      <c r="A186" t="n">
        <v>185</v>
      </c>
      <c r="B186" t="n">
        <v>0</v>
      </c>
      <c r="C186" t="n">
        <v>15958</v>
      </c>
      <c r="D186" t="n">
        <v>39119</v>
      </c>
      <c r="E186" t="n">
        <v>233487</v>
      </c>
      <c r="F186" t="n">
        <v>1378267</v>
      </c>
      <c r="G186" t="n">
        <v>7992922</v>
      </c>
      <c r="H186" t="n">
        <v>45694814</v>
      </c>
      <c r="I186" t="n">
        <v>256732366</v>
      </c>
      <c r="J186" t="n">
        <v>2000</v>
      </c>
      <c r="K186" t="n">
        <v>16948</v>
      </c>
      <c r="L186" t="n">
        <v>2500</v>
      </c>
      <c r="M186" t="n">
        <v>1085</v>
      </c>
      <c r="N186" t="n">
        <v>1925</v>
      </c>
      <c r="O186" t="n">
        <v>2850</v>
      </c>
      <c r="P186" t="n">
        <v>3775</v>
      </c>
      <c r="Q186" t="n">
        <v>4700</v>
      </c>
      <c r="R186" t="n">
        <v>5625</v>
      </c>
      <c r="S186" t="n">
        <v>6550</v>
      </c>
      <c r="T186" t="n">
        <v>7475</v>
      </c>
      <c r="U186" t="n">
        <v>8400</v>
      </c>
      <c r="V186" t="n">
        <v>3866</v>
      </c>
      <c r="W186" t="n">
        <v>1740</v>
      </c>
      <c r="X186" t="n">
        <v>1555</v>
      </c>
      <c r="Y186" t="n">
        <v>7650</v>
      </c>
    </row>
    <row r="187">
      <c r="A187" t="n">
        <v>186</v>
      </c>
      <c r="B187" t="n">
        <v>0</v>
      </c>
      <c r="C187" t="n">
        <v>16198</v>
      </c>
      <c r="D187" t="n">
        <v>39902</v>
      </c>
      <c r="E187" t="n">
        <v>240492</v>
      </c>
      <c r="F187" t="n">
        <v>1433398</v>
      </c>
      <c r="G187" t="n">
        <v>8392569</v>
      </c>
      <c r="H187" t="n">
        <v>48436503</v>
      </c>
      <c r="I187" t="n">
        <v>274703632</v>
      </c>
      <c r="J187" t="n">
        <v>2000</v>
      </c>
      <c r="K187" t="n">
        <v>17118</v>
      </c>
      <c r="L187" t="n">
        <v>2500</v>
      </c>
      <c r="M187" t="n">
        <v>1086</v>
      </c>
      <c r="N187" t="n">
        <v>1930</v>
      </c>
      <c r="O187" t="n">
        <v>2860</v>
      </c>
      <c r="P187" t="n">
        <v>3790</v>
      </c>
      <c r="Q187" t="n">
        <v>4720</v>
      </c>
      <c r="R187" t="n">
        <v>5650</v>
      </c>
      <c r="S187" t="n">
        <v>6580</v>
      </c>
      <c r="T187" t="n">
        <v>7510</v>
      </c>
      <c r="U187" t="n">
        <v>8440</v>
      </c>
      <c r="V187" t="n">
        <v>3890</v>
      </c>
      <c r="W187" t="n">
        <v>1744</v>
      </c>
      <c r="X187" t="n">
        <v>1558</v>
      </c>
      <c r="Y187" t="n">
        <v>7660</v>
      </c>
    </row>
    <row r="188">
      <c r="A188" t="n">
        <v>187</v>
      </c>
      <c r="B188" t="n">
        <v>0</v>
      </c>
      <c r="C188" t="n">
        <v>16441</v>
      </c>
      <c r="D188" t="n">
        <v>40701</v>
      </c>
      <c r="E188" t="n">
        <v>247707</v>
      </c>
      <c r="F188" t="n">
        <v>1490734</v>
      </c>
      <c r="G188" t="n">
        <v>8812198</v>
      </c>
      <c r="H188" t="n">
        <v>51342694</v>
      </c>
      <c r="I188" t="n">
        <v>293932887</v>
      </c>
      <c r="J188" t="n">
        <v>2000</v>
      </c>
      <c r="K188" t="n">
        <v>17290</v>
      </c>
      <c r="L188" t="n">
        <v>2500</v>
      </c>
      <c r="M188" t="n">
        <v>1087</v>
      </c>
      <c r="N188" t="n">
        <v>1935</v>
      </c>
      <c r="O188" t="n">
        <v>2870</v>
      </c>
      <c r="P188" t="n">
        <v>3805</v>
      </c>
      <c r="Q188" t="n">
        <v>4740</v>
      </c>
      <c r="R188" t="n">
        <v>5675</v>
      </c>
      <c r="S188" t="n">
        <v>6610</v>
      </c>
      <c r="T188" t="n">
        <v>7545</v>
      </c>
      <c r="U188" t="n">
        <v>8480</v>
      </c>
      <c r="V188" t="n">
        <v>3914</v>
      </c>
      <c r="W188" t="n">
        <v>1748</v>
      </c>
      <c r="X188" t="n">
        <v>1561</v>
      </c>
      <c r="Y188" t="n">
        <v>7670</v>
      </c>
    </row>
    <row r="189">
      <c r="A189" t="n">
        <v>188</v>
      </c>
      <c r="B189" t="n">
        <v>0</v>
      </c>
      <c r="C189" t="n">
        <v>16688</v>
      </c>
      <c r="D189" t="n">
        <v>41516</v>
      </c>
      <c r="E189" t="n">
        <v>255139</v>
      </c>
      <c r="F189" t="n">
        <v>1550364</v>
      </c>
      <c r="G189" t="n">
        <v>9252808</v>
      </c>
      <c r="H189" t="n">
        <v>54423256</v>
      </c>
      <c r="I189" t="n">
        <v>314508190</v>
      </c>
      <c r="J189" t="n">
        <v>2000</v>
      </c>
      <c r="K189" t="n">
        <v>17463</v>
      </c>
      <c r="L189" t="n">
        <v>2500</v>
      </c>
      <c r="M189" t="n">
        <v>1088</v>
      </c>
      <c r="N189" t="n">
        <v>1940</v>
      </c>
      <c r="O189" t="n">
        <v>2880</v>
      </c>
      <c r="P189" t="n">
        <v>3820</v>
      </c>
      <c r="Q189" t="n">
        <v>4760</v>
      </c>
      <c r="R189" t="n">
        <v>5700</v>
      </c>
      <c r="S189" t="n">
        <v>6640</v>
      </c>
      <c r="T189" t="n">
        <v>7580</v>
      </c>
      <c r="U189" t="n">
        <v>8520</v>
      </c>
      <c r="V189" t="n">
        <v>3938</v>
      </c>
      <c r="W189" t="n">
        <v>1752</v>
      </c>
      <c r="X189" t="n">
        <v>1564</v>
      </c>
      <c r="Y189" t="n">
        <v>7680</v>
      </c>
    </row>
    <row r="190">
      <c r="A190" t="n">
        <v>189</v>
      </c>
      <c r="B190" t="n">
        <v>0</v>
      </c>
      <c r="C190" t="n">
        <v>16939</v>
      </c>
      <c r="D190" t="n">
        <v>42347</v>
      </c>
      <c r="E190" t="n">
        <v>262794</v>
      </c>
      <c r="F190" t="n">
        <v>1612379</v>
      </c>
      <c r="G190" t="n">
        <v>9715449</v>
      </c>
      <c r="H190" t="n">
        <v>57688652</v>
      </c>
      <c r="I190" t="n">
        <v>336523764</v>
      </c>
      <c r="J190" t="n">
        <v>2000</v>
      </c>
      <c r="K190" t="n">
        <v>17638</v>
      </c>
      <c r="L190" t="n">
        <v>2500</v>
      </c>
      <c r="M190" t="n">
        <v>1089</v>
      </c>
      <c r="N190" t="n">
        <v>1945</v>
      </c>
      <c r="O190" t="n">
        <v>2890</v>
      </c>
      <c r="P190" t="n">
        <v>3835</v>
      </c>
      <c r="Q190" t="n">
        <v>4780</v>
      </c>
      <c r="R190" t="n">
        <v>5725</v>
      </c>
      <c r="S190" t="n">
        <v>6670</v>
      </c>
      <c r="T190" t="n">
        <v>7615</v>
      </c>
      <c r="U190" t="n">
        <v>8560</v>
      </c>
      <c r="V190" t="n">
        <v>3962</v>
      </c>
      <c r="W190" t="n">
        <v>1756</v>
      </c>
      <c r="X190" t="n">
        <v>1567</v>
      </c>
      <c r="Y190" t="n">
        <v>7690</v>
      </c>
    </row>
    <row r="191">
      <c r="A191" t="n">
        <v>190</v>
      </c>
      <c r="B191" t="n">
        <v>0</v>
      </c>
      <c r="C191" t="n">
        <v>17194</v>
      </c>
      <c r="D191" t="n">
        <v>43194</v>
      </c>
      <c r="E191" t="n">
        <v>270678</v>
      </c>
      <c r="F191" t="n">
        <v>1676875</v>
      </c>
      <c r="G191" t="n">
        <v>10201222</v>
      </c>
      <c r="H191" t="n">
        <v>61149972</v>
      </c>
      <c r="I191" t="n">
        <v>360080428</v>
      </c>
      <c r="J191" t="n">
        <v>2000</v>
      </c>
      <c r="K191" t="n">
        <v>17815</v>
      </c>
      <c r="L191" t="n">
        <v>2500</v>
      </c>
      <c r="M191" t="n">
        <v>1090</v>
      </c>
      <c r="N191" t="n">
        <v>1950</v>
      </c>
      <c r="O191" t="n">
        <v>2900</v>
      </c>
      <c r="P191" t="n">
        <v>3850</v>
      </c>
      <c r="Q191" t="n">
        <v>4800</v>
      </c>
      <c r="R191" t="n">
        <v>5750</v>
      </c>
      <c r="S191" t="n">
        <v>6700</v>
      </c>
      <c r="T191" t="n">
        <v>7650</v>
      </c>
      <c r="U191" t="n">
        <v>8600</v>
      </c>
      <c r="V191" t="n">
        <v>3986</v>
      </c>
      <c r="W191" t="n">
        <v>1760</v>
      </c>
      <c r="X191" t="n">
        <v>1570</v>
      </c>
      <c r="Y191" t="n">
        <v>7700</v>
      </c>
    </row>
    <row r="192">
      <c r="A192" t="n">
        <v>191</v>
      </c>
      <c r="B192" t="n">
        <v>0</v>
      </c>
      <c r="C192" t="n">
        <v>17452</v>
      </c>
      <c r="D192" t="n">
        <v>44058</v>
      </c>
      <c r="E192" t="n">
        <v>278799</v>
      </c>
      <c r="F192" t="n">
        <v>1743950</v>
      </c>
      <c r="G192" t="n">
        <v>10711284</v>
      </c>
      <c r="H192" t="n">
        <v>64818971</v>
      </c>
      <c r="I192" t="n">
        <v>385286058</v>
      </c>
      <c r="J192" t="n">
        <v>2000</v>
      </c>
      <c r="K192" t="n">
        <v>17994</v>
      </c>
      <c r="L192" t="n">
        <v>2500</v>
      </c>
      <c r="M192" t="n">
        <v>1091</v>
      </c>
      <c r="N192" t="n">
        <v>1955</v>
      </c>
      <c r="O192" t="n">
        <v>2910</v>
      </c>
      <c r="P192" t="n">
        <v>3865</v>
      </c>
      <c r="Q192" t="n">
        <v>4820</v>
      </c>
      <c r="R192" t="n">
        <v>5775</v>
      </c>
      <c r="S192" t="n">
        <v>6730</v>
      </c>
      <c r="T192" t="n">
        <v>7685</v>
      </c>
      <c r="U192" t="n">
        <v>8640</v>
      </c>
      <c r="V192" t="n">
        <v>4010</v>
      </c>
      <c r="W192" t="n">
        <v>1764</v>
      </c>
      <c r="X192" t="n">
        <v>1573</v>
      </c>
      <c r="Y192" t="n">
        <v>7710</v>
      </c>
    </row>
    <row r="193">
      <c r="A193" t="n">
        <v>192</v>
      </c>
      <c r="B193" t="n">
        <v>0</v>
      </c>
      <c r="C193" t="n">
        <v>17714</v>
      </c>
      <c r="D193" t="n">
        <v>44940</v>
      </c>
      <c r="E193" t="n">
        <v>287163</v>
      </c>
      <c r="F193" t="n">
        <v>1813708</v>
      </c>
      <c r="G193" t="n">
        <v>11246849</v>
      </c>
      <c r="H193" t="n">
        <v>68708110</v>
      </c>
      <c r="I193" t="n">
        <v>412256083</v>
      </c>
      <c r="J193" t="n">
        <v>2000</v>
      </c>
      <c r="K193" t="n">
        <v>18174</v>
      </c>
      <c r="L193" t="n">
        <v>2500</v>
      </c>
      <c r="M193" t="n">
        <v>1092</v>
      </c>
      <c r="N193" t="n">
        <v>1960</v>
      </c>
      <c r="O193" t="n">
        <v>2920</v>
      </c>
      <c r="P193" t="n">
        <v>3880</v>
      </c>
      <c r="Q193" t="n">
        <v>4840</v>
      </c>
      <c r="R193" t="n">
        <v>5800</v>
      </c>
      <c r="S193" t="n">
        <v>6760</v>
      </c>
      <c r="T193" t="n">
        <v>7720</v>
      </c>
      <c r="U193" t="n">
        <v>8680</v>
      </c>
      <c r="V193" t="n">
        <v>4035</v>
      </c>
      <c r="W193" t="n">
        <v>1768</v>
      </c>
      <c r="X193" t="n">
        <v>1576</v>
      </c>
      <c r="Y193" t="n">
        <v>7720</v>
      </c>
    </row>
    <row r="194">
      <c r="A194" t="n">
        <v>193</v>
      </c>
      <c r="B194" t="n">
        <v>0</v>
      </c>
      <c r="C194" t="n">
        <v>17980</v>
      </c>
      <c r="D194" t="n">
        <v>45839</v>
      </c>
      <c r="E194" t="n">
        <v>295778</v>
      </c>
      <c r="F194" t="n">
        <v>1886257</v>
      </c>
      <c r="G194" t="n">
        <v>11809192</v>
      </c>
      <c r="H194" t="n">
        <v>72830597</v>
      </c>
      <c r="I194" t="n">
        <v>441114009</v>
      </c>
      <c r="J194" t="n">
        <v>2000</v>
      </c>
      <c r="K194" t="n">
        <v>18356</v>
      </c>
      <c r="L194" t="n">
        <v>2500</v>
      </c>
      <c r="M194" t="n">
        <v>1093</v>
      </c>
      <c r="N194" t="n">
        <v>1965</v>
      </c>
      <c r="O194" t="n">
        <v>2930</v>
      </c>
      <c r="P194" t="n">
        <v>3895</v>
      </c>
      <c r="Q194" t="n">
        <v>4860</v>
      </c>
      <c r="R194" t="n">
        <v>5825</v>
      </c>
      <c r="S194" t="n">
        <v>6790</v>
      </c>
      <c r="T194" t="n">
        <v>7755</v>
      </c>
      <c r="U194" t="n">
        <v>8720</v>
      </c>
      <c r="V194" t="n">
        <v>4060</v>
      </c>
      <c r="W194" t="n">
        <v>1772</v>
      </c>
      <c r="X194" t="n">
        <v>1579</v>
      </c>
      <c r="Y194" t="n">
        <v>7730</v>
      </c>
    </row>
    <row r="195">
      <c r="A195" t="n">
        <v>194</v>
      </c>
      <c r="B195" t="n">
        <v>0</v>
      </c>
      <c r="C195" t="n">
        <v>18250</v>
      </c>
      <c r="D195" t="n">
        <v>46756</v>
      </c>
      <c r="E195" t="n">
        <v>304652</v>
      </c>
      <c r="F195" t="n">
        <v>1961708</v>
      </c>
      <c r="G195" t="n">
        <v>12399652</v>
      </c>
      <c r="H195" t="n">
        <v>77200433</v>
      </c>
      <c r="I195" t="n">
        <v>471991990</v>
      </c>
      <c r="J195" t="n">
        <v>2000</v>
      </c>
      <c r="K195" t="n">
        <v>18540</v>
      </c>
      <c r="L195" t="n">
        <v>2500</v>
      </c>
      <c r="M195" t="n">
        <v>1094</v>
      </c>
      <c r="N195" t="n">
        <v>1970</v>
      </c>
      <c r="O195" t="n">
        <v>2940</v>
      </c>
      <c r="P195" t="n">
        <v>3910</v>
      </c>
      <c r="Q195" t="n">
        <v>4880</v>
      </c>
      <c r="R195" t="n">
        <v>5850</v>
      </c>
      <c r="S195" t="n">
        <v>6820</v>
      </c>
      <c r="T195" t="n">
        <v>7790</v>
      </c>
      <c r="U195" t="n">
        <v>8760</v>
      </c>
      <c r="V195" t="n">
        <v>4085</v>
      </c>
      <c r="W195" t="n">
        <v>1776</v>
      </c>
      <c r="X195" t="n">
        <v>1582</v>
      </c>
      <c r="Y195" t="n">
        <v>7740</v>
      </c>
    </row>
    <row r="196">
      <c r="A196" t="n">
        <v>195</v>
      </c>
      <c r="B196" t="n">
        <v>0</v>
      </c>
      <c r="C196" t="n">
        <v>18524</v>
      </c>
      <c r="D196" t="n">
        <v>47692</v>
      </c>
      <c r="E196" t="n">
        <v>313792</v>
      </c>
      <c r="F196" t="n">
        <v>2040177</v>
      </c>
      <c r="G196" t="n">
        <v>13019635</v>
      </c>
      <c r="H196" t="n">
        <v>81832459</v>
      </c>
      <c r="I196" t="n">
        <v>505031430</v>
      </c>
      <c r="J196" t="n">
        <v>2000</v>
      </c>
      <c r="K196" t="n">
        <v>18726</v>
      </c>
      <c r="L196" t="n">
        <v>2500</v>
      </c>
      <c r="M196" t="n">
        <v>1095</v>
      </c>
      <c r="N196" t="n">
        <v>1975</v>
      </c>
      <c r="O196" t="n">
        <v>2950</v>
      </c>
      <c r="P196" t="n">
        <v>3925</v>
      </c>
      <c r="Q196" t="n">
        <v>4900</v>
      </c>
      <c r="R196" t="n">
        <v>5875</v>
      </c>
      <c r="S196" t="n">
        <v>6850</v>
      </c>
      <c r="T196" t="n">
        <v>7825</v>
      </c>
      <c r="U196" t="n">
        <v>8800</v>
      </c>
      <c r="V196" t="n">
        <v>4110</v>
      </c>
      <c r="W196" t="n">
        <v>1780</v>
      </c>
      <c r="X196" t="n">
        <v>1585</v>
      </c>
      <c r="Y196" t="n">
        <v>7750</v>
      </c>
    </row>
    <row r="197">
      <c r="A197" t="n">
        <v>196</v>
      </c>
      <c r="B197" t="n">
        <v>0</v>
      </c>
      <c r="C197" t="n">
        <v>18802</v>
      </c>
      <c r="D197" t="n">
        <v>48646</v>
      </c>
      <c r="E197" t="n">
        <v>323206</v>
      </c>
      <c r="F197" t="n">
        <v>2121785</v>
      </c>
      <c r="G197" t="n">
        <v>13670617</v>
      </c>
      <c r="H197" t="n">
        <v>86742407</v>
      </c>
      <c r="I197" t="n">
        <v>540383631</v>
      </c>
      <c r="J197" t="n">
        <v>2000</v>
      </c>
      <c r="K197" t="n">
        <v>18914</v>
      </c>
      <c r="L197" t="n">
        <v>2500</v>
      </c>
      <c r="M197" t="n">
        <v>1096</v>
      </c>
      <c r="N197" t="n">
        <v>1980</v>
      </c>
      <c r="O197" t="n">
        <v>2960</v>
      </c>
      <c r="P197" t="n">
        <v>3940</v>
      </c>
      <c r="Q197" t="n">
        <v>4920</v>
      </c>
      <c r="R197" t="n">
        <v>5900</v>
      </c>
      <c r="S197" t="n">
        <v>6880</v>
      </c>
      <c r="T197" t="n">
        <v>7860</v>
      </c>
      <c r="U197" t="n">
        <v>8840</v>
      </c>
      <c r="V197" t="n">
        <v>4135</v>
      </c>
      <c r="W197" t="n">
        <v>1784</v>
      </c>
      <c r="X197" t="n">
        <v>1588</v>
      </c>
      <c r="Y197" t="n">
        <v>7760</v>
      </c>
    </row>
    <row r="198">
      <c r="A198" t="n">
        <v>197</v>
      </c>
      <c r="B198" t="n">
        <v>0</v>
      </c>
      <c r="C198" t="n">
        <v>19085</v>
      </c>
      <c r="D198" t="n">
        <v>49619</v>
      </c>
      <c r="E198" t="n">
        <v>332903</v>
      </c>
      <c r="F198" t="n">
        <v>2206657</v>
      </c>
      <c r="G198" t="n">
        <v>14354148</v>
      </c>
      <c r="H198" t="n">
        <v>91946952</v>
      </c>
      <c r="I198" t="n">
        <v>578210486</v>
      </c>
      <c r="J198" t="n">
        <v>2000</v>
      </c>
      <c r="K198" t="n">
        <v>19104</v>
      </c>
      <c r="L198" t="n">
        <v>2500</v>
      </c>
      <c r="M198" t="n">
        <v>1097</v>
      </c>
      <c r="N198" t="n">
        <v>1985</v>
      </c>
      <c r="O198" t="n">
        <v>2970</v>
      </c>
      <c r="P198" t="n">
        <v>3955</v>
      </c>
      <c r="Q198" t="n">
        <v>4940</v>
      </c>
      <c r="R198" t="n">
        <v>5925</v>
      </c>
      <c r="S198" t="n">
        <v>6910</v>
      </c>
      <c r="T198" t="n">
        <v>7895</v>
      </c>
      <c r="U198" t="n">
        <v>8880</v>
      </c>
      <c r="V198" t="n">
        <v>4160</v>
      </c>
      <c r="W198" t="n">
        <v>1788</v>
      </c>
      <c r="X198" t="n">
        <v>1591</v>
      </c>
      <c r="Y198" t="n">
        <v>7770</v>
      </c>
    </row>
    <row r="199">
      <c r="A199" t="n">
        <v>198</v>
      </c>
      <c r="B199" t="n">
        <v>0</v>
      </c>
      <c r="C199" t="n">
        <v>19372</v>
      </c>
      <c r="D199" t="n">
        <v>50612</v>
      </c>
      <c r="E199" t="n">
        <v>342891</v>
      </c>
      <c r="F199" t="n">
        <v>2294924</v>
      </c>
      <c r="G199" t="n">
        <v>15071856</v>
      </c>
      <c r="H199" t="n">
        <v>97463770</v>
      </c>
      <c r="I199" t="n">
        <v>618685221</v>
      </c>
      <c r="J199" t="n">
        <v>2000</v>
      </c>
      <c r="K199" t="n">
        <v>19296</v>
      </c>
      <c r="L199" t="n">
        <v>2500</v>
      </c>
      <c r="M199" t="n">
        <v>1098</v>
      </c>
      <c r="N199" t="n">
        <v>1990</v>
      </c>
      <c r="O199" t="n">
        <v>2980</v>
      </c>
      <c r="P199" t="n">
        <v>3970</v>
      </c>
      <c r="Q199" t="n">
        <v>4960</v>
      </c>
      <c r="R199" t="n">
        <v>5950</v>
      </c>
      <c r="S199" t="n">
        <v>6940</v>
      </c>
      <c r="T199" t="n">
        <v>7930</v>
      </c>
      <c r="U199" t="n">
        <v>8920</v>
      </c>
      <c r="V199" t="n">
        <v>4185</v>
      </c>
      <c r="W199" t="n">
        <v>1792</v>
      </c>
      <c r="X199" t="n">
        <v>1594</v>
      </c>
      <c r="Y199" t="n">
        <v>7780</v>
      </c>
    </row>
    <row r="200">
      <c r="A200" t="n">
        <v>199</v>
      </c>
      <c r="B200" t="n">
        <v>0</v>
      </c>
      <c r="C200" t="n">
        <v>19663</v>
      </c>
      <c r="D200" t="n">
        <v>51625</v>
      </c>
      <c r="E200" t="n">
        <v>353178</v>
      </c>
      <c r="F200" t="n">
        <v>2386721</v>
      </c>
      <c r="G200" t="n">
        <v>15825449</v>
      </c>
      <c r="H200" t="n">
        <v>103311597</v>
      </c>
      <c r="I200" t="n">
        <v>661993187</v>
      </c>
      <c r="J200" t="n">
        <v>2000</v>
      </c>
      <c r="K200" t="n">
        <v>19489</v>
      </c>
      <c r="L200" t="n">
        <v>2500</v>
      </c>
      <c r="M200" t="n">
        <v>1099</v>
      </c>
      <c r="N200" t="n">
        <v>1995</v>
      </c>
      <c r="O200" t="n">
        <v>2990</v>
      </c>
      <c r="P200" t="n">
        <v>3985</v>
      </c>
      <c r="Q200" t="n">
        <v>4980</v>
      </c>
      <c r="R200" t="n">
        <v>5975</v>
      </c>
      <c r="S200" t="n">
        <v>6970</v>
      </c>
      <c r="T200" t="n">
        <v>7965</v>
      </c>
      <c r="U200" t="n">
        <v>8960</v>
      </c>
      <c r="V200" t="n">
        <v>4210</v>
      </c>
      <c r="W200" t="n">
        <v>1796</v>
      </c>
      <c r="X200" t="n">
        <v>1597</v>
      </c>
      <c r="Y200" t="n">
        <v>7790</v>
      </c>
    </row>
    <row r="201">
      <c r="A201" t="n">
        <v>200</v>
      </c>
      <c r="B201" t="n">
        <v>0</v>
      </c>
      <c r="C201" t="n">
        <v>19958</v>
      </c>
      <c r="D201" t="n">
        <v>52658</v>
      </c>
      <c r="E201" t="n">
        <v>363774</v>
      </c>
      <c r="F201" t="n">
        <v>2482190</v>
      </c>
      <c r="G201" t="n">
        <v>16616722</v>
      </c>
      <c r="H201" t="n">
        <v>109510293</v>
      </c>
      <c r="I201" t="n">
        <v>708332711</v>
      </c>
      <c r="J201" t="n">
        <v>2000</v>
      </c>
      <c r="K201" t="n">
        <v>19684</v>
      </c>
      <c r="L201" t="n">
        <v>2500</v>
      </c>
      <c r="M201" t="n">
        <v>1100</v>
      </c>
      <c r="N201" t="n">
        <v>2000</v>
      </c>
      <c r="O201" t="n">
        <v>3000</v>
      </c>
      <c r="P201" t="n">
        <v>4000</v>
      </c>
      <c r="Q201" t="n">
        <v>5000</v>
      </c>
      <c r="R201" t="n">
        <v>6000</v>
      </c>
      <c r="S201" t="n">
        <v>7000</v>
      </c>
      <c r="T201" t="n">
        <v>8000</v>
      </c>
      <c r="U201" t="n">
        <v>9000</v>
      </c>
      <c r="V201" t="n">
        <v>4236</v>
      </c>
      <c r="W201" t="n">
        <v>1800</v>
      </c>
      <c r="X201" t="n">
        <v>1600</v>
      </c>
      <c r="Y201" t="n">
        <v>7800</v>
      </c>
    </row>
    <row r="202">
      <c r="A202" t="n">
        <v>201</v>
      </c>
      <c r="B202" t="n">
        <v>0</v>
      </c>
      <c r="C202" t="n">
        <v>20258</v>
      </c>
      <c r="D202" t="n">
        <v>53712</v>
      </c>
      <c r="E202" t="n">
        <v>374688</v>
      </c>
      <c r="F202" t="n">
        <v>2581478</v>
      </c>
      <c r="G202" t="n">
        <v>17447559</v>
      </c>
      <c r="H202" t="n">
        <v>116080911</v>
      </c>
      <c r="I202" t="n">
        <v>757916001</v>
      </c>
      <c r="J202" t="n">
        <v>2000</v>
      </c>
      <c r="K202" t="n">
        <v>19881</v>
      </c>
      <c r="L202" t="n">
        <v>2500</v>
      </c>
      <c r="M202" t="n">
        <v>1100</v>
      </c>
      <c r="N202" t="n">
        <v>2005</v>
      </c>
      <c r="O202" t="n">
        <v>3010</v>
      </c>
      <c r="P202" t="n">
        <v>4015</v>
      </c>
      <c r="Q202" t="n">
        <v>5020</v>
      </c>
      <c r="R202" t="n">
        <v>6025</v>
      </c>
      <c r="S202" t="n">
        <v>7030</v>
      </c>
      <c r="T202" t="n">
        <v>8035</v>
      </c>
      <c r="U202" t="n">
        <v>9040</v>
      </c>
      <c r="V202" t="n">
        <v>4262</v>
      </c>
      <c r="W202" t="n">
        <v>1804</v>
      </c>
      <c r="X202" t="n">
        <v>1603</v>
      </c>
      <c r="Y202" t="n">
        <v>7810</v>
      </c>
    </row>
    <row r="203">
      <c r="A203" t="n">
        <v>202</v>
      </c>
      <c r="B203" t="n">
        <v>0</v>
      </c>
      <c r="C203" t="n">
        <v>20562</v>
      </c>
      <c r="D203" t="n">
        <v>54787</v>
      </c>
      <c r="E203" t="n">
        <v>385929</v>
      </c>
      <c r="F203" t="n">
        <v>2684738</v>
      </c>
      <c r="G203" t="n">
        <v>18319937</v>
      </c>
      <c r="H203" t="n">
        <v>123045766</v>
      </c>
      <c r="I203" t="n">
        <v>810970122</v>
      </c>
      <c r="J203" t="n">
        <v>2000</v>
      </c>
      <c r="K203" t="n">
        <v>20080</v>
      </c>
      <c r="L203" t="n">
        <v>2500</v>
      </c>
      <c r="M203" t="n">
        <v>1100</v>
      </c>
      <c r="N203" t="n">
        <v>2010</v>
      </c>
      <c r="O203" t="n">
        <v>3020</v>
      </c>
      <c r="P203" t="n">
        <v>4030</v>
      </c>
      <c r="Q203" t="n">
        <v>5040</v>
      </c>
      <c r="R203" t="n">
        <v>6050</v>
      </c>
      <c r="S203" t="n">
        <v>7060</v>
      </c>
      <c r="T203" t="n">
        <v>8070</v>
      </c>
      <c r="U203" t="n">
        <v>9080</v>
      </c>
      <c r="V203" t="n">
        <v>4288</v>
      </c>
      <c r="W203" t="n">
        <v>1808</v>
      </c>
      <c r="X203" t="n">
        <v>1606</v>
      </c>
      <c r="Y203" t="n">
        <v>7820</v>
      </c>
    </row>
    <row r="204">
      <c r="A204" t="n">
        <v>203</v>
      </c>
      <c r="B204" t="n">
        <v>0</v>
      </c>
      <c r="C204" t="n">
        <v>20871</v>
      </c>
      <c r="D204" t="n">
        <v>55883</v>
      </c>
      <c r="E204" t="n">
        <v>397507</v>
      </c>
      <c r="F204" t="n">
        <v>2792128</v>
      </c>
      <c r="G204" t="n">
        <v>19235934</v>
      </c>
      <c r="H204" t="n">
        <v>130428512</v>
      </c>
      <c r="I204" t="n">
        <v>867738031</v>
      </c>
      <c r="J204" t="n">
        <v>2000</v>
      </c>
      <c r="K204" t="n">
        <v>20281</v>
      </c>
      <c r="L204" t="n">
        <v>2500</v>
      </c>
      <c r="M204" t="n">
        <v>1100</v>
      </c>
      <c r="N204" t="n">
        <v>2015</v>
      </c>
      <c r="O204" t="n">
        <v>3030</v>
      </c>
      <c r="P204" t="n">
        <v>4045</v>
      </c>
      <c r="Q204" t="n">
        <v>5060</v>
      </c>
      <c r="R204" t="n">
        <v>6075</v>
      </c>
      <c r="S204" t="n">
        <v>7090</v>
      </c>
      <c r="T204" t="n">
        <v>8105</v>
      </c>
      <c r="U204" t="n">
        <v>9120</v>
      </c>
      <c r="V204" t="n">
        <v>4314</v>
      </c>
      <c r="W204" t="n">
        <v>1812</v>
      </c>
      <c r="X204" t="n">
        <v>1609</v>
      </c>
      <c r="Y204" t="n">
        <v>7830</v>
      </c>
    </row>
    <row r="205">
      <c r="A205" t="n">
        <v>204</v>
      </c>
      <c r="B205" t="n">
        <v>0</v>
      </c>
      <c r="C205" t="n">
        <v>21185</v>
      </c>
      <c r="D205" t="n">
        <v>57001</v>
      </c>
      <c r="E205" t="n">
        <v>409433</v>
      </c>
      <c r="F205" t="n">
        <v>2903814</v>
      </c>
      <c r="G205" t="n">
        <v>20197731</v>
      </c>
      <c r="H205" t="n">
        <v>138254223</v>
      </c>
      <c r="I205" t="n">
        <v>928479694</v>
      </c>
      <c r="J205" t="n">
        <v>2000</v>
      </c>
      <c r="K205" t="n">
        <v>20484</v>
      </c>
      <c r="L205" t="n">
        <v>2500</v>
      </c>
      <c r="M205" t="n">
        <v>1100</v>
      </c>
      <c r="N205" t="n">
        <v>2020</v>
      </c>
      <c r="O205" t="n">
        <v>3040</v>
      </c>
      <c r="P205" t="n">
        <v>4060</v>
      </c>
      <c r="Q205" t="n">
        <v>5080</v>
      </c>
      <c r="R205" t="n">
        <v>6100</v>
      </c>
      <c r="S205" t="n">
        <v>7120</v>
      </c>
      <c r="T205" t="n">
        <v>8140</v>
      </c>
      <c r="U205" t="n">
        <v>9160</v>
      </c>
      <c r="V205" t="n">
        <v>4340</v>
      </c>
      <c r="W205" t="n">
        <v>1816</v>
      </c>
      <c r="X205" t="n">
        <v>1612</v>
      </c>
      <c r="Y205" t="n">
        <v>7840</v>
      </c>
    </row>
    <row r="206">
      <c r="A206" t="n">
        <v>205</v>
      </c>
      <c r="B206" t="n">
        <v>0</v>
      </c>
      <c r="C206" t="n">
        <v>21503</v>
      </c>
      <c r="D206" t="n">
        <v>58142</v>
      </c>
      <c r="E206" t="n">
        <v>421716</v>
      </c>
      <c r="F206" t="n">
        <v>3019967</v>
      </c>
      <c r="G206" t="n">
        <v>21207618</v>
      </c>
      <c r="H206" t="n">
        <v>146549477</v>
      </c>
      <c r="I206" t="n">
        <v>993473273</v>
      </c>
      <c r="J206" t="n">
        <v>2000</v>
      </c>
      <c r="K206" t="n">
        <v>20689</v>
      </c>
      <c r="L206" t="n">
        <v>2500</v>
      </c>
      <c r="M206" t="n">
        <v>1100</v>
      </c>
      <c r="N206" t="n">
        <v>2025</v>
      </c>
      <c r="O206" t="n">
        <v>3050</v>
      </c>
      <c r="P206" t="n">
        <v>4075</v>
      </c>
      <c r="Q206" t="n">
        <v>5100</v>
      </c>
      <c r="R206" t="n">
        <v>6125</v>
      </c>
      <c r="S206" t="n">
        <v>7150</v>
      </c>
      <c r="T206" t="n">
        <v>8175</v>
      </c>
      <c r="U206" t="n">
        <v>9200</v>
      </c>
      <c r="V206" t="n">
        <v>4366</v>
      </c>
      <c r="W206" t="n">
        <v>1820</v>
      </c>
      <c r="X206" t="n">
        <v>1615</v>
      </c>
      <c r="Y206" t="n">
        <v>7850</v>
      </c>
    </row>
    <row r="207">
      <c r="A207" t="n">
        <v>206</v>
      </c>
      <c r="B207" t="n">
        <v>0</v>
      </c>
      <c r="C207" t="n">
        <v>21826</v>
      </c>
      <c r="D207" t="n">
        <v>59305</v>
      </c>
      <c r="E207" t="n">
        <v>434368</v>
      </c>
      <c r="F207" t="n">
        <v>3140766</v>
      </c>
      <c r="G207" t="n">
        <v>22267999</v>
      </c>
      <c r="H207" t="n">
        <v>155342446</v>
      </c>
      <c r="I207" t="n">
        <v>1063016403</v>
      </c>
      <c r="J207" t="n">
        <v>2000</v>
      </c>
      <c r="K207" t="n">
        <v>20896</v>
      </c>
      <c r="L207" t="n">
        <v>2500</v>
      </c>
      <c r="M207" t="n">
        <v>1100</v>
      </c>
      <c r="N207" t="n">
        <v>2030</v>
      </c>
      <c r="O207" t="n">
        <v>3060</v>
      </c>
      <c r="P207" t="n">
        <v>4090</v>
      </c>
      <c r="Q207" t="n">
        <v>5120</v>
      </c>
      <c r="R207" t="n">
        <v>6150</v>
      </c>
      <c r="S207" t="n">
        <v>7180</v>
      </c>
      <c r="T207" t="n">
        <v>8210</v>
      </c>
      <c r="U207" t="n">
        <v>9240</v>
      </c>
      <c r="V207" t="n">
        <v>4392</v>
      </c>
      <c r="W207" t="n">
        <v>1824</v>
      </c>
      <c r="X207" t="n">
        <v>1618</v>
      </c>
      <c r="Y207" t="n">
        <v>7860</v>
      </c>
    </row>
    <row r="208">
      <c r="A208" t="n">
        <v>207</v>
      </c>
      <c r="B208" t="n">
        <v>0</v>
      </c>
      <c r="C208" t="n">
        <v>22154</v>
      </c>
      <c r="D208" t="n">
        <v>60492</v>
      </c>
      <c r="E208" t="n">
        <v>447400</v>
      </c>
      <c r="F208" t="n">
        <v>3266397</v>
      </c>
      <c r="G208" t="n">
        <v>23381399</v>
      </c>
      <c r="H208" t="n">
        <v>164662993</v>
      </c>
      <c r="I208" t="n">
        <v>1137427552</v>
      </c>
      <c r="J208" t="n">
        <v>2000</v>
      </c>
      <c r="K208" t="n">
        <v>21105</v>
      </c>
      <c r="L208" t="n">
        <v>2500</v>
      </c>
      <c r="M208" t="n">
        <v>1100</v>
      </c>
      <c r="N208" t="n">
        <v>2035</v>
      </c>
      <c r="O208" t="n">
        <v>3070</v>
      </c>
      <c r="P208" t="n">
        <v>4105</v>
      </c>
      <c r="Q208" t="n">
        <v>5140</v>
      </c>
      <c r="R208" t="n">
        <v>6175</v>
      </c>
      <c r="S208" t="n">
        <v>7210</v>
      </c>
      <c r="T208" t="n">
        <v>8245</v>
      </c>
      <c r="U208" t="n">
        <v>9280</v>
      </c>
      <c r="V208" t="n">
        <v>4418</v>
      </c>
      <c r="W208" t="n">
        <v>1828</v>
      </c>
      <c r="X208" t="n">
        <v>1621</v>
      </c>
      <c r="Y208" t="n">
        <v>7870</v>
      </c>
    </row>
    <row r="209">
      <c r="A209" t="n">
        <v>208</v>
      </c>
      <c r="B209" t="n">
        <v>0</v>
      </c>
      <c r="C209" t="n">
        <v>22487</v>
      </c>
      <c r="D209" t="n">
        <v>61702</v>
      </c>
      <c r="E209" t="n">
        <v>460822</v>
      </c>
      <c r="F209" t="n">
        <v>3397053</v>
      </c>
      <c r="G209" t="n">
        <v>24550469</v>
      </c>
      <c r="H209" t="n">
        <v>174542773</v>
      </c>
      <c r="I209" t="n">
        <v>1217047481</v>
      </c>
      <c r="J209" t="n">
        <v>2000</v>
      </c>
      <c r="K209" t="n">
        <v>21317</v>
      </c>
      <c r="L209" t="n">
        <v>2500</v>
      </c>
      <c r="M209" t="n">
        <v>1100</v>
      </c>
      <c r="N209" t="n">
        <v>2040</v>
      </c>
      <c r="O209" t="n">
        <v>3080</v>
      </c>
      <c r="P209" t="n">
        <v>4120</v>
      </c>
      <c r="Q209" t="n">
        <v>5160</v>
      </c>
      <c r="R209" t="n">
        <v>6200</v>
      </c>
      <c r="S209" t="n">
        <v>7240</v>
      </c>
      <c r="T209" t="n">
        <v>8280</v>
      </c>
      <c r="U209" t="n">
        <v>9320</v>
      </c>
      <c r="V209" t="n">
        <v>4445</v>
      </c>
      <c r="W209" t="n">
        <v>1832</v>
      </c>
      <c r="X209" t="n">
        <v>1624</v>
      </c>
      <c r="Y209" t="n">
        <v>7880</v>
      </c>
    </row>
    <row r="210">
      <c r="A210" t="n">
        <v>209</v>
      </c>
      <c r="B210" t="n">
        <v>0</v>
      </c>
      <c r="C210" t="n">
        <v>22825</v>
      </c>
      <c r="D210" t="n">
        <v>62937</v>
      </c>
      <c r="E210" t="n">
        <v>474647</v>
      </c>
      <c r="F210" t="n">
        <v>3532936</v>
      </c>
      <c r="G210" t="n">
        <v>25777993</v>
      </c>
      <c r="H210" t="n">
        <v>185015340</v>
      </c>
      <c r="I210" t="n">
        <v>1302240805</v>
      </c>
      <c r="J210" t="n">
        <v>2000</v>
      </c>
      <c r="K210" t="n">
        <v>21531</v>
      </c>
      <c r="L210" t="n">
        <v>2500</v>
      </c>
      <c r="M210" t="n">
        <v>1100</v>
      </c>
      <c r="N210" t="n">
        <v>2045</v>
      </c>
      <c r="O210" t="n">
        <v>3090</v>
      </c>
      <c r="P210" t="n">
        <v>4135</v>
      </c>
      <c r="Q210" t="n">
        <v>5180</v>
      </c>
      <c r="R210" t="n">
        <v>6225</v>
      </c>
      <c r="S210" t="n">
        <v>7270</v>
      </c>
      <c r="T210" t="n">
        <v>8315</v>
      </c>
      <c r="U210" t="n">
        <v>9360</v>
      </c>
      <c r="V210" t="n">
        <v>4472</v>
      </c>
      <c r="W210" t="n">
        <v>1836</v>
      </c>
      <c r="X210" t="n">
        <v>1627</v>
      </c>
      <c r="Y210" t="n">
        <v>7890</v>
      </c>
    </row>
    <row r="211">
      <c r="A211" t="n">
        <v>210</v>
      </c>
      <c r="B211" t="n">
        <v>0</v>
      </c>
      <c r="C211" t="n">
        <v>23168</v>
      </c>
      <c r="D211" t="n">
        <v>64196</v>
      </c>
      <c r="E211" t="n">
        <v>488887</v>
      </c>
      <c r="F211" t="n">
        <v>3674254</v>
      </c>
      <c r="G211" t="n">
        <v>27066893</v>
      </c>
      <c r="H211" t="n">
        <v>196116261</v>
      </c>
      <c r="I211" t="n">
        <v>1393397662</v>
      </c>
      <c r="J211" t="n">
        <v>2000</v>
      </c>
      <c r="K211" t="n">
        <v>21747</v>
      </c>
      <c r="L211" t="n">
        <v>2500</v>
      </c>
      <c r="M211" t="n">
        <v>1100</v>
      </c>
      <c r="N211" t="n">
        <v>2050</v>
      </c>
      <c r="O211" t="n">
        <v>3100</v>
      </c>
      <c r="P211" t="n">
        <v>4150</v>
      </c>
      <c r="Q211" t="n">
        <v>5200</v>
      </c>
      <c r="R211" t="n">
        <v>6250</v>
      </c>
      <c r="S211" t="n">
        <v>7300</v>
      </c>
      <c r="T211" t="n">
        <v>8350</v>
      </c>
      <c r="U211" t="n">
        <v>9400</v>
      </c>
      <c r="V211" t="n">
        <v>4499</v>
      </c>
      <c r="W211" t="n">
        <v>1840</v>
      </c>
      <c r="X211" t="n">
        <v>1630</v>
      </c>
      <c r="Y211" t="n">
        <v>7900</v>
      </c>
    </row>
    <row r="212">
      <c r="A212" t="n">
        <v>211</v>
      </c>
      <c r="B212" t="n">
        <v>0</v>
      </c>
      <c r="C212" t="n">
        <v>23516</v>
      </c>
      <c r="D212" t="n">
        <v>65480</v>
      </c>
      <c r="E212" t="n">
        <v>503554</v>
      </c>
      <c r="F212" t="n">
        <v>3821225</v>
      </c>
      <c r="G212" t="n">
        <v>28420238</v>
      </c>
      <c r="H212" t="n">
        <v>207883237</v>
      </c>
      <c r="I212" t="n">
        <v>1490935499</v>
      </c>
      <c r="J212" t="n">
        <v>2000</v>
      </c>
      <c r="K212" t="n">
        <v>21965</v>
      </c>
      <c r="L212" t="n">
        <v>2500</v>
      </c>
      <c r="M212" t="n">
        <v>1100</v>
      </c>
      <c r="N212" t="n">
        <v>2055</v>
      </c>
      <c r="O212" t="n">
        <v>3110</v>
      </c>
      <c r="P212" t="n">
        <v>4165</v>
      </c>
      <c r="Q212" t="n">
        <v>5220</v>
      </c>
      <c r="R212" t="n">
        <v>6275</v>
      </c>
      <c r="S212" t="n">
        <v>7330</v>
      </c>
      <c r="T212" t="n">
        <v>8385</v>
      </c>
      <c r="U212" t="n">
        <v>9440</v>
      </c>
      <c r="V212" t="n">
        <v>4526</v>
      </c>
      <c r="W212" t="n">
        <v>1844</v>
      </c>
      <c r="X212" t="n">
        <v>1633</v>
      </c>
      <c r="Y212" t="n">
        <v>7910</v>
      </c>
    </row>
    <row r="213">
      <c r="A213" t="n">
        <v>212</v>
      </c>
      <c r="B213" t="n">
        <v>0</v>
      </c>
      <c r="C213" t="n">
        <v>23869</v>
      </c>
      <c r="D213" t="n">
        <v>66790</v>
      </c>
      <c r="E213" t="n">
        <v>518661</v>
      </c>
      <c r="F213" t="n">
        <v>3974074</v>
      </c>
      <c r="G213" t="n">
        <v>29841250</v>
      </c>
      <c r="H213" t="n">
        <v>220356232</v>
      </c>
      <c r="I213" t="n">
        <v>1595300984</v>
      </c>
      <c r="J213" t="n">
        <v>2000</v>
      </c>
      <c r="K213" t="n">
        <v>22185</v>
      </c>
      <c r="L213" t="n">
        <v>2500</v>
      </c>
      <c r="M213" t="n">
        <v>1100</v>
      </c>
      <c r="N213" t="n">
        <v>2060</v>
      </c>
      <c r="O213" t="n">
        <v>3120</v>
      </c>
      <c r="P213" t="n">
        <v>4180</v>
      </c>
      <c r="Q213" t="n">
        <v>5240</v>
      </c>
      <c r="R213" t="n">
        <v>6300</v>
      </c>
      <c r="S213" t="n">
        <v>7360</v>
      </c>
      <c r="T213" t="n">
        <v>8420</v>
      </c>
      <c r="U213" t="n">
        <v>9480</v>
      </c>
      <c r="V213" t="n">
        <v>4553</v>
      </c>
      <c r="W213" t="n">
        <v>1848</v>
      </c>
      <c r="X213" t="n">
        <v>1636</v>
      </c>
      <c r="Y213" t="n">
        <v>7920</v>
      </c>
    </row>
    <row r="214">
      <c r="A214" t="n">
        <v>213</v>
      </c>
      <c r="B214" t="n">
        <v>0</v>
      </c>
      <c r="C214" t="n">
        <v>24228</v>
      </c>
      <c r="D214" t="n">
        <v>68126</v>
      </c>
      <c r="E214" t="n">
        <v>534221</v>
      </c>
      <c r="F214" t="n">
        <v>4133037</v>
      </c>
      <c r="G214" t="n">
        <v>31333313</v>
      </c>
      <c r="H214" t="n">
        <v>233577606</v>
      </c>
      <c r="I214" t="n">
        <v>1706972053</v>
      </c>
      <c r="J214" t="n">
        <v>2000</v>
      </c>
      <c r="K214" t="n">
        <v>22407</v>
      </c>
      <c r="L214" t="n">
        <v>2500</v>
      </c>
      <c r="M214" t="n">
        <v>1100</v>
      </c>
      <c r="N214" t="n">
        <v>2065</v>
      </c>
      <c r="O214" t="n">
        <v>3130</v>
      </c>
      <c r="P214" t="n">
        <v>4195</v>
      </c>
      <c r="Q214" t="n">
        <v>5260</v>
      </c>
      <c r="R214" t="n">
        <v>6325</v>
      </c>
      <c r="S214" t="n">
        <v>7390</v>
      </c>
      <c r="T214" t="n">
        <v>8455</v>
      </c>
      <c r="U214" t="n">
        <v>9520</v>
      </c>
      <c r="V214" t="n">
        <v>4580</v>
      </c>
      <c r="W214" t="n">
        <v>1852</v>
      </c>
      <c r="X214" t="n">
        <v>1639</v>
      </c>
      <c r="Y214" t="n">
        <v>7930</v>
      </c>
    </row>
    <row r="215">
      <c r="A215" t="n">
        <v>214</v>
      </c>
      <c r="B215" t="n">
        <v>0</v>
      </c>
      <c r="C215" t="n">
        <v>24592</v>
      </c>
      <c r="D215" t="n">
        <v>69489</v>
      </c>
      <c r="E215" t="n">
        <v>550248</v>
      </c>
      <c r="F215" t="n">
        <v>4298359</v>
      </c>
      <c r="G215" t="n">
        <v>32899979</v>
      </c>
      <c r="H215" t="n">
        <v>247592263</v>
      </c>
      <c r="I215" t="n">
        <v>1826460097</v>
      </c>
      <c r="J215" t="n">
        <v>2000</v>
      </c>
      <c r="K215" t="n">
        <v>22632</v>
      </c>
      <c r="L215" t="n">
        <v>2500</v>
      </c>
      <c r="M215" t="n">
        <v>1100</v>
      </c>
      <c r="N215" t="n">
        <v>2070</v>
      </c>
      <c r="O215" t="n">
        <v>3140</v>
      </c>
      <c r="P215" t="n">
        <v>4210</v>
      </c>
      <c r="Q215" t="n">
        <v>5280</v>
      </c>
      <c r="R215" t="n">
        <v>6350</v>
      </c>
      <c r="S215" t="n">
        <v>7420</v>
      </c>
      <c r="T215" t="n">
        <v>8490</v>
      </c>
      <c r="U215" t="n">
        <v>9560</v>
      </c>
      <c r="V215" t="n">
        <v>4607</v>
      </c>
      <c r="W215" t="n">
        <v>1856</v>
      </c>
      <c r="X215" t="n">
        <v>1642</v>
      </c>
      <c r="Y215" t="n">
        <v>7940</v>
      </c>
    </row>
    <row r="216">
      <c r="A216" t="n">
        <v>215</v>
      </c>
      <c r="B216" t="n">
        <v>0</v>
      </c>
      <c r="C216" t="n">
        <v>24961</v>
      </c>
      <c r="D216" t="n">
        <v>70879</v>
      </c>
      <c r="E216" t="n">
        <v>566756</v>
      </c>
      <c r="F216" t="n">
        <v>4470294</v>
      </c>
      <c r="G216" t="n">
        <v>34544978</v>
      </c>
      <c r="H216" t="n">
        <v>262447799</v>
      </c>
      <c r="I216" t="n">
        <v>1954312304</v>
      </c>
      <c r="J216" t="n">
        <v>2000</v>
      </c>
      <c r="K216" t="n">
        <v>22859</v>
      </c>
      <c r="L216" t="n">
        <v>2500</v>
      </c>
      <c r="M216" t="n">
        <v>1100</v>
      </c>
      <c r="N216" t="n">
        <v>2075</v>
      </c>
      <c r="O216" t="n">
        <v>3150</v>
      </c>
      <c r="P216" t="n">
        <v>4225</v>
      </c>
      <c r="Q216" t="n">
        <v>5300</v>
      </c>
      <c r="R216" t="n">
        <v>6375</v>
      </c>
      <c r="S216" t="n">
        <v>7450</v>
      </c>
      <c r="T216" t="n">
        <v>8525</v>
      </c>
      <c r="U216" t="n">
        <v>9600</v>
      </c>
      <c r="V216" t="n">
        <v>4635</v>
      </c>
      <c r="W216" t="n">
        <v>1860</v>
      </c>
      <c r="X216" t="n">
        <v>1645</v>
      </c>
      <c r="Y216" t="n">
        <v>7950</v>
      </c>
    </row>
    <row r="217">
      <c r="A217" t="n">
        <v>216</v>
      </c>
      <c r="B217" t="n">
        <v>0</v>
      </c>
      <c r="C217" t="n">
        <v>25336</v>
      </c>
      <c r="D217" t="n">
        <v>72297</v>
      </c>
      <c r="E217" t="n">
        <v>583759</v>
      </c>
      <c r="F217" t="n">
        <v>4649106</v>
      </c>
      <c r="G217" t="n">
        <v>36272227</v>
      </c>
      <c r="H217" t="n">
        <v>278194667</v>
      </c>
      <c r="I217" t="n">
        <v>2091114166</v>
      </c>
      <c r="J217" t="n">
        <v>2000</v>
      </c>
      <c r="K217" t="n">
        <v>23088</v>
      </c>
      <c r="L217" t="n">
        <v>2500</v>
      </c>
      <c r="M217" t="n">
        <v>1100</v>
      </c>
      <c r="N217" t="n">
        <v>2080</v>
      </c>
      <c r="O217" t="n">
        <v>3160</v>
      </c>
      <c r="P217" t="n">
        <v>4240</v>
      </c>
      <c r="Q217" t="n">
        <v>5320</v>
      </c>
      <c r="R217" t="n">
        <v>6400</v>
      </c>
      <c r="S217" t="n">
        <v>7480</v>
      </c>
      <c r="T217" t="n">
        <v>8560</v>
      </c>
      <c r="U217" t="n">
        <v>9640</v>
      </c>
      <c r="V217" t="n">
        <v>4663</v>
      </c>
      <c r="W217" t="n">
        <v>1864</v>
      </c>
      <c r="X217" t="n">
        <v>1648</v>
      </c>
      <c r="Y217" t="n">
        <v>7960</v>
      </c>
    </row>
    <row r="218">
      <c r="A218" t="n">
        <v>217</v>
      </c>
      <c r="B218" t="n">
        <v>0</v>
      </c>
      <c r="C218" t="n">
        <v>25717</v>
      </c>
      <c r="D218" t="n">
        <v>73743</v>
      </c>
      <c r="E218" t="n">
        <v>601272</v>
      </c>
      <c r="F218" t="n">
        <v>4835071</v>
      </c>
      <c r="G218" t="n">
        <v>38085839</v>
      </c>
      <c r="H218" t="n">
        <v>294886348</v>
      </c>
      <c r="I218" t="n">
        <v>2237492158</v>
      </c>
      <c r="J218" t="n">
        <v>2000</v>
      </c>
      <c r="K218" t="n">
        <v>23319</v>
      </c>
      <c r="L218" t="n">
        <v>2500</v>
      </c>
      <c r="M218" t="n">
        <v>1100</v>
      </c>
      <c r="N218" t="n">
        <v>2085</v>
      </c>
      <c r="O218" t="n">
        <v>3170</v>
      </c>
      <c r="P218" t="n">
        <v>4255</v>
      </c>
      <c r="Q218" t="n">
        <v>5340</v>
      </c>
      <c r="R218" t="n">
        <v>6425</v>
      </c>
      <c r="S218" t="n">
        <v>7510</v>
      </c>
      <c r="T218" t="n">
        <v>8595</v>
      </c>
      <c r="U218" t="n">
        <v>9680</v>
      </c>
      <c r="V218" t="n">
        <v>4691</v>
      </c>
      <c r="W218" t="n">
        <v>1868</v>
      </c>
      <c r="X218" t="n">
        <v>1651</v>
      </c>
      <c r="Y218" t="n">
        <v>7970</v>
      </c>
    </row>
    <row r="219">
      <c r="A219" t="n">
        <v>218</v>
      </c>
      <c r="B219" t="n">
        <v>0</v>
      </c>
      <c r="C219" t="n">
        <v>26103</v>
      </c>
      <c r="D219" t="n">
        <v>75218</v>
      </c>
      <c r="E219" t="n">
        <v>619311</v>
      </c>
      <c r="F219" t="n">
        <v>5028474</v>
      </c>
      <c r="G219" t="n">
        <v>39990131</v>
      </c>
      <c r="H219" t="n">
        <v>312579529</v>
      </c>
      <c r="I219" t="n">
        <v>2394116610</v>
      </c>
      <c r="J219" t="n">
        <v>2000</v>
      </c>
      <c r="K219" t="n">
        <v>23553</v>
      </c>
      <c r="L219" t="n">
        <v>2500</v>
      </c>
      <c r="M219" t="n">
        <v>1100</v>
      </c>
      <c r="N219" t="n">
        <v>2090</v>
      </c>
      <c r="O219" t="n">
        <v>3180</v>
      </c>
      <c r="P219" t="n">
        <v>4270</v>
      </c>
      <c r="Q219" t="n">
        <v>5360</v>
      </c>
      <c r="R219" t="n">
        <v>6450</v>
      </c>
      <c r="S219" t="n">
        <v>7540</v>
      </c>
      <c r="T219" t="n">
        <v>8630</v>
      </c>
      <c r="U219" t="n">
        <v>9720</v>
      </c>
      <c r="V219" t="n">
        <v>4719</v>
      </c>
      <c r="W219" t="n">
        <v>1872</v>
      </c>
      <c r="X219" t="n">
        <v>1654</v>
      </c>
      <c r="Y219" t="n">
        <v>7980</v>
      </c>
    </row>
    <row r="220">
      <c r="A220" t="n">
        <v>219</v>
      </c>
      <c r="B220" t="n">
        <v>0</v>
      </c>
      <c r="C220" t="n">
        <v>26495</v>
      </c>
      <c r="D220" t="n">
        <v>76723</v>
      </c>
      <c r="E220" t="n">
        <v>637891</v>
      </c>
      <c r="F220" t="n">
        <v>5229613</v>
      </c>
      <c r="G220" t="n">
        <v>41989638</v>
      </c>
      <c r="H220" t="n">
        <v>331334301</v>
      </c>
      <c r="I220" t="n">
        <v>2561704773</v>
      </c>
      <c r="J220" t="n">
        <v>2000</v>
      </c>
      <c r="K220" t="n">
        <v>23789</v>
      </c>
      <c r="L220" t="n">
        <v>2500</v>
      </c>
      <c r="M220" t="n">
        <v>1100</v>
      </c>
      <c r="N220" t="n">
        <v>2095</v>
      </c>
      <c r="O220" t="n">
        <v>3190</v>
      </c>
      <c r="P220" t="n">
        <v>4285</v>
      </c>
      <c r="Q220" t="n">
        <v>5380</v>
      </c>
      <c r="R220" t="n">
        <v>6475</v>
      </c>
      <c r="S220" t="n">
        <v>7570</v>
      </c>
      <c r="T220" t="n">
        <v>8665</v>
      </c>
      <c r="U220" t="n">
        <v>9760</v>
      </c>
      <c r="V220" t="n">
        <v>4747</v>
      </c>
      <c r="W220" t="n">
        <v>1876</v>
      </c>
      <c r="X220" t="n">
        <v>1657</v>
      </c>
      <c r="Y220" t="n">
        <v>7990</v>
      </c>
    </row>
    <row r="221">
      <c r="A221" t="n">
        <v>220</v>
      </c>
      <c r="B221" t="n">
        <v>0</v>
      </c>
      <c r="C221" t="n">
        <v>26893</v>
      </c>
      <c r="D221" t="n">
        <v>78258</v>
      </c>
      <c r="E221" t="n">
        <v>657028</v>
      </c>
      <c r="F221" t="n">
        <v>5438798</v>
      </c>
      <c r="G221" t="n">
        <v>44089120</v>
      </c>
      <c r="H221" t="n">
        <v>351214360</v>
      </c>
      <c r="I221" t="n">
        <v>2741024108</v>
      </c>
      <c r="J221" t="n">
        <v>2000</v>
      </c>
      <c r="K221" t="n">
        <v>24027</v>
      </c>
      <c r="L221" t="n">
        <v>2500</v>
      </c>
      <c r="M221" t="n">
        <v>1100</v>
      </c>
      <c r="N221" t="n">
        <v>2100</v>
      </c>
      <c r="O221" t="n">
        <v>3200</v>
      </c>
      <c r="P221" t="n">
        <v>4300</v>
      </c>
      <c r="Q221" t="n">
        <v>5400</v>
      </c>
      <c r="R221" t="n">
        <v>6500</v>
      </c>
      <c r="S221" t="n">
        <v>7600</v>
      </c>
      <c r="T221" t="n">
        <v>8700</v>
      </c>
      <c r="U221" t="n">
        <v>9800</v>
      </c>
      <c r="V221" t="n">
        <v>4775</v>
      </c>
      <c r="W221" t="n">
        <v>1880</v>
      </c>
      <c r="X221" t="n">
        <v>1660</v>
      </c>
      <c r="Y221" t="n">
        <v>8000</v>
      </c>
    </row>
    <row r="222">
      <c r="A222" t="n">
        <v>221</v>
      </c>
      <c r="B222" t="n">
        <v>0</v>
      </c>
      <c r="C222" t="n">
        <v>27297</v>
      </c>
      <c r="D222" t="n">
        <v>79824</v>
      </c>
      <c r="E222" t="n">
        <v>676739</v>
      </c>
      <c r="F222" t="n">
        <v>5656350</v>
      </c>
      <c r="G222" t="n">
        <v>46293576</v>
      </c>
      <c r="H222" t="n">
        <v>372287222</v>
      </c>
      <c r="I222" t="n">
        <v>2932895796</v>
      </c>
      <c r="J222" t="n">
        <v>2000</v>
      </c>
      <c r="K222" t="n">
        <v>24268</v>
      </c>
      <c r="L222" t="n">
        <v>2500</v>
      </c>
      <c r="M222" t="n">
        <v>1100</v>
      </c>
      <c r="N222" t="n">
        <v>2105</v>
      </c>
      <c r="O222" t="n">
        <v>3210</v>
      </c>
      <c r="P222" t="n">
        <v>4315</v>
      </c>
      <c r="Q222" t="n">
        <v>5420</v>
      </c>
      <c r="R222" t="n">
        <v>6525</v>
      </c>
      <c r="S222" t="n">
        <v>7630</v>
      </c>
      <c r="T222" t="n">
        <v>8735</v>
      </c>
      <c r="U222" t="n">
        <v>9840</v>
      </c>
      <c r="V222" t="n">
        <v>4803</v>
      </c>
      <c r="W222" t="n">
        <v>1884</v>
      </c>
      <c r="X222" t="n">
        <v>1663</v>
      </c>
      <c r="Y222" t="n">
        <v>8010</v>
      </c>
    </row>
    <row r="223">
      <c r="A223" t="n">
        <v>222</v>
      </c>
      <c r="B223" t="n">
        <v>0</v>
      </c>
      <c r="C223" t="n">
        <v>27707</v>
      </c>
      <c r="D223" t="n">
        <v>81421</v>
      </c>
      <c r="E223" t="n">
        <v>697042</v>
      </c>
      <c r="F223" t="n">
        <v>5882604</v>
      </c>
      <c r="G223" t="n">
        <v>48608255</v>
      </c>
      <c r="H223" t="n">
        <v>394624456</v>
      </c>
      <c r="I223" t="n">
        <v>3138198502</v>
      </c>
      <c r="J223" t="n">
        <v>2000</v>
      </c>
      <c r="K223" t="n">
        <v>24511</v>
      </c>
      <c r="L223" t="n">
        <v>2500</v>
      </c>
      <c r="M223" t="n">
        <v>1100</v>
      </c>
      <c r="N223" t="n">
        <v>2110</v>
      </c>
      <c r="O223" t="n">
        <v>3220</v>
      </c>
      <c r="P223" t="n">
        <v>4330</v>
      </c>
      <c r="Q223" t="n">
        <v>5440</v>
      </c>
      <c r="R223" t="n">
        <v>6550</v>
      </c>
      <c r="S223" t="n">
        <v>7660</v>
      </c>
      <c r="T223" t="n">
        <v>8770</v>
      </c>
      <c r="U223" t="n">
        <v>9880</v>
      </c>
      <c r="V223" t="n">
        <v>4832</v>
      </c>
      <c r="W223" t="n">
        <v>1888</v>
      </c>
      <c r="X223" t="n">
        <v>1666</v>
      </c>
      <c r="Y223" t="n">
        <v>8020</v>
      </c>
    </row>
    <row r="224">
      <c r="A224" t="n">
        <v>223</v>
      </c>
      <c r="B224" t="n">
        <v>0</v>
      </c>
      <c r="C224" t="n">
        <v>28123</v>
      </c>
      <c r="D224" t="n">
        <v>83050</v>
      </c>
      <c r="E224" t="n">
        <v>717954</v>
      </c>
      <c r="F224" t="n">
        <v>6117909</v>
      </c>
      <c r="G224" t="n">
        <v>51038668</v>
      </c>
      <c r="H224" t="n">
        <v>418301924</v>
      </c>
      <c r="I224" t="n">
        <v>3357872398</v>
      </c>
      <c r="J224" t="n">
        <v>2000</v>
      </c>
      <c r="K224" t="n">
        <v>24757</v>
      </c>
      <c r="L224" t="n">
        <v>2500</v>
      </c>
      <c r="M224" t="n">
        <v>1100</v>
      </c>
      <c r="N224" t="n">
        <v>2115</v>
      </c>
      <c r="O224" t="n">
        <v>3230</v>
      </c>
      <c r="P224" t="n">
        <v>4345</v>
      </c>
      <c r="Q224" t="n">
        <v>5460</v>
      </c>
      <c r="R224" t="n">
        <v>6575</v>
      </c>
      <c r="S224" t="n">
        <v>7690</v>
      </c>
      <c r="T224" t="n">
        <v>8805</v>
      </c>
      <c r="U224" t="n">
        <v>9920</v>
      </c>
      <c r="V224" t="n">
        <v>4861</v>
      </c>
      <c r="W224" t="n">
        <v>1892</v>
      </c>
      <c r="X224" t="n">
        <v>1669</v>
      </c>
      <c r="Y224" t="n">
        <v>8030</v>
      </c>
    </row>
    <row r="225">
      <c r="A225" t="n">
        <v>224</v>
      </c>
      <c r="B225" t="n">
        <v>0</v>
      </c>
      <c r="C225" t="n">
        <v>28545</v>
      </c>
      <c r="D225" t="n">
        <v>84711</v>
      </c>
      <c r="E225" t="n">
        <v>739493</v>
      </c>
      <c r="F225" t="n">
        <v>6362626</v>
      </c>
      <c r="G225" t="n">
        <v>53590602</v>
      </c>
      <c r="H225" t="n">
        <v>443400040</v>
      </c>
      <c r="I225" t="n">
        <v>3592923466</v>
      </c>
      <c r="J225" t="n">
        <v>2000</v>
      </c>
      <c r="K225" t="n">
        <v>25005</v>
      </c>
      <c r="L225" t="n">
        <v>2500</v>
      </c>
      <c r="M225" t="n">
        <v>1100</v>
      </c>
      <c r="N225" t="n">
        <v>2120</v>
      </c>
      <c r="O225" t="n">
        <v>3240</v>
      </c>
      <c r="P225" t="n">
        <v>4360</v>
      </c>
      <c r="Q225" t="n">
        <v>5480</v>
      </c>
      <c r="R225" t="n">
        <v>6600</v>
      </c>
      <c r="S225" t="n">
        <v>7720</v>
      </c>
      <c r="T225" t="n">
        <v>8840</v>
      </c>
      <c r="U225" t="n">
        <v>9960</v>
      </c>
      <c r="V225" t="n">
        <v>4890</v>
      </c>
      <c r="W225" t="n">
        <v>1896</v>
      </c>
      <c r="X225" t="n">
        <v>1672</v>
      </c>
      <c r="Y225" t="n">
        <v>8040</v>
      </c>
    </row>
    <row r="226">
      <c r="A226" t="n">
        <v>225</v>
      </c>
      <c r="B226" t="n">
        <v>0</v>
      </c>
      <c r="C226" t="n">
        <v>28974</v>
      </c>
      <c r="D226" t="n">
        <v>86406</v>
      </c>
      <c r="E226" t="n">
        <v>761678</v>
      </c>
      <c r="F226" t="n">
        <v>6617132</v>
      </c>
      <c r="G226" t="n">
        <v>56270133</v>
      </c>
      <c r="H226" t="n">
        <v>470004043</v>
      </c>
      <c r="I226" t="n">
        <v>3844428109</v>
      </c>
      <c r="J226" t="n">
        <v>2000</v>
      </c>
      <c r="K226" t="n">
        <v>25256</v>
      </c>
      <c r="L226" t="n">
        <v>2500</v>
      </c>
      <c r="M226" t="n">
        <v>1100</v>
      </c>
      <c r="N226" t="n">
        <v>2125</v>
      </c>
      <c r="O226" t="n">
        <v>3250</v>
      </c>
      <c r="P226" t="n">
        <v>4375</v>
      </c>
      <c r="Q226" t="n">
        <v>5500</v>
      </c>
      <c r="R226" t="n">
        <v>6625</v>
      </c>
      <c r="S226" t="n">
        <v>7750</v>
      </c>
      <c r="T226" t="n">
        <v>8875</v>
      </c>
      <c r="U226" t="n">
        <v>10000</v>
      </c>
      <c r="V226" t="n">
        <v>4919</v>
      </c>
      <c r="W226" t="n">
        <v>1900</v>
      </c>
      <c r="X226" t="n">
        <v>1675</v>
      </c>
      <c r="Y226" t="n">
        <v>8050</v>
      </c>
    </row>
    <row r="227">
      <c r="A227" t="n">
        <v>226</v>
      </c>
      <c r="B227" t="n">
        <v>0</v>
      </c>
      <c r="C227" t="n">
        <v>29409</v>
      </c>
      <c r="D227" t="n">
        <v>88135</v>
      </c>
      <c r="E227" t="n">
        <v>784529</v>
      </c>
      <c r="F227" t="n">
        <v>6881818</v>
      </c>
      <c r="G227" t="n">
        <v>59083640</v>
      </c>
      <c r="H227" t="n">
        <v>498204286</v>
      </c>
      <c r="I227" t="n">
        <v>4113538077</v>
      </c>
      <c r="J227" t="n">
        <v>2000</v>
      </c>
      <c r="K227" t="n">
        <v>25509</v>
      </c>
      <c r="L227" t="n">
        <v>2500</v>
      </c>
      <c r="M227" t="n">
        <v>1100</v>
      </c>
      <c r="N227" t="n">
        <v>2130</v>
      </c>
      <c r="O227" t="n">
        <v>3260</v>
      </c>
      <c r="P227" t="n">
        <v>4390</v>
      </c>
      <c r="Q227" t="n">
        <v>5520</v>
      </c>
      <c r="R227" t="n">
        <v>6650</v>
      </c>
      <c r="S227" t="n">
        <v>7780</v>
      </c>
      <c r="T227" t="n">
        <v>8910</v>
      </c>
      <c r="U227" t="n">
        <v>10040</v>
      </c>
      <c r="V227" t="n">
        <v>4948</v>
      </c>
      <c r="W227" t="n">
        <v>1904</v>
      </c>
      <c r="X227" t="n">
        <v>1678</v>
      </c>
      <c r="Y227" t="n">
        <v>8060</v>
      </c>
    </row>
    <row r="228">
      <c r="A228" t="n">
        <v>227</v>
      </c>
      <c r="B228" t="n">
        <v>0</v>
      </c>
      <c r="C228" t="n">
        <v>29851</v>
      </c>
      <c r="D228" t="n">
        <v>89898</v>
      </c>
      <c r="E228" t="n">
        <v>808065</v>
      </c>
      <c r="F228" t="n">
        <v>7157091</v>
      </c>
      <c r="G228" t="n">
        <v>62037822</v>
      </c>
      <c r="H228" t="n">
        <v>528096544</v>
      </c>
      <c r="I228" t="n">
        <v>4401485743</v>
      </c>
      <c r="J228" t="n">
        <v>2000</v>
      </c>
      <c r="K228" t="n">
        <v>25765</v>
      </c>
      <c r="L228" t="n">
        <v>2500</v>
      </c>
      <c r="M228" t="n">
        <v>1100</v>
      </c>
      <c r="N228" t="n">
        <v>2135</v>
      </c>
      <c r="O228" t="n">
        <v>3270</v>
      </c>
      <c r="P228" t="n">
        <v>4405</v>
      </c>
      <c r="Q228" t="n">
        <v>5540</v>
      </c>
      <c r="R228" t="n">
        <v>6675</v>
      </c>
      <c r="S228" t="n">
        <v>7810</v>
      </c>
      <c r="T228" t="n">
        <v>8945</v>
      </c>
      <c r="U228" t="n">
        <v>10080</v>
      </c>
      <c r="V228" t="n">
        <v>4977</v>
      </c>
      <c r="W228" t="n">
        <v>1908</v>
      </c>
      <c r="X228" t="n">
        <v>1681</v>
      </c>
      <c r="Y228" t="n">
        <v>8070</v>
      </c>
    </row>
    <row r="229">
      <c r="A229" t="n">
        <v>228</v>
      </c>
      <c r="B229" t="n">
        <v>0</v>
      </c>
      <c r="C229" t="n">
        <v>30299</v>
      </c>
      <c r="D229" t="n">
        <v>91696</v>
      </c>
      <c r="E229" t="n">
        <v>832307</v>
      </c>
      <c r="F229" t="n">
        <v>7443375</v>
      </c>
      <c r="G229" t="n">
        <v>65139714</v>
      </c>
      <c r="H229" t="n">
        <v>559782337</v>
      </c>
      <c r="I229" t="n">
        <v>4709589746</v>
      </c>
      <c r="J229" t="n">
        <v>2000</v>
      </c>
      <c r="K229" t="n">
        <v>26023</v>
      </c>
      <c r="L229" t="n">
        <v>2500</v>
      </c>
      <c r="M229" t="n">
        <v>1100</v>
      </c>
      <c r="N229" t="n">
        <v>2140</v>
      </c>
      <c r="O229" t="n">
        <v>3280</v>
      </c>
      <c r="P229" t="n">
        <v>4420</v>
      </c>
      <c r="Q229" t="n">
        <v>5560</v>
      </c>
      <c r="R229" t="n">
        <v>6700</v>
      </c>
      <c r="S229" t="n">
        <v>7840</v>
      </c>
      <c r="T229" t="n">
        <v>8980</v>
      </c>
      <c r="U229" t="n">
        <v>10120</v>
      </c>
      <c r="V229" t="n">
        <v>5006</v>
      </c>
      <c r="W229" t="n">
        <v>1912</v>
      </c>
      <c r="X229" t="n">
        <v>1684</v>
      </c>
      <c r="Y229" t="n">
        <v>8080</v>
      </c>
    </row>
    <row r="230">
      <c r="A230" t="n">
        <v>229</v>
      </c>
      <c r="B230" t="n">
        <v>0</v>
      </c>
      <c r="C230" t="n">
        <v>30754</v>
      </c>
      <c r="D230" t="n">
        <v>93530</v>
      </c>
      <c r="E230" t="n">
        <v>857277</v>
      </c>
      <c r="F230" t="n">
        <v>7741110</v>
      </c>
      <c r="G230" t="n">
        <v>68396700</v>
      </c>
      <c r="H230" t="n">
        <v>593369278</v>
      </c>
      <c r="I230" t="n">
        <v>5039261029</v>
      </c>
      <c r="J230" t="n">
        <v>2000</v>
      </c>
      <c r="K230" t="n">
        <v>26284</v>
      </c>
      <c r="L230" t="n">
        <v>2500</v>
      </c>
      <c r="M230" t="n">
        <v>1100</v>
      </c>
      <c r="N230" t="n">
        <v>2145</v>
      </c>
      <c r="O230" t="n">
        <v>3290</v>
      </c>
      <c r="P230" t="n">
        <v>4435</v>
      </c>
      <c r="Q230" t="n">
        <v>5580</v>
      </c>
      <c r="R230" t="n">
        <v>6725</v>
      </c>
      <c r="S230" t="n">
        <v>7870</v>
      </c>
      <c r="T230" t="n">
        <v>9015</v>
      </c>
      <c r="U230" t="n">
        <v>10160</v>
      </c>
      <c r="V230" t="n">
        <v>5036</v>
      </c>
      <c r="W230" t="n">
        <v>1916</v>
      </c>
      <c r="X230" t="n">
        <v>1687</v>
      </c>
      <c r="Y230" t="n">
        <v>8090</v>
      </c>
    </row>
    <row r="231">
      <c r="A231" t="n">
        <v>230</v>
      </c>
      <c r="B231" t="n">
        <v>0</v>
      </c>
      <c r="C231" t="n">
        <v>31216</v>
      </c>
      <c r="D231" t="n">
        <v>95401</v>
      </c>
      <c r="E231" t="n">
        <v>882996</v>
      </c>
      <c r="F231" t="n">
        <v>8050755</v>
      </c>
      <c r="G231" t="n">
        <v>71816535</v>
      </c>
      <c r="H231" t="n">
        <v>628971435</v>
      </c>
      <c r="I231" t="n">
        <v>5392009302</v>
      </c>
      <c r="J231" t="n">
        <v>2000</v>
      </c>
      <c r="K231" t="n">
        <v>26547</v>
      </c>
      <c r="L231" t="n">
        <v>2500</v>
      </c>
      <c r="M231" t="n">
        <v>1100</v>
      </c>
      <c r="N231" t="n">
        <v>2150</v>
      </c>
      <c r="O231" t="n">
        <v>3300</v>
      </c>
      <c r="P231" t="n">
        <v>4450</v>
      </c>
      <c r="Q231" t="n">
        <v>5600</v>
      </c>
      <c r="R231" t="n">
        <v>6750</v>
      </c>
      <c r="S231" t="n">
        <v>7900</v>
      </c>
      <c r="T231" t="n">
        <v>9050</v>
      </c>
      <c r="U231" t="n">
        <v>10200</v>
      </c>
      <c r="V231" t="n">
        <v>5066</v>
      </c>
      <c r="W231" t="n">
        <v>1920</v>
      </c>
      <c r="X231" t="n">
        <v>1690</v>
      </c>
      <c r="Y231" t="n">
        <v>8100</v>
      </c>
    </row>
    <row r="232">
      <c r="A232" t="n">
        <v>231</v>
      </c>
      <c r="B232" t="n">
        <v>0</v>
      </c>
      <c r="C232" t="n">
        <v>31685</v>
      </c>
      <c r="D232" t="n">
        <v>97310</v>
      </c>
      <c r="E232" t="n">
        <v>909486</v>
      </c>
      <c r="F232" t="n">
        <v>8372786</v>
      </c>
      <c r="G232" t="n">
        <v>75407362</v>
      </c>
      <c r="H232" t="n">
        <v>666709722</v>
      </c>
      <c r="I232" t="n">
        <v>5769449954</v>
      </c>
      <c r="J232" t="n">
        <v>2000</v>
      </c>
      <c r="K232" t="n">
        <v>26813</v>
      </c>
      <c r="L232" t="n">
        <v>2500</v>
      </c>
      <c r="M232" t="n">
        <v>1100</v>
      </c>
      <c r="N232" t="n">
        <v>2155</v>
      </c>
      <c r="O232" t="n">
        <v>3310</v>
      </c>
      <c r="P232" t="n">
        <v>4465</v>
      </c>
      <c r="Q232" t="n">
        <v>5620</v>
      </c>
      <c r="R232" t="n">
        <v>6775</v>
      </c>
      <c r="S232" t="n">
        <v>7930</v>
      </c>
      <c r="T232" t="n">
        <v>9085</v>
      </c>
      <c r="U232" t="n">
        <v>10240</v>
      </c>
      <c r="V232" t="n">
        <v>5096</v>
      </c>
      <c r="W232" t="n">
        <v>1924</v>
      </c>
      <c r="X232" t="n">
        <v>1693</v>
      </c>
      <c r="Y232" t="n">
        <v>8110</v>
      </c>
    </row>
    <row r="233">
      <c r="A233" t="n">
        <v>232</v>
      </c>
      <c r="B233" t="n">
        <v>0</v>
      </c>
      <c r="C233" t="n">
        <v>32161</v>
      </c>
      <c r="D233" t="n">
        <v>99257</v>
      </c>
      <c r="E233" t="n">
        <v>936771</v>
      </c>
      <c r="F233" t="n">
        <v>8707698</v>
      </c>
      <c r="G233" t="n">
        <v>79177731</v>
      </c>
      <c r="H233" t="n">
        <v>706712306</v>
      </c>
      <c r="I233" t="n">
        <v>6173311451</v>
      </c>
      <c r="J233" t="n">
        <v>2000</v>
      </c>
      <c r="K233" t="n">
        <v>27082</v>
      </c>
      <c r="L233" t="n">
        <v>2500</v>
      </c>
      <c r="M233" t="n">
        <v>1100</v>
      </c>
      <c r="N233" t="n">
        <v>2160</v>
      </c>
      <c r="O233" t="n">
        <v>3320</v>
      </c>
      <c r="P233" t="n">
        <v>4480</v>
      </c>
      <c r="Q233" t="n">
        <v>5640</v>
      </c>
      <c r="R233" t="n">
        <v>6800</v>
      </c>
      <c r="S233" t="n">
        <v>7960</v>
      </c>
      <c r="T233" t="n">
        <v>9120</v>
      </c>
      <c r="U233" t="n">
        <v>10280</v>
      </c>
      <c r="V233" t="n">
        <v>5126</v>
      </c>
      <c r="W233" t="n">
        <v>1928</v>
      </c>
      <c r="X233" t="n">
        <v>1696</v>
      </c>
      <c r="Y233" t="n">
        <v>8120</v>
      </c>
    </row>
    <row r="234">
      <c r="A234" t="n">
        <v>233</v>
      </c>
      <c r="B234" t="n">
        <v>0</v>
      </c>
      <c r="C234" t="n">
        <v>32644</v>
      </c>
      <c r="D234" t="n">
        <v>101243</v>
      </c>
      <c r="E234" t="n">
        <v>964875</v>
      </c>
      <c r="F234" t="n">
        <v>9056006</v>
      </c>
      <c r="G234" t="n">
        <v>83136618</v>
      </c>
      <c r="H234" t="n">
        <v>749115045</v>
      </c>
      <c r="I234" t="n">
        <v>6605443253</v>
      </c>
      <c r="J234" t="n">
        <v>2000</v>
      </c>
      <c r="K234" t="n">
        <v>27353</v>
      </c>
      <c r="L234" t="n">
        <v>2500</v>
      </c>
      <c r="M234" t="n">
        <v>1100</v>
      </c>
      <c r="N234" t="n">
        <v>2165</v>
      </c>
      <c r="O234" t="n">
        <v>3330</v>
      </c>
      <c r="P234" t="n">
        <v>4495</v>
      </c>
      <c r="Q234" t="n">
        <v>5660</v>
      </c>
      <c r="R234" t="n">
        <v>6825</v>
      </c>
      <c r="S234" t="n">
        <v>7990</v>
      </c>
      <c r="T234" t="n">
        <v>9155</v>
      </c>
      <c r="U234" t="n">
        <v>10320</v>
      </c>
      <c r="V234" t="n">
        <v>5156</v>
      </c>
      <c r="W234" t="n">
        <v>1932</v>
      </c>
      <c r="X234" t="n">
        <v>1699</v>
      </c>
      <c r="Y234" t="n">
        <v>8130</v>
      </c>
    </row>
    <row r="235">
      <c r="A235" t="n">
        <v>234</v>
      </c>
      <c r="B235" t="n">
        <v>0</v>
      </c>
      <c r="C235" t="n">
        <v>33134</v>
      </c>
      <c r="D235" t="n">
        <v>103268</v>
      </c>
      <c r="E235" t="n">
        <v>993822</v>
      </c>
      <c r="F235" t="n">
        <v>9418247</v>
      </c>
      <c r="G235" t="n">
        <v>87293449</v>
      </c>
      <c r="H235" t="n">
        <v>794061948</v>
      </c>
      <c r="I235" t="n">
        <v>7067824281</v>
      </c>
      <c r="J235" t="n">
        <v>2000</v>
      </c>
      <c r="K235" t="n">
        <v>27627</v>
      </c>
      <c r="L235" t="n">
        <v>2500</v>
      </c>
      <c r="M235" t="n">
        <v>1100</v>
      </c>
      <c r="N235" t="n">
        <v>2170</v>
      </c>
      <c r="O235" t="n">
        <v>3340</v>
      </c>
      <c r="P235" t="n">
        <v>4510</v>
      </c>
      <c r="Q235" t="n">
        <v>5680</v>
      </c>
      <c r="R235" t="n">
        <v>6850</v>
      </c>
      <c r="S235" t="n">
        <v>8020</v>
      </c>
      <c r="T235" t="n">
        <v>9190</v>
      </c>
      <c r="U235" t="n">
        <v>10360</v>
      </c>
      <c r="V235" t="n">
        <v>5186</v>
      </c>
      <c r="W235" t="n">
        <v>1936</v>
      </c>
      <c r="X235" t="n">
        <v>1702</v>
      </c>
      <c r="Y235" t="n">
        <v>8140</v>
      </c>
    </row>
    <row r="236">
      <c r="A236" t="n">
        <v>235</v>
      </c>
      <c r="B236" t="n">
        <v>0</v>
      </c>
      <c r="C236" t="n">
        <v>33632</v>
      </c>
      <c r="D236" t="n">
        <v>105334</v>
      </c>
      <c r="E236" t="n">
        <v>1023637</v>
      </c>
      <c r="F236" t="n">
        <v>9794977</v>
      </c>
      <c r="G236" t="n">
        <v>91658122</v>
      </c>
      <c r="H236" t="n">
        <v>841705665</v>
      </c>
      <c r="I236" t="n">
        <v>7562571981</v>
      </c>
      <c r="J236" t="n">
        <v>2000</v>
      </c>
      <c r="K236" t="n">
        <v>27904</v>
      </c>
      <c r="L236" t="n">
        <v>2500</v>
      </c>
      <c r="M236" t="n">
        <v>1100</v>
      </c>
      <c r="N236" t="n">
        <v>2175</v>
      </c>
      <c r="O236" t="n">
        <v>3350</v>
      </c>
      <c r="P236" t="n">
        <v>4525</v>
      </c>
      <c r="Q236" t="n">
        <v>5700</v>
      </c>
      <c r="R236" t="n">
        <v>6875</v>
      </c>
      <c r="S236" t="n">
        <v>8050</v>
      </c>
      <c r="T236" t="n">
        <v>9225</v>
      </c>
      <c r="U236" t="n">
        <v>10400</v>
      </c>
      <c r="V236" t="n">
        <v>5216</v>
      </c>
      <c r="W236" t="n">
        <v>1940</v>
      </c>
      <c r="X236" t="n">
        <v>1705</v>
      </c>
      <c r="Y236" t="n">
        <v>8150</v>
      </c>
    </row>
    <row r="237">
      <c r="A237" t="n">
        <v>236</v>
      </c>
      <c r="B237" t="n">
        <v>0</v>
      </c>
      <c r="C237" t="n">
        <v>34137</v>
      </c>
      <c r="D237" t="n">
        <v>107441</v>
      </c>
      <c r="E237" t="n">
        <v>1054347</v>
      </c>
      <c r="F237" t="n">
        <v>10186777</v>
      </c>
      <c r="G237" t="n">
        <v>96241029</v>
      </c>
      <c r="H237" t="n">
        <v>892208005</v>
      </c>
      <c r="I237" t="n">
        <v>8091952020</v>
      </c>
      <c r="J237" t="n">
        <v>2000</v>
      </c>
      <c r="K237" t="n">
        <v>28184</v>
      </c>
      <c r="L237" t="n">
        <v>2500</v>
      </c>
      <c r="M237" t="n">
        <v>1100</v>
      </c>
      <c r="N237" t="n">
        <v>2180</v>
      </c>
      <c r="O237" t="n">
        <v>3360</v>
      </c>
      <c r="P237" t="n">
        <v>4540</v>
      </c>
      <c r="Q237" t="n">
        <v>5720</v>
      </c>
      <c r="R237" t="n">
        <v>6900</v>
      </c>
      <c r="S237" t="n">
        <v>8080</v>
      </c>
      <c r="T237" t="n">
        <v>9260</v>
      </c>
      <c r="U237" t="n">
        <v>10440</v>
      </c>
      <c r="V237" t="n">
        <v>5247</v>
      </c>
      <c r="W237" t="n">
        <v>1944</v>
      </c>
      <c r="X237" t="n">
        <v>1708</v>
      </c>
      <c r="Y237" t="n">
        <v>8160</v>
      </c>
    </row>
    <row r="238">
      <c r="A238" t="n">
        <v>237</v>
      </c>
      <c r="B238" t="n">
        <v>0</v>
      </c>
      <c r="C238" t="n">
        <v>34650</v>
      </c>
      <c r="D238" t="n">
        <v>109590</v>
      </c>
      <c r="E238" t="n">
        <v>1085978</v>
      </c>
      <c r="F238" t="n">
        <v>10594249</v>
      </c>
      <c r="G238" t="n">
        <v>101053081</v>
      </c>
      <c r="H238" t="n">
        <v>945740486</v>
      </c>
      <c r="I238" t="n">
        <v>8658388662</v>
      </c>
      <c r="J238" t="n">
        <v>2000</v>
      </c>
      <c r="K238" t="n">
        <v>28466</v>
      </c>
      <c r="L238" t="n">
        <v>2500</v>
      </c>
      <c r="M238" t="n">
        <v>1100</v>
      </c>
      <c r="N238" t="n">
        <v>2185</v>
      </c>
      <c r="O238" t="n">
        <v>3370</v>
      </c>
      <c r="P238" t="n">
        <v>4555</v>
      </c>
      <c r="Q238" t="n">
        <v>5740</v>
      </c>
      <c r="R238" t="n">
        <v>6925</v>
      </c>
      <c r="S238" t="n">
        <v>8110</v>
      </c>
      <c r="T238" t="n">
        <v>9295</v>
      </c>
      <c r="U238" t="n">
        <v>10480</v>
      </c>
      <c r="V238" t="n">
        <v>5278</v>
      </c>
      <c r="W238" t="n">
        <v>1948</v>
      </c>
      <c r="X238" t="n">
        <v>1711</v>
      </c>
      <c r="Y238" t="n">
        <v>8170</v>
      </c>
    </row>
    <row r="239">
      <c r="A239" t="n">
        <v>238</v>
      </c>
      <c r="B239" t="n">
        <v>0</v>
      </c>
      <c r="C239" t="n">
        <v>35170</v>
      </c>
      <c r="D239" t="n">
        <v>111782</v>
      </c>
      <c r="E239" t="n">
        <v>1118558</v>
      </c>
      <c r="F239" t="n">
        <v>11018019</v>
      </c>
      <c r="G239" t="n">
        <v>106105736</v>
      </c>
      <c r="H239" t="n">
        <v>1002484916</v>
      </c>
      <c r="I239" t="n">
        <v>9264475869</v>
      </c>
      <c r="J239" t="n">
        <v>2000</v>
      </c>
      <c r="K239" t="n">
        <v>28751</v>
      </c>
      <c r="L239" t="n">
        <v>2500</v>
      </c>
      <c r="M239" t="n">
        <v>1100</v>
      </c>
      <c r="N239" t="n">
        <v>2190</v>
      </c>
      <c r="O239" t="n">
        <v>3380</v>
      </c>
      <c r="P239" t="n">
        <v>4570</v>
      </c>
      <c r="Q239" t="n">
        <v>5760</v>
      </c>
      <c r="R239" t="n">
        <v>6950</v>
      </c>
      <c r="S239" t="n">
        <v>8140</v>
      </c>
      <c r="T239" t="n">
        <v>9330</v>
      </c>
      <c r="U239" t="n">
        <v>10520</v>
      </c>
      <c r="V239" t="n">
        <v>5309</v>
      </c>
      <c r="W239" t="n">
        <v>1952</v>
      </c>
      <c r="X239" t="n">
        <v>1714</v>
      </c>
      <c r="Y239" t="n">
        <v>8180</v>
      </c>
    </row>
    <row r="240">
      <c r="A240" t="n">
        <v>239</v>
      </c>
      <c r="B240" t="n">
        <v>0</v>
      </c>
      <c r="C240" t="n">
        <v>35698</v>
      </c>
      <c r="D240" t="n">
        <v>114018</v>
      </c>
      <c r="E240" t="n">
        <v>1152115</v>
      </c>
      <c r="F240" t="n">
        <v>11458740</v>
      </c>
      <c r="G240" t="n">
        <v>111411023</v>
      </c>
      <c r="H240" t="n">
        <v>1062634011</v>
      </c>
      <c r="I240" t="n">
        <v>9912989180</v>
      </c>
      <c r="J240" t="n">
        <v>2000</v>
      </c>
      <c r="K240" t="n">
        <v>29039</v>
      </c>
      <c r="L240" t="n">
        <v>2500</v>
      </c>
      <c r="M240" t="n">
        <v>1100</v>
      </c>
      <c r="N240" t="n">
        <v>2195</v>
      </c>
      <c r="O240" t="n">
        <v>3390</v>
      </c>
      <c r="P240" t="n">
        <v>4585</v>
      </c>
      <c r="Q240" t="n">
        <v>5780</v>
      </c>
      <c r="R240" t="n">
        <v>6975</v>
      </c>
      <c r="S240" t="n">
        <v>8170</v>
      </c>
      <c r="T240" t="n">
        <v>9365</v>
      </c>
      <c r="U240" t="n">
        <v>10560</v>
      </c>
      <c r="V240" t="n">
        <v>5340</v>
      </c>
      <c r="W240" t="n">
        <v>1956</v>
      </c>
      <c r="X240" t="n">
        <v>1717</v>
      </c>
      <c r="Y240" t="n">
        <v>8190</v>
      </c>
    </row>
    <row r="241">
      <c r="A241" t="n">
        <v>240</v>
      </c>
      <c r="B241" t="n">
        <v>0</v>
      </c>
      <c r="C241" t="n">
        <v>36234</v>
      </c>
      <c r="D241" t="n">
        <v>116299</v>
      </c>
      <c r="E241" t="n">
        <v>1186679</v>
      </c>
      <c r="F241" t="n">
        <v>11917090</v>
      </c>
      <c r="G241" t="n">
        <v>116981575</v>
      </c>
      <c r="H241" t="n">
        <v>1126392052</v>
      </c>
      <c r="I241" t="n">
        <v>10606898423</v>
      </c>
      <c r="J241" t="n">
        <v>2000</v>
      </c>
      <c r="K241" t="n">
        <v>29330</v>
      </c>
      <c r="L241" t="n">
        <v>2500</v>
      </c>
      <c r="M241" t="n">
        <v>1100</v>
      </c>
      <c r="N241" t="n">
        <v>2200</v>
      </c>
      <c r="O241" t="n">
        <v>3400</v>
      </c>
      <c r="P241" t="n">
        <v>4600</v>
      </c>
      <c r="Q241" t="n">
        <v>5800</v>
      </c>
      <c r="R241" t="n">
        <v>7000</v>
      </c>
      <c r="S241" t="n">
        <v>8200</v>
      </c>
      <c r="T241" t="n">
        <v>9400</v>
      </c>
      <c r="U241" t="n">
        <v>10600</v>
      </c>
      <c r="V241" t="n">
        <v>5371</v>
      </c>
      <c r="W241" t="n">
        <v>1960</v>
      </c>
      <c r="X241" t="n">
        <v>1720</v>
      </c>
      <c r="Y241" t="n">
        <v>8200</v>
      </c>
    </row>
    <row r="242">
      <c r="A242" t="n">
        <v>241</v>
      </c>
      <c r="B242" t="n">
        <v>0</v>
      </c>
      <c r="C242" t="n">
        <v>36778</v>
      </c>
      <c r="D242" t="n">
        <v>118625</v>
      </c>
      <c r="E242" t="n">
        <v>1222280</v>
      </c>
      <c r="F242" t="n">
        <v>12393774</v>
      </c>
      <c r="G242" t="n">
        <v>122830654</v>
      </c>
      <c r="H242" t="n">
        <v>1193975576</v>
      </c>
      <c r="I242" t="n">
        <v>11349381313</v>
      </c>
      <c r="J242" t="n">
        <v>2000</v>
      </c>
      <c r="K242" t="n">
        <v>29624</v>
      </c>
      <c r="L242" t="n">
        <v>2500</v>
      </c>
      <c r="M242" t="n">
        <v>1100</v>
      </c>
      <c r="N242" t="n">
        <v>2205</v>
      </c>
      <c r="O242" t="n">
        <v>3410</v>
      </c>
      <c r="P242" t="n">
        <v>4615</v>
      </c>
      <c r="Q242" t="n">
        <v>5820</v>
      </c>
      <c r="R242" t="n">
        <v>7025</v>
      </c>
      <c r="S242" t="n">
        <v>8230</v>
      </c>
      <c r="T242" t="n">
        <v>9435</v>
      </c>
      <c r="U242" t="n">
        <v>10640</v>
      </c>
      <c r="V242" t="n">
        <v>5402</v>
      </c>
      <c r="W242" t="n">
        <v>1964</v>
      </c>
      <c r="X242" t="n">
        <v>1723</v>
      </c>
      <c r="Y242" t="n">
        <v>8210</v>
      </c>
    </row>
    <row r="243">
      <c r="A243" t="n">
        <v>242</v>
      </c>
      <c r="B243" t="n">
        <v>0</v>
      </c>
      <c r="C243" t="n">
        <v>37330</v>
      </c>
      <c r="D243" t="n">
        <v>120998</v>
      </c>
      <c r="E243" t="n">
        <v>1258949</v>
      </c>
      <c r="F243" t="n">
        <v>12889525</v>
      </c>
      <c r="G243" t="n">
        <v>128972187</v>
      </c>
      <c r="H243" t="n">
        <v>1265614111</v>
      </c>
      <c r="I243" t="n">
        <v>12143838005</v>
      </c>
      <c r="J243" t="n">
        <v>2000</v>
      </c>
      <c r="K243" t="n">
        <v>29921</v>
      </c>
      <c r="L243" t="n">
        <v>2500</v>
      </c>
      <c r="M243" t="n">
        <v>1100</v>
      </c>
      <c r="N243" t="n">
        <v>2210</v>
      </c>
      <c r="O243" t="n">
        <v>3420</v>
      </c>
      <c r="P243" t="n">
        <v>4630</v>
      </c>
      <c r="Q243" t="n">
        <v>5840</v>
      </c>
      <c r="R243" t="n">
        <v>7050</v>
      </c>
      <c r="S243" t="n">
        <v>8260</v>
      </c>
      <c r="T243" t="n">
        <v>9470</v>
      </c>
      <c r="U243" t="n">
        <v>10680</v>
      </c>
      <c r="V243" t="n">
        <v>5434</v>
      </c>
      <c r="W243" t="n">
        <v>1968</v>
      </c>
      <c r="X243" t="n">
        <v>1726</v>
      </c>
      <c r="Y243" t="n">
        <v>8220</v>
      </c>
    </row>
    <row r="244">
      <c r="A244" t="n">
        <v>243</v>
      </c>
      <c r="B244" t="n">
        <v>0</v>
      </c>
      <c r="C244" t="n">
        <v>37890</v>
      </c>
      <c r="D244" t="n">
        <v>123418</v>
      </c>
      <c r="E244" t="n">
        <v>1296718</v>
      </c>
      <c r="F244" t="n">
        <v>13405106</v>
      </c>
      <c r="G244" t="n">
        <v>135420797</v>
      </c>
      <c r="H244" t="n">
        <v>1341550958</v>
      </c>
      <c r="I244" t="n">
        <v>12993906666</v>
      </c>
      <c r="J244" t="n">
        <v>2000</v>
      </c>
      <c r="K244" t="n">
        <v>30221</v>
      </c>
      <c r="L244" t="n">
        <v>2500</v>
      </c>
      <c r="M244" t="n">
        <v>1100</v>
      </c>
      <c r="N244" t="n">
        <v>2215</v>
      </c>
      <c r="O244" t="n">
        <v>3430</v>
      </c>
      <c r="P244" t="n">
        <v>4645</v>
      </c>
      <c r="Q244" t="n">
        <v>5860</v>
      </c>
      <c r="R244" t="n">
        <v>7075</v>
      </c>
      <c r="S244" t="n">
        <v>8290</v>
      </c>
      <c r="T244" t="n">
        <v>9505</v>
      </c>
      <c r="U244" t="n">
        <v>10720</v>
      </c>
      <c r="V244" t="n">
        <v>5466</v>
      </c>
      <c r="W244" t="n">
        <v>1972</v>
      </c>
      <c r="X244" t="n">
        <v>1729</v>
      </c>
      <c r="Y244" t="n">
        <v>8230</v>
      </c>
    </row>
    <row r="245">
      <c r="A245" t="n">
        <v>244</v>
      </c>
      <c r="B245" t="n">
        <v>0</v>
      </c>
      <c r="C245" t="n">
        <v>38459</v>
      </c>
      <c r="D245" t="n">
        <v>125887</v>
      </c>
      <c r="E245" t="n">
        <v>1335620</v>
      </c>
      <c r="F245" t="n">
        <v>13941311</v>
      </c>
      <c r="G245" t="n">
        <v>142191837</v>
      </c>
      <c r="H245" t="n">
        <v>1422044016</v>
      </c>
      <c r="I245" t="n">
        <v>13903480133</v>
      </c>
      <c r="J245" t="n">
        <v>2000</v>
      </c>
      <c r="K245" t="n">
        <v>30524</v>
      </c>
      <c r="L245" t="n">
        <v>2500</v>
      </c>
      <c r="M245" t="n">
        <v>1100</v>
      </c>
      <c r="N245" t="n">
        <v>2220</v>
      </c>
      <c r="O245" t="n">
        <v>3440</v>
      </c>
      <c r="P245" t="n">
        <v>4660</v>
      </c>
      <c r="Q245" t="n">
        <v>5880</v>
      </c>
      <c r="R245" t="n">
        <v>7100</v>
      </c>
      <c r="S245" t="n">
        <v>8320</v>
      </c>
      <c r="T245" t="n">
        <v>9540</v>
      </c>
      <c r="U245" t="n">
        <v>10760</v>
      </c>
      <c r="V245" t="n">
        <v>5498</v>
      </c>
      <c r="W245" t="n">
        <v>1976</v>
      </c>
      <c r="X245" t="n">
        <v>1732</v>
      </c>
      <c r="Y245" t="n">
        <v>8240</v>
      </c>
    </row>
    <row r="246">
      <c r="A246" t="n">
        <v>245</v>
      </c>
      <c r="B246" t="n">
        <v>0</v>
      </c>
      <c r="C246" t="n">
        <v>39036</v>
      </c>
      <c r="D246" t="n">
        <v>128405</v>
      </c>
      <c r="E246" t="n">
        <v>1375689</v>
      </c>
      <c r="F246" t="n">
        <v>14498964</v>
      </c>
      <c r="G246" t="n">
        <v>149301429</v>
      </c>
      <c r="H246" t="n">
        <v>1507366657</v>
      </c>
      <c r="I246" t="n">
        <v>14876723743</v>
      </c>
      <c r="J246" t="n">
        <v>2000</v>
      </c>
      <c r="K246" t="n">
        <v>30830</v>
      </c>
      <c r="L246" t="n">
        <v>2500</v>
      </c>
      <c r="M246" t="n">
        <v>1100</v>
      </c>
      <c r="N246" t="n">
        <v>2225</v>
      </c>
      <c r="O246" t="n">
        <v>3450</v>
      </c>
      <c r="P246" t="n">
        <v>4675</v>
      </c>
      <c r="Q246" t="n">
        <v>5900</v>
      </c>
      <c r="R246" t="n">
        <v>7125</v>
      </c>
      <c r="S246" t="n">
        <v>8350</v>
      </c>
      <c r="T246" t="n">
        <v>9575</v>
      </c>
      <c r="U246" t="n">
        <v>10800</v>
      </c>
      <c r="V246" t="n">
        <v>5530</v>
      </c>
      <c r="W246" t="n">
        <v>1980</v>
      </c>
      <c r="X246" t="n">
        <v>1735</v>
      </c>
      <c r="Y246" t="n">
        <v>8250</v>
      </c>
    </row>
    <row r="247">
      <c r="A247" t="n">
        <v>246</v>
      </c>
      <c r="B247" t="n">
        <v>0</v>
      </c>
      <c r="C247" t="n">
        <v>39622</v>
      </c>
      <c r="D247" t="n">
        <v>130974</v>
      </c>
      <c r="E247" t="n">
        <v>1416960</v>
      </c>
      <c r="F247" t="n">
        <v>15078923</v>
      </c>
      <c r="G247" t="n">
        <v>156766501</v>
      </c>
      <c r="H247" t="n">
        <v>1597808657</v>
      </c>
      <c r="I247" t="n">
        <v>15918094406</v>
      </c>
      <c r="J247" t="n">
        <v>2000</v>
      </c>
      <c r="K247" t="n">
        <v>31139</v>
      </c>
      <c r="L247" t="n">
        <v>2500</v>
      </c>
      <c r="M247" t="n">
        <v>1100</v>
      </c>
      <c r="N247" t="n">
        <v>2230</v>
      </c>
      <c r="O247" t="n">
        <v>3460</v>
      </c>
      <c r="P247" t="n">
        <v>4690</v>
      </c>
      <c r="Q247" t="n">
        <v>5920</v>
      </c>
      <c r="R247" t="n">
        <v>7150</v>
      </c>
      <c r="S247" t="n">
        <v>8380</v>
      </c>
      <c r="T247" t="n">
        <v>9610</v>
      </c>
      <c r="U247" t="n">
        <v>10840</v>
      </c>
      <c r="V247" t="n">
        <v>5562</v>
      </c>
      <c r="W247" t="n">
        <v>1984</v>
      </c>
      <c r="X247" t="n">
        <v>1738</v>
      </c>
      <c r="Y247" t="n">
        <v>8260</v>
      </c>
    </row>
    <row r="248">
      <c r="A248" t="n">
        <v>247</v>
      </c>
      <c r="B248" t="n">
        <v>0</v>
      </c>
      <c r="C248" t="n">
        <v>40217</v>
      </c>
      <c r="D248" t="n">
        <v>133594</v>
      </c>
      <c r="E248" t="n">
        <v>1459469</v>
      </c>
      <c r="F248" t="n">
        <v>15682080</v>
      </c>
      <c r="G248" t="n">
        <v>164604827</v>
      </c>
      <c r="H248" t="n">
        <v>1693677177</v>
      </c>
      <c r="I248" t="n">
        <v>17032361015</v>
      </c>
      <c r="J248" t="n">
        <v>2000</v>
      </c>
      <c r="K248" t="n">
        <v>31451</v>
      </c>
      <c r="L248" t="n">
        <v>2500</v>
      </c>
      <c r="M248" t="n">
        <v>1100</v>
      </c>
      <c r="N248" t="n">
        <v>2235</v>
      </c>
      <c r="O248" t="n">
        <v>3470</v>
      </c>
      <c r="P248" t="n">
        <v>4705</v>
      </c>
      <c r="Q248" t="n">
        <v>5940</v>
      </c>
      <c r="R248" t="n">
        <v>7175</v>
      </c>
      <c r="S248" t="n">
        <v>8410</v>
      </c>
      <c r="T248" t="n">
        <v>9645</v>
      </c>
      <c r="U248" t="n">
        <v>10880</v>
      </c>
      <c r="V248" t="n">
        <v>5594</v>
      </c>
      <c r="W248" t="n">
        <v>1988</v>
      </c>
      <c r="X248" t="n">
        <v>1741</v>
      </c>
      <c r="Y248" t="n">
        <v>8270</v>
      </c>
    </row>
    <row r="249">
      <c r="A249" t="n">
        <v>248</v>
      </c>
      <c r="B249" t="n">
        <v>0</v>
      </c>
      <c r="C249" t="n">
        <v>40821</v>
      </c>
      <c r="D249" t="n">
        <v>136266</v>
      </c>
      <c r="E249" t="n">
        <v>1503254</v>
      </c>
      <c r="F249" t="n">
        <v>16309364</v>
      </c>
      <c r="G249" t="n">
        <v>172835069</v>
      </c>
      <c r="H249" t="n">
        <v>1795297808</v>
      </c>
      <c r="I249" t="n">
        <v>18224626287</v>
      </c>
      <c r="J249" t="n">
        <v>2000</v>
      </c>
      <c r="K249" t="n">
        <v>31766</v>
      </c>
      <c r="L249" t="n">
        <v>2500</v>
      </c>
      <c r="M249" t="n">
        <v>1100</v>
      </c>
      <c r="N249" t="n">
        <v>2240</v>
      </c>
      <c r="O249" t="n">
        <v>3480</v>
      </c>
      <c r="P249" t="n">
        <v>4720</v>
      </c>
      <c r="Q249" t="n">
        <v>5960</v>
      </c>
      <c r="R249" t="n">
        <v>7200</v>
      </c>
      <c r="S249" t="n">
        <v>8440</v>
      </c>
      <c r="T249" t="n">
        <v>9680</v>
      </c>
      <c r="U249" t="n">
        <v>10920</v>
      </c>
      <c r="V249" t="n">
        <v>5626</v>
      </c>
      <c r="W249" t="n">
        <v>1992</v>
      </c>
      <c r="X249" t="n">
        <v>1744</v>
      </c>
      <c r="Y249" t="n">
        <v>8280</v>
      </c>
    </row>
    <row r="250">
      <c r="A250" t="n">
        <v>249</v>
      </c>
      <c r="B250" t="n">
        <v>0</v>
      </c>
      <c r="C250" t="n">
        <v>41434</v>
      </c>
      <c r="D250" t="n">
        <v>138992</v>
      </c>
      <c r="E250" t="n">
        <v>1548352</v>
      </c>
      <c r="F250" t="n">
        <v>16961739</v>
      </c>
      <c r="G250" t="n">
        <v>181476823</v>
      </c>
      <c r="H250" t="n">
        <v>1903015677</v>
      </c>
      <c r="I250" t="n">
        <v>19500350128</v>
      </c>
      <c r="J250" t="n">
        <v>2000</v>
      </c>
      <c r="K250" t="n">
        <v>32084</v>
      </c>
      <c r="L250" t="n">
        <v>2500</v>
      </c>
      <c r="M250" t="n">
        <v>1100</v>
      </c>
      <c r="N250" t="n">
        <v>2245</v>
      </c>
      <c r="O250" t="n">
        <v>3490</v>
      </c>
      <c r="P250" t="n">
        <v>4735</v>
      </c>
      <c r="Q250" t="n">
        <v>5980</v>
      </c>
      <c r="R250" t="n">
        <v>7225</v>
      </c>
      <c r="S250" t="n">
        <v>8470</v>
      </c>
      <c r="T250" t="n">
        <v>9715</v>
      </c>
      <c r="U250" t="n">
        <v>10960</v>
      </c>
      <c r="V250" t="n">
        <v>5659</v>
      </c>
      <c r="W250" t="n">
        <v>1996</v>
      </c>
      <c r="X250" t="n">
        <v>1747</v>
      </c>
      <c r="Y250" t="n">
        <v>8290</v>
      </c>
    </row>
    <row r="251">
      <c r="A251" t="n">
        <v>250</v>
      </c>
      <c r="B251" t="n">
        <v>0</v>
      </c>
      <c r="C251" t="n">
        <v>42056</v>
      </c>
      <c r="D251" t="n">
        <v>141772</v>
      </c>
      <c r="E251" t="n">
        <v>1594803</v>
      </c>
      <c r="F251" t="n">
        <v>17640209</v>
      </c>
      <c r="G251" t="n">
        <v>190550665</v>
      </c>
      <c r="H251" t="n">
        <v>2017196618</v>
      </c>
      <c r="I251" t="n">
        <v>20865374637</v>
      </c>
      <c r="J251" t="n">
        <v>2000</v>
      </c>
      <c r="K251" t="n">
        <v>32405</v>
      </c>
      <c r="L251" t="n">
        <v>2500</v>
      </c>
      <c r="M251" t="n">
        <v>1100</v>
      </c>
      <c r="N251" t="n">
        <v>2250</v>
      </c>
      <c r="O251" t="n">
        <v>3500</v>
      </c>
      <c r="P251" t="n">
        <v>4750</v>
      </c>
      <c r="Q251" t="n">
        <v>6000</v>
      </c>
      <c r="R251" t="n">
        <v>7250</v>
      </c>
      <c r="S251" t="n">
        <v>8500</v>
      </c>
      <c r="T251" t="n">
        <v>9750</v>
      </c>
      <c r="U251" t="n">
        <v>11000</v>
      </c>
      <c r="V251" t="n">
        <v>5692</v>
      </c>
      <c r="W251" t="n">
        <v>2000</v>
      </c>
      <c r="X251" t="n">
        <v>1750</v>
      </c>
      <c r="Y251" t="n">
        <v>8300</v>
      </c>
    </row>
    <row r="252">
      <c r="A252" t="n">
        <v>251</v>
      </c>
      <c r="B252" t="n">
        <v>0</v>
      </c>
      <c r="C252" t="n">
        <v>42687</v>
      </c>
      <c r="D252" t="n">
        <v>144608</v>
      </c>
      <c r="E252" t="n">
        <v>1642648</v>
      </c>
      <c r="F252" t="n">
        <v>18345818</v>
      </c>
      <c r="G252" t="n">
        <v>200078199</v>
      </c>
      <c r="H252" t="n">
        <v>2138228416</v>
      </c>
      <c r="I252" t="n">
        <v>22325950862</v>
      </c>
      <c r="J252" t="n">
        <v>2000</v>
      </c>
      <c r="K252" t="n">
        <v>32730</v>
      </c>
      <c r="L252" t="n">
        <v>2500</v>
      </c>
      <c r="M252" t="n">
        <v>1100</v>
      </c>
      <c r="N252" t="n">
        <v>2255</v>
      </c>
      <c r="O252" t="n">
        <v>3510</v>
      </c>
      <c r="P252" t="n">
        <v>4765</v>
      </c>
      <c r="Q252" t="n">
        <v>6020</v>
      </c>
      <c r="R252" t="n">
        <v>7275</v>
      </c>
      <c r="S252" t="n">
        <v>8530</v>
      </c>
      <c r="T252" t="n">
        <v>9785</v>
      </c>
      <c r="U252" t="n">
        <v>11040</v>
      </c>
      <c r="V252" t="n">
        <v>5725</v>
      </c>
      <c r="W252" t="n">
        <v>2004</v>
      </c>
      <c r="X252" t="n">
        <v>1753</v>
      </c>
      <c r="Y252" t="n">
        <v>8310</v>
      </c>
    </row>
    <row r="253">
      <c r="A253" t="n">
        <v>252</v>
      </c>
      <c r="B253" t="n">
        <v>0</v>
      </c>
      <c r="C253" t="n">
        <v>43328</v>
      </c>
      <c r="D253" t="n">
        <v>147501</v>
      </c>
      <c r="E253" t="n">
        <v>1691928</v>
      </c>
      <c r="F253" t="n">
        <v>19079651</v>
      </c>
      <c r="G253" t="n">
        <v>210082109</v>
      </c>
      <c r="H253" t="n">
        <v>2266522121</v>
      </c>
      <c r="I253" t="n">
        <v>23888767423</v>
      </c>
      <c r="J253" t="n">
        <v>2000</v>
      </c>
      <c r="K253" t="n">
        <v>33058</v>
      </c>
      <c r="L253" t="n">
        <v>2500</v>
      </c>
      <c r="M253" t="n">
        <v>1100</v>
      </c>
      <c r="N253" t="n">
        <v>2260</v>
      </c>
      <c r="O253" t="n">
        <v>3520</v>
      </c>
      <c r="P253" t="n">
        <v>4780</v>
      </c>
      <c r="Q253" t="n">
        <v>6040</v>
      </c>
      <c r="R253" t="n">
        <v>7300</v>
      </c>
      <c r="S253" t="n">
        <v>8560</v>
      </c>
      <c r="T253" t="n">
        <v>9820</v>
      </c>
      <c r="U253" t="n">
        <v>11080</v>
      </c>
      <c r="V253" t="n">
        <v>5758</v>
      </c>
      <c r="W253" t="n">
        <v>2008</v>
      </c>
      <c r="X253" t="n">
        <v>1756</v>
      </c>
      <c r="Y253" t="n">
        <v>8320</v>
      </c>
    </row>
    <row r="254">
      <c r="A254" t="n">
        <v>253</v>
      </c>
      <c r="B254" t="n">
        <v>0</v>
      </c>
      <c r="C254" t="n">
        <v>43978</v>
      </c>
      <c r="D254" t="n">
        <v>150452</v>
      </c>
      <c r="E254" t="n">
        <v>1742686</v>
      </c>
      <c r="F254" t="n">
        <v>19842838</v>
      </c>
      <c r="G254" t="n">
        <v>220586215</v>
      </c>
      <c r="H254" t="n">
        <v>2402513449</v>
      </c>
      <c r="I254" t="n">
        <v>25560981143</v>
      </c>
      <c r="J254" t="n">
        <v>2000</v>
      </c>
      <c r="K254" t="n">
        <v>33389</v>
      </c>
      <c r="L254" t="n">
        <v>2500</v>
      </c>
      <c r="M254" t="n">
        <v>1100</v>
      </c>
      <c r="N254" t="n">
        <v>2265</v>
      </c>
      <c r="O254" t="n">
        <v>3530</v>
      </c>
      <c r="P254" t="n">
        <v>4795</v>
      </c>
      <c r="Q254" t="n">
        <v>6060</v>
      </c>
      <c r="R254" t="n">
        <v>7325</v>
      </c>
      <c r="S254" t="n">
        <v>8590</v>
      </c>
      <c r="T254" t="n">
        <v>9855</v>
      </c>
      <c r="U254" t="n">
        <v>11120</v>
      </c>
      <c r="V254" t="n">
        <v>5791</v>
      </c>
      <c r="W254" t="n">
        <v>2012</v>
      </c>
      <c r="X254" t="n">
        <v>1759</v>
      </c>
      <c r="Y254" t="n">
        <v>8330</v>
      </c>
    </row>
    <row r="255">
      <c r="A255" t="n">
        <v>254</v>
      </c>
      <c r="B255" t="n">
        <v>0</v>
      </c>
      <c r="C255" t="n">
        <v>44638</v>
      </c>
      <c r="D255" t="n">
        <v>153462</v>
      </c>
      <c r="E255" t="n">
        <v>1794967</v>
      </c>
      <c r="F255" t="n">
        <v>20636552</v>
      </c>
      <c r="G255" t="n">
        <v>231615526</v>
      </c>
      <c r="H255" t="n">
        <v>2546664256</v>
      </c>
      <c r="I255" t="n">
        <v>27350249824</v>
      </c>
      <c r="J255" t="n">
        <v>2000</v>
      </c>
      <c r="K255" t="n">
        <v>33723</v>
      </c>
      <c r="L255" t="n">
        <v>2500</v>
      </c>
      <c r="M255" t="n">
        <v>1100</v>
      </c>
      <c r="N255" t="n">
        <v>2270</v>
      </c>
      <c r="O255" t="n">
        <v>3540</v>
      </c>
      <c r="P255" t="n">
        <v>4810</v>
      </c>
      <c r="Q255" t="n">
        <v>6080</v>
      </c>
      <c r="R255" t="n">
        <v>7350</v>
      </c>
      <c r="S255" t="n">
        <v>8620</v>
      </c>
      <c r="T255" t="n">
        <v>9890</v>
      </c>
      <c r="U255" t="n">
        <v>11160</v>
      </c>
      <c r="V255" t="n">
        <v>5824</v>
      </c>
      <c r="W255" t="n">
        <v>2016</v>
      </c>
      <c r="X255" t="n">
        <v>1762</v>
      </c>
      <c r="Y255" t="n">
        <v>8340</v>
      </c>
    </row>
    <row r="256">
      <c r="A256" t="n">
        <v>255</v>
      </c>
      <c r="B256" t="n">
        <v>0</v>
      </c>
      <c r="C256" t="n">
        <v>45308</v>
      </c>
      <c r="D256" t="n">
        <v>156532</v>
      </c>
      <c r="E256" t="n">
        <v>1848817</v>
      </c>
      <c r="F256" t="n">
        <v>21462015</v>
      </c>
      <c r="G256" t="n">
        <v>243196303</v>
      </c>
      <c r="H256" t="n">
        <v>2699464112</v>
      </c>
      <c r="I256" t="n">
        <v>29264767312</v>
      </c>
      <c r="J256" t="n">
        <v>2000</v>
      </c>
      <c r="K256" t="n">
        <v>34061</v>
      </c>
      <c r="L256" t="n">
        <v>2500</v>
      </c>
      <c r="M256" t="n">
        <v>1100</v>
      </c>
      <c r="N256" t="n">
        <v>2275</v>
      </c>
      <c r="O256" t="n">
        <v>3550</v>
      </c>
      <c r="P256" t="n">
        <v>4825</v>
      </c>
      <c r="Q256" t="n">
        <v>6100</v>
      </c>
      <c r="R256" t="n">
        <v>7375</v>
      </c>
      <c r="S256" t="n">
        <v>8650</v>
      </c>
      <c r="T256" t="n">
        <v>9925</v>
      </c>
      <c r="U256" t="n">
        <v>11200</v>
      </c>
      <c r="V256" t="n">
        <v>5858</v>
      </c>
      <c r="W256" t="n">
        <v>2020</v>
      </c>
      <c r="X256" t="n">
        <v>1765</v>
      </c>
      <c r="Y256" t="n">
        <v>8350</v>
      </c>
    </row>
    <row r="257">
      <c r="A257" t="n">
        <v>256</v>
      </c>
      <c r="B257" t="n">
        <v>0</v>
      </c>
      <c r="C257" t="n">
        <v>45988</v>
      </c>
      <c r="D257" t="n">
        <v>159663</v>
      </c>
      <c r="E257" t="n">
        <v>1904282</v>
      </c>
      <c r="F257" t="n">
        <v>22320496</v>
      </c>
      <c r="G257" t="n">
        <v>255356119</v>
      </c>
      <c r="H257" t="n">
        <v>2861431959</v>
      </c>
      <c r="I257" t="n">
        <v>31313301024</v>
      </c>
      <c r="J257" t="n">
        <v>2000</v>
      </c>
      <c r="K257" t="n">
        <v>34402</v>
      </c>
      <c r="L257" t="n">
        <v>2500</v>
      </c>
      <c r="M257" t="n">
        <v>1100</v>
      </c>
      <c r="N257" t="n">
        <v>2280</v>
      </c>
      <c r="O257" t="n">
        <v>3560</v>
      </c>
      <c r="P257" t="n">
        <v>4840</v>
      </c>
      <c r="Q257" t="n">
        <v>6120</v>
      </c>
      <c r="R257" t="n">
        <v>7400</v>
      </c>
      <c r="S257" t="n">
        <v>8680</v>
      </c>
      <c r="T257" t="n">
        <v>9960</v>
      </c>
      <c r="U257" t="n">
        <v>11240</v>
      </c>
      <c r="V257" t="n">
        <v>5892</v>
      </c>
      <c r="W257" t="n">
        <v>2024</v>
      </c>
      <c r="X257" t="n">
        <v>1768</v>
      </c>
      <c r="Y257" t="n">
        <v>8360</v>
      </c>
    </row>
    <row r="258">
      <c r="A258" t="n">
        <v>257</v>
      </c>
      <c r="B258" t="n">
        <v>0</v>
      </c>
      <c r="C258" t="n">
        <v>46678</v>
      </c>
      <c r="D258" t="n">
        <v>162857</v>
      </c>
      <c r="E258" t="n">
        <v>1961411</v>
      </c>
      <c r="F258" t="n">
        <v>23213316</v>
      </c>
      <c r="G258" t="n">
        <v>268123925</v>
      </c>
      <c r="H258" t="n">
        <v>3033117877</v>
      </c>
      <c r="I258" t="n">
        <v>33505232096</v>
      </c>
      <c r="J258" t="n">
        <v>2000</v>
      </c>
      <c r="K258" t="n">
        <v>34747</v>
      </c>
      <c r="L258" t="n">
        <v>2500</v>
      </c>
      <c r="M258" t="n">
        <v>1100</v>
      </c>
      <c r="N258" t="n">
        <v>2285</v>
      </c>
      <c r="O258" t="n">
        <v>3570</v>
      </c>
      <c r="P258" t="n">
        <v>4855</v>
      </c>
      <c r="Q258" t="n">
        <v>6140</v>
      </c>
      <c r="R258" t="n">
        <v>7425</v>
      </c>
      <c r="S258" t="n">
        <v>8710</v>
      </c>
      <c r="T258" t="n">
        <v>9995</v>
      </c>
      <c r="U258" t="n">
        <v>11280</v>
      </c>
      <c r="V258" t="n">
        <v>5926</v>
      </c>
      <c r="W258" t="n">
        <v>2028</v>
      </c>
      <c r="X258" t="n">
        <v>1771</v>
      </c>
      <c r="Y258" t="n">
        <v>8370</v>
      </c>
    </row>
    <row r="259">
      <c r="A259" t="n">
        <v>258</v>
      </c>
      <c r="B259" t="n">
        <v>0</v>
      </c>
      <c r="C259" t="n">
        <v>47379</v>
      </c>
      <c r="D259" t="n">
        <v>166115</v>
      </c>
      <c r="E259" t="n">
        <v>2020254</v>
      </c>
      <c r="F259" t="n">
        <v>24141849</v>
      </c>
      <c r="G259" t="n">
        <v>281530122</v>
      </c>
      <c r="H259" t="n">
        <v>3215104950</v>
      </c>
      <c r="I259" t="n">
        <v>35850598343</v>
      </c>
      <c r="J259" t="n">
        <v>2000</v>
      </c>
      <c r="K259" t="n">
        <v>35095</v>
      </c>
      <c r="L259" t="n">
        <v>2500</v>
      </c>
      <c r="M259" t="n">
        <v>1100</v>
      </c>
      <c r="N259" t="n">
        <v>2290</v>
      </c>
      <c r="O259" t="n">
        <v>3580</v>
      </c>
      <c r="P259" t="n">
        <v>4870</v>
      </c>
      <c r="Q259" t="n">
        <v>6160</v>
      </c>
      <c r="R259" t="n">
        <v>7450</v>
      </c>
      <c r="S259" t="n">
        <v>8740</v>
      </c>
      <c r="T259" t="n">
        <v>10030</v>
      </c>
      <c r="U259" t="n">
        <v>11320</v>
      </c>
      <c r="V259" t="n">
        <v>5960</v>
      </c>
      <c r="W259" t="n">
        <v>2032</v>
      </c>
      <c r="X259" t="n">
        <v>1774</v>
      </c>
      <c r="Y259" t="n">
        <v>8380</v>
      </c>
    </row>
    <row r="260">
      <c r="A260" t="n">
        <v>259</v>
      </c>
      <c r="B260" t="n">
        <v>0</v>
      </c>
      <c r="C260" t="n">
        <v>48090</v>
      </c>
      <c r="D260" t="n">
        <v>169438</v>
      </c>
      <c r="E260" t="n">
        <v>2080862</v>
      </c>
      <c r="F260" t="n">
        <v>25107523</v>
      </c>
      <c r="G260" t="n">
        <v>295606629</v>
      </c>
      <c r="H260" t="n">
        <v>3408011247</v>
      </c>
      <c r="I260" t="n">
        <v>38360140228</v>
      </c>
      <c r="J260" t="n">
        <v>2000</v>
      </c>
      <c r="K260" t="n">
        <v>35446</v>
      </c>
      <c r="L260" t="n">
        <v>2500</v>
      </c>
      <c r="M260" t="n">
        <v>1100</v>
      </c>
      <c r="N260" t="n">
        <v>2295</v>
      </c>
      <c r="O260" t="n">
        <v>3590</v>
      </c>
      <c r="P260" t="n">
        <v>4885</v>
      </c>
      <c r="Q260" t="n">
        <v>6180</v>
      </c>
      <c r="R260" t="n">
        <v>7475</v>
      </c>
      <c r="S260" t="n">
        <v>8770</v>
      </c>
      <c r="T260" t="n">
        <v>10065</v>
      </c>
      <c r="U260" t="n">
        <v>11360</v>
      </c>
      <c r="V260" t="n">
        <v>5994</v>
      </c>
      <c r="W260" t="n">
        <v>2036</v>
      </c>
      <c r="X260" t="n">
        <v>1777</v>
      </c>
      <c r="Y260" t="n">
        <v>8390</v>
      </c>
    </row>
    <row r="261">
      <c r="A261" t="n">
        <v>260</v>
      </c>
      <c r="B261" t="n">
        <v>0</v>
      </c>
      <c r="C261" t="n">
        <v>48812</v>
      </c>
      <c r="D261" t="n">
        <v>172827</v>
      </c>
      <c r="E261" t="n">
        <v>2143288</v>
      </c>
      <c r="F261" t="n">
        <v>26111824</v>
      </c>
      <c r="G261" t="n">
        <v>310386961</v>
      </c>
      <c r="H261" t="n">
        <v>3612491922</v>
      </c>
      <c r="I261" t="n">
        <v>41045350044</v>
      </c>
      <c r="J261" t="n">
        <v>2000</v>
      </c>
      <c r="K261" t="n">
        <v>35801</v>
      </c>
      <c r="L261" t="n">
        <v>2500</v>
      </c>
      <c r="M261" t="n">
        <v>1100</v>
      </c>
      <c r="N261" t="n">
        <v>2300</v>
      </c>
      <c r="O261" t="n">
        <v>3600</v>
      </c>
      <c r="P261" t="n">
        <v>4900</v>
      </c>
      <c r="Q261" t="n">
        <v>6200</v>
      </c>
      <c r="R261" t="n">
        <v>7500</v>
      </c>
      <c r="S261" t="n">
        <v>8800</v>
      </c>
      <c r="T261" t="n">
        <v>10100</v>
      </c>
      <c r="U261" t="n">
        <v>11400</v>
      </c>
      <c r="V261" t="n">
        <v>6028</v>
      </c>
      <c r="W261" t="n">
        <v>2040</v>
      </c>
      <c r="X261" t="n">
        <v>1780</v>
      </c>
      <c r="Y261" t="n">
        <v>8400</v>
      </c>
    </row>
    <row r="262">
      <c r="A262" t="n">
        <v>261</v>
      </c>
      <c r="B262" t="n">
        <v>0</v>
      </c>
      <c r="C262" t="n">
        <v>49545</v>
      </c>
      <c r="D262" t="n">
        <v>176284</v>
      </c>
      <c r="E262" t="n">
        <v>2207587</v>
      </c>
      <c r="F262" t="n">
        <v>27156297</v>
      </c>
      <c r="G262" t="n">
        <v>325906310</v>
      </c>
      <c r="H262" t="n">
        <v>3829241438</v>
      </c>
      <c r="I262" t="n">
        <v>43918524548</v>
      </c>
      <c r="J262" t="n">
        <v>2000</v>
      </c>
      <c r="K262" t="n">
        <v>36160</v>
      </c>
      <c r="L262" t="n">
        <v>2500</v>
      </c>
      <c r="M262" t="n">
        <v>1100</v>
      </c>
      <c r="N262" t="n">
        <v>2305</v>
      </c>
      <c r="O262" t="n">
        <v>3610</v>
      </c>
      <c r="P262" t="n">
        <v>4915</v>
      </c>
      <c r="Q262" t="n">
        <v>6220</v>
      </c>
      <c r="R262" t="n">
        <v>7525</v>
      </c>
      <c r="S262" t="n">
        <v>8830</v>
      </c>
      <c r="T262" t="n">
        <v>10135</v>
      </c>
      <c r="U262" t="n">
        <v>11440</v>
      </c>
      <c r="V262" t="n">
        <v>6063</v>
      </c>
      <c r="W262" t="n">
        <v>2044</v>
      </c>
      <c r="X262" t="n">
        <v>1783</v>
      </c>
      <c r="Y262" t="n">
        <v>8410</v>
      </c>
    </row>
    <row r="263">
      <c r="A263" t="n">
        <v>262</v>
      </c>
      <c r="B263" t="n">
        <v>0</v>
      </c>
      <c r="C263" t="n">
        <v>50289</v>
      </c>
      <c r="D263" t="n">
        <v>179810</v>
      </c>
      <c r="E263" t="n">
        <v>2273815</v>
      </c>
      <c r="F263" t="n">
        <v>28242549</v>
      </c>
      <c r="G263" t="n">
        <v>342201626</v>
      </c>
      <c r="H263" t="n">
        <v>4058995925</v>
      </c>
      <c r="I263" t="n">
        <v>46992821267</v>
      </c>
      <c r="J263" t="n">
        <v>2000</v>
      </c>
      <c r="K263" t="n">
        <v>36522</v>
      </c>
      <c r="L263" t="n">
        <v>2500</v>
      </c>
      <c r="M263" t="n">
        <v>1100</v>
      </c>
      <c r="N263" t="n">
        <v>2310</v>
      </c>
      <c r="O263" t="n">
        <v>3620</v>
      </c>
      <c r="P263" t="n">
        <v>4930</v>
      </c>
      <c r="Q263" t="n">
        <v>6240</v>
      </c>
      <c r="R263" t="n">
        <v>7550</v>
      </c>
      <c r="S263" t="n">
        <v>8860</v>
      </c>
      <c r="T263" t="n">
        <v>10170</v>
      </c>
      <c r="U263" t="n">
        <v>11480</v>
      </c>
      <c r="V263" t="n">
        <v>6098</v>
      </c>
      <c r="W263" t="n">
        <v>2048</v>
      </c>
      <c r="X263" t="n">
        <v>1786</v>
      </c>
      <c r="Y263" t="n">
        <v>8420</v>
      </c>
    </row>
    <row r="264">
      <c r="A264" t="n">
        <v>263</v>
      </c>
      <c r="B264" t="n">
        <v>0</v>
      </c>
      <c r="C264" t="n">
        <v>51044</v>
      </c>
      <c r="D264" t="n">
        <v>183407</v>
      </c>
      <c r="E264" t="n">
        <v>2342030</v>
      </c>
      <c r="F264" t="n">
        <v>29372251</v>
      </c>
      <c r="G264" t="n">
        <v>359311708</v>
      </c>
      <c r="H264" t="n">
        <v>4302535681</v>
      </c>
      <c r="I264" t="n">
        <v>50282318756</v>
      </c>
      <c r="J264" t="n">
        <v>2000</v>
      </c>
      <c r="K264" t="n">
        <v>36888</v>
      </c>
      <c r="L264" t="n">
        <v>2500</v>
      </c>
      <c r="M264" t="n">
        <v>1100</v>
      </c>
      <c r="N264" t="n">
        <v>2315</v>
      </c>
      <c r="O264" t="n">
        <v>3630</v>
      </c>
      <c r="P264" t="n">
        <v>4945</v>
      </c>
      <c r="Q264" t="n">
        <v>6260</v>
      </c>
      <c r="R264" t="n">
        <v>7575</v>
      </c>
      <c r="S264" t="n">
        <v>8890</v>
      </c>
      <c r="T264" t="n">
        <v>10205</v>
      </c>
      <c r="U264" t="n">
        <v>11520</v>
      </c>
      <c r="V264" t="n">
        <v>6133</v>
      </c>
      <c r="W264" t="n">
        <v>2052</v>
      </c>
      <c r="X264" t="n">
        <v>1789</v>
      </c>
      <c r="Y264" t="n">
        <v>8430</v>
      </c>
    </row>
    <row r="265">
      <c r="A265" t="n">
        <v>264</v>
      </c>
      <c r="B265" t="n">
        <v>0</v>
      </c>
      <c r="C265" t="n">
        <v>51810</v>
      </c>
      <c r="D265" t="n">
        <v>187076</v>
      </c>
      <c r="E265" t="n">
        <v>2412291</v>
      </c>
      <c r="F265" t="n">
        <v>30547142</v>
      </c>
      <c r="G265" t="n">
        <v>377277294</v>
      </c>
      <c r="H265" t="n">
        <v>4560687822</v>
      </c>
      <c r="I265" t="n">
        <v>53802081069</v>
      </c>
      <c r="J265" t="n">
        <v>2000</v>
      </c>
      <c r="K265" t="n">
        <v>37257</v>
      </c>
      <c r="L265" t="n">
        <v>2500</v>
      </c>
      <c r="M265" t="n">
        <v>1100</v>
      </c>
      <c r="N265" t="n">
        <v>2320</v>
      </c>
      <c r="O265" t="n">
        <v>3640</v>
      </c>
      <c r="P265" t="n">
        <v>4960</v>
      </c>
      <c r="Q265" t="n">
        <v>6280</v>
      </c>
      <c r="R265" t="n">
        <v>7600</v>
      </c>
      <c r="S265" t="n">
        <v>8920</v>
      </c>
      <c r="T265" t="n">
        <v>10240</v>
      </c>
      <c r="U265" t="n">
        <v>11560</v>
      </c>
      <c r="V265" t="n">
        <v>6168</v>
      </c>
      <c r="W265" t="n">
        <v>2056</v>
      </c>
      <c r="X265" t="n">
        <v>1792</v>
      </c>
      <c r="Y265" t="n">
        <v>8440</v>
      </c>
    </row>
    <row r="266">
      <c r="A266" t="n">
        <v>265</v>
      </c>
      <c r="B266" t="n">
        <v>0</v>
      </c>
      <c r="C266" t="n">
        <v>52588</v>
      </c>
      <c r="D266" t="n">
        <v>190818</v>
      </c>
      <c r="E266" t="n">
        <v>2484660</v>
      </c>
      <c r="F266" t="n">
        <v>31769028</v>
      </c>
      <c r="G266" t="n">
        <v>396141159</v>
      </c>
      <c r="H266" t="n">
        <v>4834329092</v>
      </c>
      <c r="I266" t="n">
        <v>57568226744</v>
      </c>
      <c r="J266" t="n">
        <v>2000</v>
      </c>
      <c r="K266" t="n">
        <v>37630</v>
      </c>
      <c r="L266" t="n">
        <v>2500</v>
      </c>
      <c r="M266" t="n">
        <v>1100</v>
      </c>
      <c r="N266" t="n">
        <v>2325</v>
      </c>
      <c r="O266" t="n">
        <v>3650</v>
      </c>
      <c r="P266" t="n">
        <v>4975</v>
      </c>
      <c r="Q266" t="n">
        <v>6300</v>
      </c>
      <c r="R266" t="n">
        <v>7625</v>
      </c>
      <c r="S266" t="n">
        <v>8950</v>
      </c>
      <c r="T266" t="n">
        <v>10275</v>
      </c>
      <c r="U266" t="n">
        <v>11600</v>
      </c>
      <c r="V266" t="n">
        <v>6203</v>
      </c>
      <c r="W266" t="n">
        <v>2060</v>
      </c>
      <c r="X266" t="n">
        <v>1795</v>
      </c>
      <c r="Y266" t="n">
        <v>8450</v>
      </c>
    </row>
    <row r="267">
      <c r="A267" t="n">
        <v>266</v>
      </c>
      <c r="B267" t="n">
        <v>0</v>
      </c>
      <c r="C267" t="n">
        <v>53377</v>
      </c>
      <c r="D267" t="n">
        <v>194635</v>
      </c>
      <c r="E267" t="n">
        <v>2559200</v>
      </c>
      <c r="F267" t="n">
        <v>33039790</v>
      </c>
      <c r="G267" t="n">
        <v>415948217</v>
      </c>
      <c r="H267" t="n">
        <v>5124388838</v>
      </c>
      <c r="I267" t="n">
        <v>61598002617</v>
      </c>
      <c r="J267" t="n">
        <v>2000</v>
      </c>
      <c r="K267" t="n">
        <v>38007</v>
      </c>
      <c r="L267" t="n">
        <v>2500</v>
      </c>
      <c r="M267" t="n">
        <v>1100</v>
      </c>
      <c r="N267" t="n">
        <v>2330</v>
      </c>
      <c r="O267" t="n">
        <v>3660</v>
      </c>
      <c r="P267" t="n">
        <v>4990</v>
      </c>
      <c r="Q267" t="n">
        <v>6320</v>
      </c>
      <c r="R267" t="n">
        <v>7650</v>
      </c>
      <c r="S267" t="n">
        <v>8980</v>
      </c>
      <c r="T267" t="n">
        <v>10310</v>
      </c>
      <c r="U267" t="n">
        <v>11640</v>
      </c>
      <c r="V267" t="n">
        <v>6239</v>
      </c>
      <c r="W267" t="n">
        <v>2064</v>
      </c>
      <c r="X267" t="n">
        <v>1798</v>
      </c>
      <c r="Y267" t="n">
        <v>8460</v>
      </c>
    </row>
    <row r="268">
      <c r="A268" t="n">
        <v>267</v>
      </c>
      <c r="B268" t="n">
        <v>0</v>
      </c>
      <c r="C268" t="n">
        <v>54178</v>
      </c>
      <c r="D268" t="n">
        <v>198528</v>
      </c>
      <c r="E268" t="n">
        <v>2635976</v>
      </c>
      <c r="F268" t="n">
        <v>34361382</v>
      </c>
      <c r="G268" t="n">
        <v>436745628</v>
      </c>
      <c r="H268" t="n">
        <v>5431852169</v>
      </c>
      <c r="I268" t="n">
        <v>65909862801</v>
      </c>
      <c r="J268" t="n">
        <v>2000</v>
      </c>
      <c r="K268" t="n">
        <v>38388</v>
      </c>
      <c r="L268" t="n">
        <v>2500</v>
      </c>
      <c r="M268" t="n">
        <v>1100</v>
      </c>
      <c r="N268" t="n">
        <v>2335</v>
      </c>
      <c r="O268" t="n">
        <v>3670</v>
      </c>
      <c r="P268" t="n">
        <v>5005</v>
      </c>
      <c r="Q268" t="n">
        <v>6340</v>
      </c>
      <c r="R268" t="n">
        <v>7675</v>
      </c>
      <c r="S268" t="n">
        <v>9010</v>
      </c>
      <c r="T268" t="n">
        <v>10345</v>
      </c>
      <c r="U268" t="n">
        <v>11680</v>
      </c>
      <c r="V268" t="n">
        <v>6275</v>
      </c>
      <c r="W268" t="n">
        <v>2068</v>
      </c>
      <c r="X268" t="n">
        <v>1801</v>
      </c>
      <c r="Y268" t="n">
        <v>8470</v>
      </c>
    </row>
    <row r="269">
      <c r="A269" t="n">
        <v>268</v>
      </c>
      <c r="B269" t="n">
        <v>0</v>
      </c>
      <c r="C269" t="n">
        <v>54991</v>
      </c>
      <c r="D269" t="n">
        <v>202499</v>
      </c>
      <c r="E269" t="n">
        <v>2715056</v>
      </c>
      <c r="F269" t="n">
        <v>35735838</v>
      </c>
      <c r="G269" t="n">
        <v>458582910</v>
      </c>
      <c r="H269" t="n">
        <v>5757763300</v>
      </c>
      <c r="I269" t="n">
        <v>70523553198</v>
      </c>
      <c r="J269" t="n">
        <v>2000</v>
      </c>
      <c r="K269" t="n">
        <v>38772</v>
      </c>
      <c r="L269" t="n">
        <v>2500</v>
      </c>
      <c r="M269" t="n">
        <v>1100</v>
      </c>
      <c r="N269" t="n">
        <v>2340</v>
      </c>
      <c r="O269" t="n">
        <v>3680</v>
      </c>
      <c r="P269" t="n">
        <v>5020</v>
      </c>
      <c r="Q269" t="n">
        <v>6360</v>
      </c>
      <c r="R269" t="n">
        <v>7700</v>
      </c>
      <c r="S269" t="n">
        <v>9040</v>
      </c>
      <c r="T269" t="n">
        <v>10380</v>
      </c>
      <c r="U269" t="n">
        <v>11720</v>
      </c>
      <c r="V269" t="n">
        <v>6311</v>
      </c>
      <c r="W269" t="n">
        <v>2072</v>
      </c>
      <c r="X269" t="n">
        <v>1804</v>
      </c>
      <c r="Y269" t="n">
        <v>8480</v>
      </c>
    </row>
    <row r="270">
      <c r="A270" t="n">
        <v>269</v>
      </c>
      <c r="B270" t="n">
        <v>0</v>
      </c>
      <c r="C270" t="n">
        <v>55816</v>
      </c>
      <c r="D270" t="n">
        <v>206549</v>
      </c>
      <c r="E270" t="n">
        <v>2796508</v>
      </c>
      <c r="F270" t="n">
        <v>37165272</v>
      </c>
      <c r="G270" t="n">
        <v>481512056</v>
      </c>
      <c r="H270" t="n">
        <v>6103229098</v>
      </c>
      <c r="I270" t="n">
        <v>75460201922</v>
      </c>
      <c r="J270" t="n">
        <v>2000</v>
      </c>
      <c r="K270" t="n">
        <v>39160</v>
      </c>
      <c r="L270" t="n">
        <v>2500</v>
      </c>
      <c r="M270" t="n">
        <v>1100</v>
      </c>
      <c r="N270" t="n">
        <v>2345</v>
      </c>
      <c r="O270" t="n">
        <v>3690</v>
      </c>
      <c r="P270" t="n">
        <v>5035</v>
      </c>
      <c r="Q270" t="n">
        <v>6380</v>
      </c>
      <c r="R270" t="n">
        <v>7725</v>
      </c>
      <c r="S270" t="n">
        <v>9070</v>
      </c>
      <c r="T270" t="n">
        <v>10415</v>
      </c>
      <c r="U270" t="n">
        <v>11760</v>
      </c>
      <c r="V270" t="n">
        <v>6347</v>
      </c>
      <c r="W270" t="n">
        <v>2076</v>
      </c>
      <c r="X270" t="n">
        <v>1807</v>
      </c>
      <c r="Y270" t="n">
        <v>8490</v>
      </c>
    </row>
    <row r="271">
      <c r="A271" t="n">
        <v>270</v>
      </c>
      <c r="B271" t="n">
        <v>0</v>
      </c>
      <c r="C271" t="n">
        <v>56654</v>
      </c>
      <c r="D271" t="n">
        <v>210680</v>
      </c>
      <c r="E271" t="n">
        <v>2880404</v>
      </c>
      <c r="F271" t="n">
        <v>38651883</v>
      </c>
      <c r="G271" t="n">
        <v>505587659</v>
      </c>
      <c r="H271" t="n">
        <v>6469422844</v>
      </c>
      <c r="I271" t="n">
        <v>80742416057</v>
      </c>
      <c r="J271" t="n">
        <v>2000</v>
      </c>
      <c r="K271" t="n">
        <v>39552</v>
      </c>
      <c r="L271" t="n">
        <v>2500</v>
      </c>
      <c r="M271" t="n">
        <v>1100</v>
      </c>
      <c r="N271" t="n">
        <v>2350</v>
      </c>
      <c r="O271" t="n">
        <v>3700</v>
      </c>
      <c r="P271" t="n">
        <v>5050</v>
      </c>
      <c r="Q271" t="n">
        <v>6400</v>
      </c>
      <c r="R271" t="n">
        <v>7750</v>
      </c>
      <c r="S271" t="n">
        <v>9100</v>
      </c>
      <c r="T271" t="n">
        <v>10450</v>
      </c>
      <c r="U271" t="n">
        <v>11800</v>
      </c>
      <c r="V271" t="n">
        <v>6383</v>
      </c>
      <c r="W271" t="n">
        <v>2080</v>
      </c>
      <c r="X271" t="n">
        <v>1810</v>
      </c>
      <c r="Y271" t="n">
        <v>8500</v>
      </c>
    </row>
    <row r="272">
      <c r="A272" t="n">
        <v>271</v>
      </c>
      <c r="B272" t="n">
        <v>0</v>
      </c>
      <c r="C272" t="n">
        <v>57504</v>
      </c>
      <c r="D272" t="n">
        <v>214894</v>
      </c>
      <c r="E272" t="n">
        <v>2966817</v>
      </c>
      <c r="F272" t="n">
        <v>40197959</v>
      </c>
      <c r="G272" t="n">
        <v>530867042</v>
      </c>
      <c r="H272" t="n">
        <v>6857588215</v>
      </c>
      <c r="I272" t="n">
        <v>86394385181</v>
      </c>
      <c r="J272" t="n">
        <v>2000</v>
      </c>
      <c r="K272" t="n">
        <v>39948</v>
      </c>
      <c r="L272" t="n">
        <v>2500</v>
      </c>
      <c r="M272" t="n">
        <v>1100</v>
      </c>
      <c r="N272" t="n">
        <v>2355</v>
      </c>
      <c r="O272" t="n">
        <v>3710</v>
      </c>
      <c r="P272" t="n">
        <v>5065</v>
      </c>
      <c r="Q272" t="n">
        <v>6420</v>
      </c>
      <c r="R272" t="n">
        <v>7775</v>
      </c>
      <c r="S272" t="n">
        <v>9130</v>
      </c>
      <c r="T272" t="n">
        <v>10485</v>
      </c>
      <c r="U272" t="n">
        <v>11840</v>
      </c>
      <c r="V272" t="n">
        <v>6419</v>
      </c>
      <c r="W272" t="n">
        <v>2084</v>
      </c>
      <c r="X272" t="n">
        <v>1813</v>
      </c>
      <c r="Y272" t="n">
        <v>8510</v>
      </c>
    </row>
    <row r="273">
      <c r="A273" t="n">
        <v>272</v>
      </c>
      <c r="B273" t="n">
        <v>0</v>
      </c>
      <c r="C273" t="n">
        <v>58367</v>
      </c>
      <c r="D273" t="n">
        <v>219192</v>
      </c>
      <c r="E273" t="n">
        <v>3055822</v>
      </c>
      <c r="F273" t="n">
        <v>41805878</v>
      </c>
      <c r="G273" t="n">
        <v>557410395</v>
      </c>
      <c r="H273" t="n">
        <v>7269043508</v>
      </c>
      <c r="I273" t="n">
        <v>92441992144</v>
      </c>
      <c r="J273" t="n">
        <v>2000</v>
      </c>
      <c r="K273" t="n">
        <v>40348</v>
      </c>
      <c r="L273" t="n">
        <v>2500</v>
      </c>
      <c r="M273" t="n">
        <v>1100</v>
      </c>
      <c r="N273" t="n">
        <v>2360</v>
      </c>
      <c r="O273" t="n">
        <v>3720</v>
      </c>
      <c r="P273" t="n">
        <v>5080</v>
      </c>
      <c r="Q273" t="n">
        <v>6440</v>
      </c>
      <c r="R273" t="n">
        <v>7800</v>
      </c>
      <c r="S273" t="n">
        <v>9160</v>
      </c>
      <c r="T273" t="n">
        <v>10520</v>
      </c>
      <c r="U273" t="n">
        <v>11880</v>
      </c>
      <c r="V273" t="n">
        <v>6456</v>
      </c>
      <c r="W273" t="n">
        <v>2088</v>
      </c>
      <c r="X273" t="n">
        <v>1816</v>
      </c>
      <c r="Y273" t="n">
        <v>8520</v>
      </c>
    </row>
    <row r="274">
      <c r="A274" t="n">
        <v>273</v>
      </c>
      <c r="B274" t="n">
        <v>0</v>
      </c>
      <c r="C274" t="n">
        <v>59243</v>
      </c>
      <c r="D274" t="n">
        <v>223576</v>
      </c>
      <c r="E274" t="n">
        <v>3147497</v>
      </c>
      <c r="F274" t="n">
        <v>43478114</v>
      </c>
      <c r="G274" t="n">
        <v>585280915</v>
      </c>
      <c r="H274" t="n">
        <v>7705186119</v>
      </c>
      <c r="I274" t="n">
        <v>98912931595</v>
      </c>
      <c r="J274" t="n">
        <v>2000</v>
      </c>
      <c r="K274" t="n">
        <v>40752</v>
      </c>
      <c r="L274" t="n">
        <v>2500</v>
      </c>
      <c r="M274" t="n">
        <v>1100</v>
      </c>
      <c r="N274" t="n">
        <v>2365</v>
      </c>
      <c r="O274" t="n">
        <v>3730</v>
      </c>
      <c r="P274" t="n">
        <v>5095</v>
      </c>
      <c r="Q274" t="n">
        <v>6460</v>
      </c>
      <c r="R274" t="n">
        <v>7825</v>
      </c>
      <c r="S274" t="n">
        <v>9190</v>
      </c>
      <c r="T274" t="n">
        <v>10555</v>
      </c>
      <c r="U274" t="n">
        <v>11920</v>
      </c>
      <c r="V274" t="n">
        <v>6493</v>
      </c>
      <c r="W274" t="n">
        <v>2092</v>
      </c>
      <c r="X274" t="n">
        <v>1819</v>
      </c>
      <c r="Y274" t="n">
        <v>8530</v>
      </c>
    </row>
    <row r="275">
      <c r="A275" t="n">
        <v>274</v>
      </c>
      <c r="B275" t="n">
        <v>0</v>
      </c>
      <c r="C275" t="n">
        <v>60132</v>
      </c>
      <c r="D275" t="n">
        <v>228048</v>
      </c>
      <c r="E275" t="n">
        <v>3241922</v>
      </c>
      <c r="F275" t="n">
        <v>45217239</v>
      </c>
      <c r="G275" t="n">
        <v>614544961</v>
      </c>
      <c r="H275" t="n">
        <v>8167497287</v>
      </c>
      <c r="I275" t="n">
        <v>105836836807</v>
      </c>
      <c r="J275" t="n">
        <v>2000</v>
      </c>
      <c r="K275" t="n">
        <v>41160</v>
      </c>
      <c r="L275" t="n">
        <v>2500</v>
      </c>
      <c r="M275" t="n">
        <v>1100</v>
      </c>
      <c r="N275" t="n">
        <v>2370</v>
      </c>
      <c r="O275" t="n">
        <v>3740</v>
      </c>
      <c r="P275" t="n">
        <v>5110</v>
      </c>
      <c r="Q275" t="n">
        <v>6480</v>
      </c>
      <c r="R275" t="n">
        <v>7850</v>
      </c>
      <c r="S275" t="n">
        <v>9220</v>
      </c>
      <c r="T275" t="n">
        <v>10590</v>
      </c>
      <c r="U275" t="n">
        <v>11960</v>
      </c>
      <c r="V275" t="n">
        <v>6530</v>
      </c>
      <c r="W275" t="n">
        <v>2096</v>
      </c>
      <c r="X275" t="n">
        <v>1822</v>
      </c>
      <c r="Y275" t="n">
        <v>8540</v>
      </c>
    </row>
    <row r="276">
      <c r="A276" t="n">
        <v>275</v>
      </c>
      <c r="B276" t="n">
        <v>0</v>
      </c>
      <c r="C276" t="n">
        <v>61034</v>
      </c>
      <c r="D276" t="n">
        <v>232609</v>
      </c>
      <c r="E276" t="n">
        <v>3339180</v>
      </c>
      <c r="F276" t="n">
        <v>47025929</v>
      </c>
      <c r="G276" t="n">
        <v>645272210</v>
      </c>
      <c r="H276" t="n">
        <v>8657547125</v>
      </c>
      <c r="I276" t="n">
        <v>113245415384</v>
      </c>
      <c r="J276" t="n">
        <v>2000</v>
      </c>
      <c r="K276" t="n">
        <v>41572</v>
      </c>
      <c r="L276" t="n">
        <v>2500</v>
      </c>
      <c r="M276" t="n">
        <v>1100</v>
      </c>
      <c r="N276" t="n">
        <v>2375</v>
      </c>
      <c r="O276" t="n">
        <v>3750</v>
      </c>
      <c r="P276" t="n">
        <v>5125</v>
      </c>
      <c r="Q276" t="n">
        <v>6500</v>
      </c>
      <c r="R276" t="n">
        <v>7875</v>
      </c>
      <c r="S276" t="n">
        <v>9250</v>
      </c>
      <c r="T276" t="n">
        <v>10625</v>
      </c>
      <c r="U276" t="n">
        <v>12000</v>
      </c>
      <c r="V276" t="n">
        <v>6567</v>
      </c>
      <c r="W276" t="n">
        <v>2100</v>
      </c>
      <c r="X276" t="n">
        <v>1825</v>
      </c>
      <c r="Y276" t="n">
        <v>8550</v>
      </c>
    </row>
    <row r="277">
      <c r="A277" t="n">
        <v>276</v>
      </c>
      <c r="B277" t="n">
        <v>0</v>
      </c>
      <c r="C277" t="n">
        <v>61950</v>
      </c>
      <c r="D277" t="n">
        <v>237262</v>
      </c>
      <c r="E277" t="n">
        <v>3439356</v>
      </c>
      <c r="F277" t="n">
        <v>48906967</v>
      </c>
      <c r="G277" t="n">
        <v>677535821</v>
      </c>
      <c r="H277" t="n">
        <v>9176999953</v>
      </c>
      <c r="I277" t="n">
        <v>121172594461</v>
      </c>
      <c r="J277" t="n">
        <v>2000</v>
      </c>
      <c r="K277" t="n">
        <v>41988</v>
      </c>
      <c r="L277" t="n">
        <v>2500</v>
      </c>
      <c r="M277" t="n">
        <v>1100</v>
      </c>
      <c r="N277" t="n">
        <v>2380</v>
      </c>
      <c r="O277" t="n">
        <v>3760</v>
      </c>
      <c r="P277" t="n">
        <v>5140</v>
      </c>
      <c r="Q277" t="n">
        <v>6520</v>
      </c>
      <c r="R277" t="n">
        <v>7900</v>
      </c>
      <c r="S277" t="n">
        <v>9280</v>
      </c>
      <c r="T277" t="n">
        <v>10660</v>
      </c>
      <c r="U277" t="n">
        <v>12040</v>
      </c>
      <c r="V277" t="n">
        <v>6604</v>
      </c>
      <c r="W277" t="n">
        <v>2104</v>
      </c>
      <c r="X277" t="n">
        <v>1828</v>
      </c>
      <c r="Y277" t="n">
        <v>8560</v>
      </c>
    </row>
    <row r="278">
      <c r="A278" t="n">
        <v>277</v>
      </c>
      <c r="B278" t="n">
        <v>0</v>
      </c>
      <c r="C278" t="n">
        <v>62880</v>
      </c>
      <c r="D278" t="n">
        <v>242008</v>
      </c>
      <c r="E278" t="n">
        <v>3542537</v>
      </c>
      <c r="F278" t="n">
        <v>50863246</v>
      </c>
      <c r="G278" t="n">
        <v>711412613</v>
      </c>
      <c r="H278" t="n">
        <v>9727619951</v>
      </c>
      <c r="I278" t="n">
        <v>129654676074</v>
      </c>
      <c r="J278" t="n">
        <v>2000</v>
      </c>
      <c r="K278" t="n">
        <v>42408</v>
      </c>
      <c r="L278" t="n">
        <v>2500</v>
      </c>
      <c r="M278" t="n">
        <v>1100</v>
      </c>
      <c r="N278" t="n">
        <v>2385</v>
      </c>
      <c r="O278" t="n">
        <v>3770</v>
      </c>
      <c r="P278" t="n">
        <v>5155</v>
      </c>
      <c r="Q278" t="n">
        <v>6540</v>
      </c>
      <c r="R278" t="n">
        <v>7925</v>
      </c>
      <c r="S278" t="n">
        <v>9310</v>
      </c>
      <c r="T278" t="n">
        <v>10695</v>
      </c>
      <c r="U278" t="n">
        <v>12080</v>
      </c>
      <c r="V278" t="n">
        <v>6642</v>
      </c>
      <c r="W278" t="n">
        <v>2108</v>
      </c>
      <c r="X278" t="n">
        <v>1831</v>
      </c>
      <c r="Y278" t="n">
        <v>8570</v>
      </c>
    </row>
    <row r="279">
      <c r="A279" t="n">
        <v>278</v>
      </c>
      <c r="B279" t="n">
        <v>0</v>
      </c>
      <c r="C279" t="n">
        <v>63824</v>
      </c>
      <c r="D279" t="n">
        <v>246849</v>
      </c>
      <c r="E279" t="n">
        <v>3648814</v>
      </c>
      <c r="F279" t="n">
        <v>52897776</v>
      </c>
      <c r="G279" t="n">
        <v>746983244</v>
      </c>
      <c r="H279" t="n">
        <v>10311277149</v>
      </c>
      <c r="I279" t="n">
        <v>138730503400</v>
      </c>
      <c r="J279" t="n">
        <v>2000</v>
      </c>
      <c r="K279" t="n">
        <v>42833</v>
      </c>
      <c r="L279" t="n">
        <v>2500</v>
      </c>
      <c r="M279" t="n">
        <v>1100</v>
      </c>
      <c r="N279" t="n">
        <v>2390</v>
      </c>
      <c r="O279" t="n">
        <v>3780</v>
      </c>
      <c r="P279" t="n">
        <v>5170</v>
      </c>
      <c r="Q279" t="n">
        <v>6560</v>
      </c>
      <c r="R279" t="n">
        <v>7950</v>
      </c>
      <c r="S279" t="n">
        <v>9340</v>
      </c>
      <c r="T279" t="n">
        <v>10730</v>
      </c>
      <c r="U279" t="n">
        <v>12120</v>
      </c>
      <c r="V279" t="n">
        <v>6680</v>
      </c>
      <c r="W279" t="n">
        <v>2112</v>
      </c>
      <c r="X279" t="n">
        <v>1834</v>
      </c>
      <c r="Y279" t="n">
        <v>8580</v>
      </c>
    </row>
    <row r="280">
      <c r="A280" t="n">
        <v>279</v>
      </c>
      <c r="B280" t="n">
        <v>0</v>
      </c>
      <c r="C280" t="n">
        <v>64782</v>
      </c>
      <c r="D280" t="n">
        <v>251786</v>
      </c>
      <c r="E280" t="n">
        <v>3758279</v>
      </c>
      <c r="F280" t="n">
        <v>55013688</v>
      </c>
      <c r="G280" t="n">
        <v>784332407</v>
      </c>
      <c r="H280" t="n">
        <v>10929953778</v>
      </c>
      <c r="I280" t="n">
        <v>148441638638</v>
      </c>
      <c r="J280" t="n">
        <v>2000</v>
      </c>
      <c r="K280" t="n">
        <v>43262</v>
      </c>
      <c r="L280" t="n">
        <v>2500</v>
      </c>
      <c r="M280" t="n">
        <v>1100</v>
      </c>
      <c r="N280" t="n">
        <v>2395</v>
      </c>
      <c r="O280" t="n">
        <v>3790</v>
      </c>
      <c r="P280" t="n">
        <v>5185</v>
      </c>
      <c r="Q280" t="n">
        <v>6580</v>
      </c>
      <c r="R280" t="n">
        <v>7975</v>
      </c>
      <c r="S280" t="n">
        <v>9370</v>
      </c>
      <c r="T280" t="n">
        <v>10765</v>
      </c>
      <c r="U280" t="n">
        <v>12160</v>
      </c>
      <c r="V280" t="n">
        <v>6718</v>
      </c>
      <c r="W280" t="n">
        <v>2116</v>
      </c>
      <c r="X280" t="n">
        <v>1837</v>
      </c>
      <c r="Y280" t="n">
        <v>8590</v>
      </c>
    </row>
    <row r="281">
      <c r="A281" t="n">
        <v>280</v>
      </c>
      <c r="B281" t="n">
        <v>0</v>
      </c>
      <c r="C281" t="n">
        <v>65754</v>
      </c>
      <c r="D281" t="n">
        <v>256822</v>
      </c>
      <c r="E281" t="n">
        <v>3871028</v>
      </c>
      <c r="F281" t="n">
        <v>57214236</v>
      </c>
      <c r="G281" t="n">
        <v>823549028</v>
      </c>
      <c r="H281" t="n">
        <v>11585751005</v>
      </c>
      <c r="I281" t="n">
        <v>158832553343</v>
      </c>
      <c r="J281" t="n">
        <v>2000</v>
      </c>
      <c r="K281" t="n">
        <v>43695</v>
      </c>
      <c r="L281" t="n">
        <v>2500</v>
      </c>
      <c r="M281" t="n">
        <v>1100</v>
      </c>
      <c r="N281" t="n">
        <v>2400</v>
      </c>
      <c r="O281" t="n">
        <v>3800</v>
      </c>
      <c r="P281" t="n">
        <v>5200</v>
      </c>
      <c r="Q281" t="n">
        <v>6600</v>
      </c>
      <c r="R281" t="n">
        <v>8000</v>
      </c>
      <c r="S281" t="n">
        <v>9400</v>
      </c>
      <c r="T281" t="n">
        <v>10800</v>
      </c>
      <c r="U281" t="n">
        <v>12200</v>
      </c>
      <c r="V281" t="n">
        <v>6756</v>
      </c>
      <c r="W281" t="n">
        <v>2120</v>
      </c>
      <c r="X281" t="n">
        <v>1840</v>
      </c>
      <c r="Y281" t="n">
        <v>8600</v>
      </c>
    </row>
    <row r="282">
      <c r="A282" t="n">
        <v>281</v>
      </c>
      <c r="B282" t="n">
        <v>0</v>
      </c>
      <c r="C282" t="n">
        <v>66741</v>
      </c>
      <c r="D282" t="n">
        <v>261959</v>
      </c>
      <c r="E282" t="n">
        <v>3987159</v>
      </c>
      <c r="F282" t="n">
        <v>59502806</v>
      </c>
      <c r="G282" t="n">
        <v>864726480</v>
      </c>
      <c r="H282" t="n">
        <v>12280896066</v>
      </c>
      <c r="I282" t="n">
        <v>169950832078</v>
      </c>
      <c r="J282" t="n">
        <v>2000</v>
      </c>
      <c r="K282" t="n">
        <v>44132</v>
      </c>
      <c r="L282" t="n">
        <v>2500</v>
      </c>
      <c r="M282" t="n">
        <v>1100</v>
      </c>
      <c r="N282" t="n">
        <v>2405</v>
      </c>
      <c r="O282" t="n">
        <v>3810</v>
      </c>
      <c r="P282" t="n">
        <v>5215</v>
      </c>
      <c r="Q282" t="n">
        <v>6620</v>
      </c>
      <c r="R282" t="n">
        <v>8025</v>
      </c>
      <c r="S282" t="n">
        <v>9430</v>
      </c>
      <c r="T282" t="n">
        <v>10835</v>
      </c>
      <c r="U282" t="n">
        <v>12240</v>
      </c>
      <c r="V282" t="n">
        <v>6794</v>
      </c>
      <c r="W282" t="n">
        <v>2124</v>
      </c>
      <c r="X282" t="n">
        <v>1843</v>
      </c>
      <c r="Y282" t="n">
        <v>8610</v>
      </c>
    </row>
    <row r="283">
      <c r="A283" t="n">
        <v>282</v>
      </c>
      <c r="B283" t="n">
        <v>0</v>
      </c>
      <c r="C283" t="n">
        <v>67743</v>
      </c>
      <c r="D283" t="n">
        <v>267199</v>
      </c>
      <c r="E283" t="n">
        <v>4106774</v>
      </c>
      <c r="F283" t="n">
        <v>61882919</v>
      </c>
      <c r="G283" t="n">
        <v>907962804</v>
      </c>
      <c r="H283" t="n">
        <v>13017749830</v>
      </c>
      <c r="I283" t="n">
        <v>181847390324</v>
      </c>
      <c r="J283" t="n">
        <v>2000</v>
      </c>
      <c r="K283" t="n">
        <v>44574</v>
      </c>
      <c r="L283" t="n">
        <v>2500</v>
      </c>
      <c r="M283" t="n">
        <v>1100</v>
      </c>
      <c r="N283" t="n">
        <v>2410</v>
      </c>
      <c r="O283" t="n">
        <v>3820</v>
      </c>
      <c r="P283" t="n">
        <v>5230</v>
      </c>
      <c r="Q283" t="n">
        <v>6640</v>
      </c>
      <c r="R283" t="n">
        <v>8050</v>
      </c>
      <c r="S283" t="n">
        <v>9460</v>
      </c>
      <c r="T283" t="n">
        <v>10870</v>
      </c>
      <c r="U283" t="n">
        <v>12280</v>
      </c>
      <c r="V283" t="n">
        <v>6832</v>
      </c>
      <c r="W283" t="n">
        <v>2128</v>
      </c>
      <c r="X283" t="n">
        <v>1846</v>
      </c>
      <c r="Y283" t="n">
        <v>8620</v>
      </c>
    </row>
    <row r="284">
      <c r="A284" t="n">
        <v>283</v>
      </c>
      <c r="B284" t="n">
        <v>0</v>
      </c>
      <c r="C284" t="n">
        <v>68760</v>
      </c>
      <c r="D284" t="n">
        <v>272543</v>
      </c>
      <c r="E284" t="n">
        <v>4229978</v>
      </c>
      <c r="F284" t="n">
        <v>64358236</v>
      </c>
      <c r="G284" t="n">
        <v>953360945</v>
      </c>
      <c r="H284" t="n">
        <v>13798814820</v>
      </c>
      <c r="I284" t="n">
        <v>194576707647</v>
      </c>
      <c r="J284" t="n">
        <v>2000</v>
      </c>
      <c r="K284" t="n">
        <v>45020</v>
      </c>
      <c r="L284" t="n">
        <v>2500</v>
      </c>
      <c r="M284" t="n">
        <v>1100</v>
      </c>
      <c r="N284" t="n">
        <v>2415</v>
      </c>
      <c r="O284" t="n">
        <v>3830</v>
      </c>
      <c r="P284" t="n">
        <v>5245</v>
      </c>
      <c r="Q284" t="n">
        <v>6660</v>
      </c>
      <c r="R284" t="n">
        <v>8075</v>
      </c>
      <c r="S284" t="n">
        <v>9490</v>
      </c>
      <c r="T284" t="n">
        <v>10905</v>
      </c>
      <c r="U284" t="n">
        <v>12320</v>
      </c>
      <c r="V284" t="n">
        <v>6871</v>
      </c>
      <c r="W284" t="n">
        <v>2132</v>
      </c>
      <c r="X284" t="n">
        <v>1849</v>
      </c>
      <c r="Y284" t="n">
        <v>8630</v>
      </c>
    </row>
    <row r="285">
      <c r="A285" t="n">
        <v>284</v>
      </c>
      <c r="B285" t="n">
        <v>0</v>
      </c>
      <c r="C285" t="n">
        <v>69792</v>
      </c>
      <c r="D285" t="n">
        <v>277994</v>
      </c>
      <c r="E285" t="n">
        <v>4356878</v>
      </c>
      <c r="F285" t="n">
        <v>66932566</v>
      </c>
      <c r="G285" t="n">
        <v>1001028993</v>
      </c>
      <c r="H285" t="n">
        <v>14626743710</v>
      </c>
      <c r="I285" t="n">
        <v>208197077183</v>
      </c>
      <c r="J285" t="n">
        <v>2000</v>
      </c>
      <c r="K285" t="n">
        <v>45471</v>
      </c>
      <c r="L285" t="n">
        <v>2500</v>
      </c>
      <c r="M285" t="n">
        <v>1100</v>
      </c>
      <c r="N285" t="n">
        <v>2420</v>
      </c>
      <c r="O285" t="n">
        <v>3840</v>
      </c>
      <c r="P285" t="n">
        <v>5260</v>
      </c>
      <c r="Q285" t="n">
        <v>6680</v>
      </c>
      <c r="R285" t="n">
        <v>8100</v>
      </c>
      <c r="S285" t="n">
        <v>9520</v>
      </c>
      <c r="T285" t="n">
        <v>10940</v>
      </c>
      <c r="U285" t="n">
        <v>12360</v>
      </c>
      <c r="V285" t="n">
        <v>6910</v>
      </c>
      <c r="W285" t="n">
        <v>2136</v>
      </c>
      <c r="X285" t="n">
        <v>1852</v>
      </c>
      <c r="Y285" t="n">
        <v>8640</v>
      </c>
    </row>
    <row r="286">
      <c r="A286" t="n">
        <v>285</v>
      </c>
      <c r="B286" t="n">
        <v>0</v>
      </c>
      <c r="C286" t="n">
        <v>70839</v>
      </c>
      <c r="D286" t="n">
        <v>283554</v>
      </c>
      <c r="E286" t="n">
        <v>4487585</v>
      </c>
      <c r="F286" t="n">
        <v>69609869</v>
      </c>
      <c r="G286" t="n">
        <v>1051080443</v>
      </c>
      <c r="H286" t="n">
        <v>15504348333</v>
      </c>
      <c r="I286" t="n">
        <v>222770872586</v>
      </c>
      <c r="J286" t="n">
        <v>2000</v>
      </c>
      <c r="K286" t="n">
        <v>45926</v>
      </c>
      <c r="L286" t="n">
        <v>2500</v>
      </c>
      <c r="M286" t="n">
        <v>1100</v>
      </c>
      <c r="N286" t="n">
        <v>2425</v>
      </c>
      <c r="O286" t="n">
        <v>3850</v>
      </c>
      <c r="P286" t="n">
        <v>5275</v>
      </c>
      <c r="Q286" t="n">
        <v>6700</v>
      </c>
      <c r="R286" t="n">
        <v>8125</v>
      </c>
      <c r="S286" t="n">
        <v>9550</v>
      </c>
      <c r="T286" t="n">
        <v>10975</v>
      </c>
      <c r="U286" t="n">
        <v>12400</v>
      </c>
      <c r="V286" t="n">
        <v>6949</v>
      </c>
      <c r="W286" t="n">
        <v>2140</v>
      </c>
      <c r="X286" t="n">
        <v>1855</v>
      </c>
      <c r="Y286" t="n">
        <v>8650</v>
      </c>
    </row>
    <row r="287">
      <c r="A287" t="n">
        <v>286</v>
      </c>
      <c r="B287" t="n">
        <v>0</v>
      </c>
      <c r="C287" t="n">
        <v>71902</v>
      </c>
      <c r="D287" t="n">
        <v>289226</v>
      </c>
      <c r="E287" t="n">
        <v>4622213</v>
      </c>
      <c r="F287" t="n">
        <v>72394264</v>
      </c>
      <c r="G287" t="n">
        <v>1103634466</v>
      </c>
      <c r="H287" t="n">
        <v>16434609233</v>
      </c>
      <c r="I287" t="n">
        <v>238364833668</v>
      </c>
      <c r="J287" t="n">
        <v>2000</v>
      </c>
      <c r="K287" t="n">
        <v>46386</v>
      </c>
      <c r="L287" t="n">
        <v>2500</v>
      </c>
      <c r="M287" t="n">
        <v>1100</v>
      </c>
      <c r="N287" t="n">
        <v>2430</v>
      </c>
      <c r="O287" t="n">
        <v>3860</v>
      </c>
      <c r="P287" t="n">
        <v>5290</v>
      </c>
      <c r="Q287" t="n">
        <v>6720</v>
      </c>
      <c r="R287" t="n">
        <v>8150</v>
      </c>
      <c r="S287" t="n">
        <v>9580</v>
      </c>
      <c r="T287" t="n">
        <v>11010</v>
      </c>
      <c r="U287" t="n">
        <v>12440</v>
      </c>
      <c r="V287" t="n">
        <v>6988</v>
      </c>
      <c r="W287" t="n">
        <v>2144</v>
      </c>
      <c r="X287" t="n">
        <v>1858</v>
      </c>
      <c r="Y287" t="n">
        <v>8660</v>
      </c>
    </row>
    <row r="288">
      <c r="A288" t="n">
        <v>287</v>
      </c>
      <c r="B288" t="n">
        <v>0</v>
      </c>
      <c r="C288" t="n">
        <v>72981</v>
      </c>
      <c r="D288" t="n">
        <v>295011</v>
      </c>
      <c r="E288" t="n">
        <v>4760880</v>
      </c>
      <c r="F288" t="n">
        <v>75290035</v>
      </c>
      <c r="G288" t="n">
        <v>1158816190</v>
      </c>
      <c r="H288" t="n">
        <v>17420685787</v>
      </c>
      <c r="I288" t="n">
        <v>255050372025</v>
      </c>
      <c r="J288" t="n">
        <v>2000</v>
      </c>
      <c r="K288" t="n">
        <v>46850</v>
      </c>
      <c r="L288" t="n">
        <v>2500</v>
      </c>
      <c r="M288" t="n">
        <v>1100</v>
      </c>
      <c r="N288" t="n">
        <v>2435</v>
      </c>
      <c r="O288" t="n">
        <v>3870</v>
      </c>
      <c r="P288" t="n">
        <v>5305</v>
      </c>
      <c r="Q288" t="n">
        <v>6740</v>
      </c>
      <c r="R288" t="n">
        <v>8175</v>
      </c>
      <c r="S288" t="n">
        <v>9610</v>
      </c>
      <c r="T288" t="n">
        <v>11045</v>
      </c>
      <c r="U288" t="n">
        <v>12480</v>
      </c>
      <c r="V288" t="n">
        <v>7027</v>
      </c>
      <c r="W288" t="n">
        <v>2148</v>
      </c>
      <c r="X288" t="n">
        <v>1861</v>
      </c>
      <c r="Y288" t="n">
        <v>8670</v>
      </c>
    </row>
    <row r="289">
      <c r="A289" t="n">
        <v>288</v>
      </c>
      <c r="B289" t="n">
        <v>0</v>
      </c>
      <c r="C289" t="n">
        <v>74076</v>
      </c>
      <c r="D289" t="n">
        <v>300912</v>
      </c>
      <c r="E289" t="n">
        <v>4903707</v>
      </c>
      <c r="F289" t="n">
        <v>78301637</v>
      </c>
      <c r="G289" t="n">
        <v>1216757000</v>
      </c>
      <c r="H289" t="n">
        <v>18465926935</v>
      </c>
      <c r="I289" t="n">
        <v>272903898067</v>
      </c>
      <c r="J289" t="n">
        <v>2000</v>
      </c>
      <c r="K289" t="n">
        <v>47319</v>
      </c>
      <c r="L289" t="n">
        <v>2500</v>
      </c>
      <c r="M289" t="n">
        <v>1100</v>
      </c>
      <c r="N289" t="n">
        <v>2440</v>
      </c>
      <c r="O289" t="n">
        <v>3880</v>
      </c>
      <c r="P289" t="n">
        <v>5320</v>
      </c>
      <c r="Q289" t="n">
        <v>6760</v>
      </c>
      <c r="R289" t="n">
        <v>8200</v>
      </c>
      <c r="S289" t="n">
        <v>9640</v>
      </c>
      <c r="T289" t="n">
        <v>11080</v>
      </c>
      <c r="U289" t="n">
        <v>12520</v>
      </c>
      <c r="V289" t="n">
        <v>7067</v>
      </c>
      <c r="W289" t="n">
        <v>2152</v>
      </c>
      <c r="X289" t="n">
        <v>1864</v>
      </c>
      <c r="Y289" t="n">
        <v>8680</v>
      </c>
    </row>
    <row r="290">
      <c r="A290" t="n">
        <v>289</v>
      </c>
      <c r="B290" t="n">
        <v>0</v>
      </c>
      <c r="C290" t="n">
        <v>75188</v>
      </c>
      <c r="D290" t="n">
        <v>306931</v>
      </c>
      <c r="E290" t="n">
        <v>5050819</v>
      </c>
      <c r="F290" t="n">
        <v>81433703</v>
      </c>
      <c r="G290" t="n">
        <v>1277594850</v>
      </c>
      <c r="H290" t="n">
        <v>19573882552</v>
      </c>
      <c r="I290" t="n">
        <v>292007170932</v>
      </c>
      <c r="J290" t="n">
        <v>2000</v>
      </c>
      <c r="K290" t="n">
        <v>47793</v>
      </c>
      <c r="L290" t="n">
        <v>2500</v>
      </c>
      <c r="M290" t="n">
        <v>1100</v>
      </c>
      <c r="N290" t="n">
        <v>2445</v>
      </c>
      <c r="O290" t="n">
        <v>3890</v>
      </c>
      <c r="P290" t="n">
        <v>5335</v>
      </c>
      <c r="Q290" t="n">
        <v>6780</v>
      </c>
      <c r="R290" t="n">
        <v>8225</v>
      </c>
      <c r="S290" t="n">
        <v>9670</v>
      </c>
      <c r="T290" t="n">
        <v>11115</v>
      </c>
      <c r="U290" t="n">
        <v>12560</v>
      </c>
      <c r="V290" t="n">
        <v>7107</v>
      </c>
      <c r="W290" t="n">
        <v>2156</v>
      </c>
      <c r="X290" t="n">
        <v>1867</v>
      </c>
      <c r="Y290" t="n">
        <v>8690</v>
      </c>
    </row>
    <row r="291">
      <c r="A291" t="n">
        <v>290</v>
      </c>
      <c r="B291" t="n">
        <v>0</v>
      </c>
      <c r="C291" t="n">
        <v>76316</v>
      </c>
      <c r="D291" t="n">
        <v>313070</v>
      </c>
      <c r="E291" t="n">
        <v>5202344</v>
      </c>
      <c r="F291" t="n">
        <v>84691052</v>
      </c>
      <c r="G291" t="n">
        <v>1341474593</v>
      </c>
      <c r="H291" t="n">
        <v>20748315506</v>
      </c>
      <c r="I291" t="n">
        <v>312447672898</v>
      </c>
      <c r="J291" t="n">
        <v>2000</v>
      </c>
      <c r="K291" t="n">
        <v>48271</v>
      </c>
      <c r="L291" t="n">
        <v>2500</v>
      </c>
      <c r="M291" t="n">
        <v>1100</v>
      </c>
      <c r="N291" t="n">
        <v>2450</v>
      </c>
      <c r="O291" t="n">
        <v>3900</v>
      </c>
      <c r="P291" t="n">
        <v>5350</v>
      </c>
      <c r="Q291" t="n">
        <v>6800</v>
      </c>
      <c r="R291" t="n">
        <v>8250</v>
      </c>
      <c r="S291" t="n">
        <v>9700</v>
      </c>
      <c r="T291" t="n">
        <v>11150</v>
      </c>
      <c r="U291" t="n">
        <v>12600</v>
      </c>
      <c r="V291" t="n">
        <v>7147</v>
      </c>
      <c r="W291" t="n">
        <v>2160</v>
      </c>
      <c r="X291" t="n">
        <v>1870</v>
      </c>
      <c r="Y291" t="n">
        <v>8700</v>
      </c>
    </row>
    <row r="292">
      <c r="A292" t="n">
        <v>291</v>
      </c>
      <c r="B292" t="n">
        <v>0</v>
      </c>
      <c r="C292" t="n">
        <v>77461</v>
      </c>
      <c r="D292" t="n">
        <v>319332</v>
      </c>
      <c r="E292" t="n">
        <v>5358415</v>
      </c>
      <c r="F292" t="n">
        <v>88078695</v>
      </c>
      <c r="G292" t="n">
        <v>1408548323</v>
      </c>
      <c r="H292" t="n">
        <v>21993214437</v>
      </c>
      <c r="I292" t="n">
        <v>334319010001</v>
      </c>
      <c r="J292" t="n">
        <v>2000</v>
      </c>
      <c r="K292" t="n">
        <v>48754</v>
      </c>
      <c r="L292" t="n">
        <v>2500</v>
      </c>
      <c r="M292" t="n">
        <v>1100</v>
      </c>
      <c r="N292" t="n">
        <v>2455</v>
      </c>
      <c r="O292" t="n">
        <v>3910</v>
      </c>
      <c r="P292" t="n">
        <v>5365</v>
      </c>
      <c r="Q292" t="n">
        <v>6820</v>
      </c>
      <c r="R292" t="n">
        <v>8275</v>
      </c>
      <c r="S292" t="n">
        <v>9730</v>
      </c>
      <c r="T292" t="n">
        <v>11185</v>
      </c>
      <c r="U292" t="n">
        <v>12640</v>
      </c>
      <c r="V292" t="n">
        <v>7187</v>
      </c>
      <c r="W292" t="n">
        <v>2164</v>
      </c>
      <c r="X292" t="n">
        <v>1873</v>
      </c>
      <c r="Y292" t="n">
        <v>8710</v>
      </c>
    </row>
    <row r="293">
      <c r="A293" t="n">
        <v>292</v>
      </c>
      <c r="B293" t="n">
        <v>0</v>
      </c>
      <c r="C293" t="n">
        <v>78623</v>
      </c>
      <c r="D293" t="n">
        <v>325719</v>
      </c>
      <c r="E293" t="n">
        <v>5519168</v>
      </c>
      <c r="F293" t="n">
        <v>91601843</v>
      </c>
      <c r="G293" t="n">
        <v>1478975740</v>
      </c>
      <c r="H293" t="n">
        <v>23312807304</v>
      </c>
      <c r="I293" t="n">
        <v>357721340702</v>
      </c>
      <c r="J293" t="n">
        <v>2000</v>
      </c>
      <c r="K293" t="n">
        <v>49242</v>
      </c>
      <c r="L293" t="n">
        <v>2500</v>
      </c>
      <c r="M293" t="n">
        <v>1100</v>
      </c>
      <c r="N293" t="n">
        <v>2460</v>
      </c>
      <c r="O293" t="n">
        <v>3920</v>
      </c>
      <c r="P293" t="n">
        <v>5380</v>
      </c>
      <c r="Q293" t="n">
        <v>6840</v>
      </c>
      <c r="R293" t="n">
        <v>8300</v>
      </c>
      <c r="S293" t="n">
        <v>9760</v>
      </c>
      <c r="T293" t="n">
        <v>11220</v>
      </c>
      <c r="U293" t="n">
        <v>12680</v>
      </c>
      <c r="V293" t="n">
        <v>7227</v>
      </c>
      <c r="W293" t="n">
        <v>2168</v>
      </c>
      <c r="X293" t="n">
        <v>1876</v>
      </c>
      <c r="Y293" t="n">
        <v>8720</v>
      </c>
    </row>
    <row r="294">
      <c r="A294" t="n">
        <v>293</v>
      </c>
      <c r="B294" t="n">
        <v>0</v>
      </c>
      <c r="C294" t="n">
        <v>79803</v>
      </c>
      <c r="D294" t="n">
        <v>332234</v>
      </c>
      <c r="E294" t="n">
        <v>5684744</v>
      </c>
      <c r="F294" t="n">
        <v>95265917</v>
      </c>
      <c r="G294" t="n">
        <v>1552924527</v>
      </c>
      <c r="H294" t="n">
        <v>24711575743</v>
      </c>
      <c r="I294" t="n">
        <v>382761834552</v>
      </c>
      <c r="J294" t="n">
        <v>2000</v>
      </c>
      <c r="K294" t="n">
        <v>49735</v>
      </c>
      <c r="L294" t="n">
        <v>2500</v>
      </c>
      <c r="M294" t="n">
        <v>1100</v>
      </c>
      <c r="N294" t="n">
        <v>2465</v>
      </c>
      <c r="O294" t="n">
        <v>3930</v>
      </c>
      <c r="P294" t="n">
        <v>5395</v>
      </c>
      <c r="Q294" t="n">
        <v>6860</v>
      </c>
      <c r="R294" t="n">
        <v>8325</v>
      </c>
      <c r="S294" t="n">
        <v>9790</v>
      </c>
      <c r="T294" t="n">
        <v>11255</v>
      </c>
      <c r="U294" t="n">
        <v>12720</v>
      </c>
      <c r="V294" t="n">
        <v>7268</v>
      </c>
      <c r="W294" t="n">
        <v>2172</v>
      </c>
      <c r="X294" t="n">
        <v>1879</v>
      </c>
      <c r="Y294" t="n">
        <v>8730</v>
      </c>
    </row>
    <row r="295">
      <c r="A295" t="n">
        <v>294</v>
      </c>
      <c r="B295" t="n">
        <v>0</v>
      </c>
      <c r="C295" t="n">
        <v>81001</v>
      </c>
      <c r="D295" t="n">
        <v>338879</v>
      </c>
      <c r="E295" t="n">
        <v>5855287</v>
      </c>
      <c r="F295" t="n">
        <v>99076554</v>
      </c>
      <c r="G295" t="n">
        <v>1630570754</v>
      </c>
      <c r="H295" t="n">
        <v>26194270288</v>
      </c>
      <c r="I295" t="n">
        <v>409555162971</v>
      </c>
      <c r="J295" t="n">
        <v>2000</v>
      </c>
      <c r="K295" t="n">
        <v>50233</v>
      </c>
      <c r="L295" t="n">
        <v>2500</v>
      </c>
      <c r="M295" t="n">
        <v>1100</v>
      </c>
      <c r="N295" t="n">
        <v>2470</v>
      </c>
      <c r="O295" t="n">
        <v>3940</v>
      </c>
      <c r="P295" t="n">
        <v>5410</v>
      </c>
      <c r="Q295" t="n">
        <v>6880</v>
      </c>
      <c r="R295" t="n">
        <v>8350</v>
      </c>
      <c r="S295" t="n">
        <v>9820</v>
      </c>
      <c r="T295" t="n">
        <v>11290</v>
      </c>
      <c r="U295" t="n">
        <v>12760</v>
      </c>
      <c r="V295" t="n">
        <v>7309</v>
      </c>
      <c r="W295" t="n">
        <v>2176</v>
      </c>
      <c r="X295" t="n">
        <v>1882</v>
      </c>
      <c r="Y295" t="n">
        <v>8740</v>
      </c>
    </row>
    <row r="296">
      <c r="A296" t="n">
        <v>295</v>
      </c>
      <c r="B296" t="n">
        <v>0</v>
      </c>
      <c r="C296" t="n">
        <v>82217</v>
      </c>
      <c r="D296" t="n">
        <v>345657</v>
      </c>
      <c r="E296" t="n">
        <v>6030946</v>
      </c>
      <c r="F296" t="n">
        <v>103039617</v>
      </c>
      <c r="G296" t="n">
        <v>1712099292</v>
      </c>
      <c r="H296" t="n">
        <v>27765926506</v>
      </c>
      <c r="I296" t="n">
        <v>438224024379</v>
      </c>
      <c r="J296" t="n">
        <v>2000</v>
      </c>
      <c r="K296" t="n">
        <v>50736</v>
      </c>
      <c r="L296" t="n">
        <v>2500</v>
      </c>
      <c r="M296" t="n">
        <v>1100</v>
      </c>
      <c r="N296" t="n">
        <v>2475</v>
      </c>
      <c r="O296" t="n">
        <v>3950</v>
      </c>
      <c r="P296" t="n">
        <v>5425</v>
      </c>
      <c r="Q296" t="n">
        <v>6900</v>
      </c>
      <c r="R296" t="n">
        <v>8375</v>
      </c>
      <c r="S296" t="n">
        <v>9850</v>
      </c>
      <c r="T296" t="n">
        <v>11325</v>
      </c>
      <c r="U296" t="n">
        <v>12800</v>
      </c>
      <c r="V296" t="n">
        <v>7350</v>
      </c>
      <c r="W296" t="n">
        <v>2180</v>
      </c>
      <c r="X296" t="n">
        <v>1885</v>
      </c>
      <c r="Y296" t="n">
        <v>8750</v>
      </c>
    </row>
    <row r="297">
      <c r="A297" t="n">
        <v>296</v>
      </c>
      <c r="B297" t="n">
        <v>0</v>
      </c>
      <c r="C297" t="n">
        <v>83451</v>
      </c>
      <c r="D297" t="n">
        <v>352571</v>
      </c>
      <c r="E297" t="n">
        <v>6211875</v>
      </c>
      <c r="F297" t="n">
        <v>107161202</v>
      </c>
      <c r="G297" t="n">
        <v>1797704257</v>
      </c>
      <c r="H297" t="n">
        <v>29431882097</v>
      </c>
      <c r="I297" t="n">
        <v>468899706086</v>
      </c>
      <c r="J297" t="n">
        <v>2000</v>
      </c>
      <c r="K297" t="n">
        <v>51244</v>
      </c>
      <c r="L297" t="n">
        <v>2500</v>
      </c>
      <c r="M297" t="n">
        <v>1100</v>
      </c>
      <c r="N297" t="n">
        <v>2480</v>
      </c>
      <c r="O297" t="n">
        <v>3960</v>
      </c>
      <c r="P297" t="n">
        <v>5440</v>
      </c>
      <c r="Q297" t="n">
        <v>6920</v>
      </c>
      <c r="R297" t="n">
        <v>8400</v>
      </c>
      <c r="S297" t="n">
        <v>9880</v>
      </c>
      <c r="T297" t="n">
        <v>11360</v>
      </c>
      <c r="U297" t="n">
        <v>12840</v>
      </c>
      <c r="V297" t="n">
        <v>7391</v>
      </c>
      <c r="W297" t="n">
        <v>2184</v>
      </c>
      <c r="X297" t="n">
        <v>1888</v>
      </c>
      <c r="Y297" t="n">
        <v>8760</v>
      </c>
    </row>
    <row r="298">
      <c r="A298" t="n">
        <v>297</v>
      </c>
      <c r="B298" t="n">
        <v>0</v>
      </c>
      <c r="C298" t="n">
        <v>84703</v>
      </c>
      <c r="D298" t="n">
        <v>359623</v>
      </c>
      <c r="E298" t="n">
        <v>6398232</v>
      </c>
      <c r="F298" t="n">
        <v>111447651</v>
      </c>
      <c r="G298" t="n">
        <v>1887589470</v>
      </c>
      <c r="H298" t="n">
        <v>31197795023</v>
      </c>
      <c r="I298" t="n">
        <v>501722685513</v>
      </c>
      <c r="J298" t="n">
        <v>2000</v>
      </c>
      <c r="K298" t="n">
        <v>51757</v>
      </c>
      <c r="L298" t="n">
        <v>2500</v>
      </c>
      <c r="M298" t="n">
        <v>1100</v>
      </c>
      <c r="N298" t="n">
        <v>2485</v>
      </c>
      <c r="O298" t="n">
        <v>3970</v>
      </c>
      <c r="P298" t="n">
        <v>5455</v>
      </c>
      <c r="Q298" t="n">
        <v>6940</v>
      </c>
      <c r="R298" t="n">
        <v>8425</v>
      </c>
      <c r="S298" t="n">
        <v>9910</v>
      </c>
      <c r="T298" t="n">
        <v>11395</v>
      </c>
      <c r="U298" t="n">
        <v>12880</v>
      </c>
      <c r="V298" t="n">
        <v>7432</v>
      </c>
      <c r="W298" t="n">
        <v>2188</v>
      </c>
      <c r="X298" t="n">
        <v>1891</v>
      </c>
      <c r="Y298" t="n">
        <v>8770</v>
      </c>
    </row>
    <row r="299">
      <c r="A299" t="n">
        <v>298</v>
      </c>
      <c r="B299" t="n">
        <v>0</v>
      </c>
      <c r="C299" t="n">
        <v>85974</v>
      </c>
      <c r="D299" t="n">
        <v>366816</v>
      </c>
      <c r="E299" t="n">
        <v>6590179</v>
      </c>
      <c r="F299" t="n">
        <v>115905558</v>
      </c>
      <c r="G299" t="n">
        <v>1981968944</v>
      </c>
      <c r="H299" t="n">
        <v>33069662725</v>
      </c>
      <c r="I299" t="n">
        <v>536843273499</v>
      </c>
      <c r="J299" t="n">
        <v>2000</v>
      </c>
      <c r="K299" t="n">
        <v>52275</v>
      </c>
      <c r="L299" t="n">
        <v>2500</v>
      </c>
      <c r="M299" t="n">
        <v>1100</v>
      </c>
      <c r="N299" t="n">
        <v>2490</v>
      </c>
      <c r="O299" t="n">
        <v>3980</v>
      </c>
      <c r="P299" t="n">
        <v>5470</v>
      </c>
      <c r="Q299" t="n">
        <v>6960</v>
      </c>
      <c r="R299" t="n">
        <v>8450</v>
      </c>
      <c r="S299" t="n">
        <v>9940</v>
      </c>
      <c r="T299" t="n">
        <v>11430</v>
      </c>
      <c r="U299" t="n">
        <v>12920</v>
      </c>
      <c r="V299" t="n">
        <v>7474</v>
      </c>
      <c r="W299" t="n">
        <v>2192</v>
      </c>
      <c r="X299" t="n">
        <v>1894</v>
      </c>
      <c r="Y299" t="n">
        <v>8780</v>
      </c>
    </row>
    <row r="300">
      <c r="A300" t="n">
        <v>299</v>
      </c>
      <c r="B300" t="n">
        <v>0</v>
      </c>
      <c r="C300" t="n">
        <v>87264</v>
      </c>
      <c r="D300" t="n">
        <v>374153</v>
      </c>
      <c r="E300" t="n">
        <v>6787885</v>
      </c>
      <c r="F300" t="n">
        <v>120541781</v>
      </c>
      <c r="G300" t="n">
        <v>2081067392</v>
      </c>
      <c r="H300" t="n">
        <v>35053842489</v>
      </c>
      <c r="I300" t="n">
        <v>574422302644</v>
      </c>
      <c r="J300" t="n">
        <v>2000</v>
      </c>
      <c r="K300" t="n">
        <v>52798</v>
      </c>
      <c r="L300" t="n">
        <v>2500</v>
      </c>
      <c r="M300" t="n">
        <v>1100</v>
      </c>
      <c r="N300" t="n">
        <v>2495</v>
      </c>
      <c r="O300" t="n">
        <v>3990</v>
      </c>
      <c r="P300" t="n">
        <v>5485</v>
      </c>
      <c r="Q300" t="n">
        <v>6980</v>
      </c>
      <c r="R300" t="n">
        <v>8475</v>
      </c>
      <c r="S300" t="n">
        <v>9970</v>
      </c>
      <c r="T300" t="n">
        <v>11465</v>
      </c>
      <c r="U300" t="n">
        <v>12960</v>
      </c>
      <c r="V300" t="n">
        <v>7516</v>
      </c>
      <c r="W300" t="n">
        <v>2196</v>
      </c>
      <c r="X300" t="n">
        <v>1897</v>
      </c>
      <c r="Y300" t="n">
        <v>8790</v>
      </c>
    </row>
    <row r="301">
      <c r="A301" t="n">
        <v>300</v>
      </c>
      <c r="B301" t="n">
        <v>0</v>
      </c>
      <c r="C301" t="n">
        <v>88573</v>
      </c>
      <c r="D301" t="n">
        <v>381637</v>
      </c>
      <c r="E301" t="n">
        <v>6991522</v>
      </c>
      <c r="F301" t="n">
        <v>125363453</v>
      </c>
      <c r="G301" t="n">
        <v>2185120762</v>
      </c>
      <c r="H301" t="n">
        <v>37157073039</v>
      </c>
      <c r="I301" t="n">
        <v>614631863830</v>
      </c>
      <c r="J301" t="n">
        <v>2000</v>
      </c>
      <c r="K301" t="n">
        <v>53326</v>
      </c>
      <c r="L301" t="n">
        <v>2500</v>
      </c>
      <c r="M301" t="n">
        <v>1100</v>
      </c>
      <c r="N301" t="n">
        <v>2500</v>
      </c>
      <c r="O301" t="n">
        <v>4000</v>
      </c>
      <c r="P301" t="n">
        <v>5500</v>
      </c>
      <c r="Q301" t="n">
        <v>7000</v>
      </c>
      <c r="R301" t="n">
        <v>8500</v>
      </c>
      <c r="S301" t="n">
        <v>10000</v>
      </c>
      <c r="T301" t="n">
        <v>11500</v>
      </c>
      <c r="U301" t="n">
        <v>13000</v>
      </c>
      <c r="V301" t="n">
        <v>7558</v>
      </c>
      <c r="W301" t="n">
        <v>2200</v>
      </c>
      <c r="X301" t="n">
        <v>1900</v>
      </c>
      <c r="Y301" t="n">
        <v>8800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31"/>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8" customWidth="1" min="3" max="3"/>
    <col width="11" customWidth="1" min="4" max="4"/>
    <col width="15" customWidth="1" min="5" max="5"/>
    <col width="13" customWidth="1" min="6" max="6"/>
    <col width="11" customWidth="1" min="7" max="7"/>
    <col width="8" customWidth="1" min="8" max="8"/>
    <col width="13" customWidth="1" min="9" max="9"/>
    <col width="11" customWidth="1" min="10" max="10"/>
    <col width="12" customWidth="1" min="11" max="11"/>
    <col width="18" customWidth="1" min="12" max="12"/>
    <col width="11" customWidth="1" min="13" max="13"/>
    <col width="14" customWidth="1" min="14" max="14"/>
    <col width="17" customWidth="1" min="15" max="15"/>
    <col width="16" customWidth="1" min="16" max="16"/>
    <col width="18" customWidth="1" min="17" max="17"/>
    <col width="17" customWidth="1" min="18" max="18"/>
    <col width="16" customWidth="1" min="19" max="19"/>
    <col width="16" customWidth="1" min="20" max="20"/>
    <col width="17" customWidth="1" min="21" max="21"/>
    <col width="20" customWidth="1" min="22" max="22"/>
    <col width="18" customWidth="1" min="23" max="23"/>
    <col width="15" customWidth="1" min="24" max="24"/>
    <col width="14" customWidth="1" min="25" max="25"/>
    <col width="16" customWidth="1" min="26" max="26"/>
    <col width="20" customWidth="1" min="27" max="27"/>
    <col width="20" customWidth="1" min="28" max="28"/>
    <col width="8" customWidth="1" min="29" max="29"/>
    <col width="60" customWidth="1" min="30" max="30"/>
  </cols>
  <sheetData>
    <row r="1">
      <c r="A1" s="8" t="inlineStr">
        <is>
          <t>Key</t>
        </is>
      </c>
      <c r="B1" s="8" t="inlineStr">
        <is>
          <t>Name</t>
        </is>
      </c>
      <c r="C1" s="8" t="inlineStr">
        <is>
          <t>JobStep</t>
        </is>
      </c>
      <c r="D1" s="8" t="inlineStr">
        <is>
          <t>Cooldown(s)</t>
        </is>
      </c>
      <c r="E1" s="8" t="inlineStr">
        <is>
          <t>CostsActionSlot</t>
        </is>
      </c>
      <c r="F1" s="8" t="inlineStr">
        <is>
          <t>ActionsPerCast</t>
        </is>
      </c>
      <c r="G1" s="8" t="inlineStr">
        <is>
          <t>HitsPerCast</t>
        </is>
      </c>
      <c r="H1" s="8" t="inlineStr">
        <is>
          <t>ICD(s)</t>
        </is>
      </c>
      <c r="I1" s="8" t="inlineStr">
        <is>
          <t>ActiveWindow(s)</t>
        </is>
      </c>
      <c r="J1" s="8" t="inlineStr">
        <is>
          <t>ProcChance%</t>
        </is>
      </c>
      <c r="K1" s="8" t="inlineStr">
        <is>
          <t>RollsPerCast</t>
        </is>
      </c>
      <c r="L1" s="8" t="inlineStr">
        <is>
          <t>BaseDamage(tenths%)</t>
        </is>
      </c>
      <c r="M1" s="8" t="inlineStr">
        <is>
          <t>FactorIndex</t>
        </is>
      </c>
      <c r="N1" s="8" t="inlineStr">
        <is>
          <t>ScalesWithLevel</t>
        </is>
      </c>
      <c r="O1" s="8" t="inlineStr">
        <is>
          <t>SkillMasteryBonus%</t>
        </is>
      </c>
      <c r="P1" s="8" t="inlineStr">
        <is>
          <t>MasteryBossDamage%</t>
        </is>
      </c>
      <c r="Q1" s="8" t="inlineStr">
        <is>
          <t>MasteryNormalDamage%</t>
        </is>
      </c>
      <c r="R1" s="8" t="inlineStr">
        <is>
          <t>MasteryFinalDamage%</t>
        </is>
      </c>
      <c r="S1" s="8" t="inlineStr">
        <is>
          <t>MasteryMaxDamage%</t>
        </is>
      </c>
      <c r="T1" s="8" t="inlineStr">
        <is>
          <t>MasteryMinDamage%</t>
        </is>
      </c>
      <c r="U1" s="8" t="inlineStr">
        <is>
          <t>MasteryCooldownPct</t>
        </is>
      </c>
      <c r="V1" s="8" t="inlineStr">
        <is>
          <t>MasteryTargetIncrease</t>
        </is>
      </c>
      <c r="W1" s="8" t="inlineStr">
        <is>
          <t>NormalMonsterTargets</t>
        </is>
      </c>
      <c r="X1" s="8" t="inlineStr">
        <is>
          <t>BuffTargetStat</t>
        </is>
      </c>
      <c r="Y1" s="8" t="inlineStr">
        <is>
          <t>BuffDuration(s)</t>
        </is>
      </c>
      <c r="Z1" s="8" t="inlineStr">
        <is>
          <t>TriggersToxicVenom</t>
        </is>
      </c>
      <c r="AA1" s="8" t="inlineStr">
        <is>
          <t>MapleHeroBase(tenths%)</t>
        </is>
      </c>
      <c r="AB1" s="8" t="inlineStr">
        <is>
          <t>MapleHeroFactorIndex</t>
        </is>
      </c>
      <c r="AC1" s="8" t="inlineStr">
        <is>
          <t>Stacks</t>
        </is>
      </c>
      <c r="AD1" s="8" t="inlineStr">
        <is>
          <t>Note</t>
        </is>
      </c>
    </row>
    <row r="2">
      <c r="A2" t="inlineStr">
        <is>
          <t>SHOWDOWN</t>
        </is>
      </c>
      <c r="B2" t="inlineStr">
        <is>
          <t>Showdown</t>
        </is>
      </c>
      <c r="C2" t="n">
        <v>4</v>
      </c>
      <c r="D2" t="inlineStr"/>
      <c r="E2" t="b">
        <v>0</v>
      </c>
      <c r="F2" t="n">
        <v>1</v>
      </c>
      <c r="G2">
        <f>IF(Inputs!$B$3&gt;=134,6,5)</f>
        <v/>
      </c>
      <c r="H2" t="n">
        <v>0</v>
      </c>
      <c r="I2" t="n">
        <v>0</v>
      </c>
      <c r="J2" t="n">
        <v>100</v>
      </c>
      <c r="K2" t="n">
        <v>1</v>
      </c>
      <c r="L2" t="inlineStr"/>
      <c r="M2" t="inlineStr"/>
      <c r="N2" t="b">
        <v>1</v>
      </c>
      <c r="O2">
        <f>SUMPRODUCT((Inputs!$B$3&gt;={98,104,113,118,126,130})*{10,1,1,1,1,1})</f>
        <v/>
      </c>
      <c r="P2">
        <f>SUMPRODUCT((Inputs!$B$3&gt;={108,122})*{10,10})</f>
        <v/>
      </c>
      <c r="Q2" t="n">
        <v>0</v>
      </c>
      <c r="R2" t="n">
        <v>0</v>
      </c>
      <c r="S2" t="n">
        <v>0</v>
      </c>
      <c r="T2" t="n">
        <v>0</v>
      </c>
      <c r="U2" t="n">
        <v>0</v>
      </c>
      <c r="V2" t="n">
        <v>0</v>
      </c>
      <c r="W2">
        <f>6+Inputs!$B$32</f>
        <v/>
      </c>
      <c r="X2" t="inlineStr"/>
      <c r="Y2" t="n">
        <v>0</v>
      </c>
      <c r="Z2" t="b">
        <v>1</v>
      </c>
      <c r="AA2" t="inlineStr"/>
      <c r="AB2" t="inlineStr"/>
      <c r="AC2" t="inlineStr"/>
      <c r="AD2" t="inlineStr">
        <is>
          <t>4th-job basic-attack effect (superseded from Lucky Seven/Shuriken Burst/Shuriken Challenge, per the project's job-tier-is-gone scope). 5 hits per activation (Mastery Lv.134 'Strike' -&gt; 6), 6+Basic Attack Target Increase targets vs normal monsters. Reverse-engineered from the wiki's 290%-&gt;522% (levels 1-200) curve: factorIndex 21, baseDamage 2900 tenths%. Coefficient = Inputs!skill_coefficient (computed from this same factor) + SkillMasteryBonus%. SkillMasteryBonus% is the 6-tier 'Showdown - Damage' mastery chain (98/104/113/118/126/130), each entry showing the CUMULATIVE total (10%, 11%, ..., 15%) per the game's own tooltip convention (confirmed against the identically-shaped Shuriken Challenge/Boss-Damage mastery chains elsewhere in this table), so level_gated_sum uses DELTA increments (10, then +1 five times) to reproduce that curve, not the raw displayed percentages. MasteryBossDamage% is the 2-tier 'Showdown - Boss Monster Damage' chain (108, 122), each independently +10% (same two-tier stacking pattern as Shuriken Challenge's own Boss Damage masteries at 68/82), totaling +20%.</t>
        </is>
      </c>
    </row>
    <row r="3">
      <c r="A3" t="inlineStr">
        <is>
          <t>GUST_CHARM</t>
        </is>
      </c>
      <c r="B3" t="inlineStr">
        <is>
          <t>Gust Charm</t>
        </is>
      </c>
      <c r="C3" t="n">
        <v>2</v>
      </c>
      <c r="D3" t="n">
        <v>24</v>
      </c>
      <c r="E3" t="b">
        <v>1</v>
      </c>
      <c r="F3" t="n">
        <v>1</v>
      </c>
      <c r="G3" t="n">
        <v>1</v>
      </c>
      <c r="H3" t="n">
        <v>0</v>
      </c>
      <c r="I3" t="n">
        <v>0</v>
      </c>
      <c r="J3" t="n">
        <v>100</v>
      </c>
      <c r="K3" t="n">
        <v>1</v>
      </c>
      <c r="L3" t="n">
        <v>4000</v>
      </c>
      <c r="M3" t="n">
        <v>12</v>
      </c>
      <c r="N3" t="b">
        <v>1</v>
      </c>
      <c r="O3">
        <f>SUMPRODUCT((Inputs!$B$3&gt;={39})*{80})</f>
        <v/>
      </c>
      <c r="P3" t="n">
        <v>0</v>
      </c>
      <c r="Q3" t="n">
        <v>0</v>
      </c>
      <c r="R3" t="n">
        <v>0</v>
      </c>
      <c r="S3" t="n">
        <v>0</v>
      </c>
      <c r="T3" t="n">
        <v>0</v>
      </c>
      <c r="U3" t="n">
        <v>0</v>
      </c>
      <c r="V3" t="n">
        <v>0</v>
      </c>
      <c r="W3" t="n">
        <v>8</v>
      </c>
      <c r="X3" t="inlineStr"/>
      <c r="Y3" t="n">
        <v>0</v>
      </c>
      <c r="Z3" t="b">
        <v>1</v>
      </c>
      <c r="AA3" t="n">
        <v>1300</v>
      </c>
      <c r="AB3" t="n">
        <v>23</v>
      </c>
      <c r="AC3" t="inlineStr"/>
      <c r="AD3" t="inlineStr">
        <is>
          <t>Patched: targets 6-&gt;8, stun 1.5s-&gt;2s (stun not modeled), Mastery Lv.39 re-typed from '+50% stun duration' to '+80% Damage' (now a real SkillMasteryBonus%). Damage curve itself (400%-&gt;600%, levels 1-100) unpatched — factorIndex 12, baseDamage 4000 tenths%. Maple Hero (NL) target: 130%-&gt;1014% (levels 1-200), factorIndex 23.</t>
        </is>
      </c>
    </row>
    <row r="4">
      <c r="A4" t="inlineStr">
        <is>
          <t>MARK_OF_ASSASSIN</t>
        </is>
      </c>
      <c r="B4" t="inlineStr">
        <is>
          <t>Assassin's Mark</t>
        </is>
      </c>
      <c r="C4" t="n">
        <v>2</v>
      </c>
      <c r="D4">
        <f>IF(Inputs!$B$3&gt;=138,2,2.5)</f>
        <v/>
      </c>
      <c r="E4" t="b">
        <v>0</v>
      </c>
      <c r="F4" t="n">
        <v>1</v>
      </c>
      <c r="G4" t="n">
        <v>1</v>
      </c>
      <c r="H4" t="n">
        <v>0</v>
      </c>
      <c r="I4" t="n">
        <v>0</v>
      </c>
      <c r="J4" t="n">
        <v>100</v>
      </c>
      <c r="K4" t="n">
        <v>1</v>
      </c>
      <c r="L4" t="n">
        <v>1900</v>
      </c>
      <c r="M4" t="n">
        <v>21</v>
      </c>
      <c r="N4" t="b">
        <v>1</v>
      </c>
      <c r="O4">
        <f>SUMPRODUCT((Inputs!$B$3&gt;={42})*{80})</f>
        <v/>
      </c>
      <c r="P4">
        <f>IF(Inputs!$B$3&gt;=122,8,0)</f>
        <v/>
      </c>
      <c r="Q4">
        <f>IF(Inputs!$B$3&gt;=122,8,0)</f>
        <v/>
      </c>
      <c r="R4">
        <f>IF(Inputs!$B$3&gt;=107,Calc!F31,0)</f>
        <v/>
      </c>
      <c r="S4" t="n">
        <v>0</v>
      </c>
      <c r="T4" t="n">
        <v>0</v>
      </c>
      <c r="U4" t="n">
        <v>0</v>
      </c>
      <c r="V4">
        <f>IF(Inputs!$B$3&gt;=107,3,0)</f>
        <v/>
      </c>
      <c r="W4">
        <f>7+Skills!V4</f>
        <v/>
      </c>
      <c r="X4" t="inlineStr"/>
      <c r="Y4" t="n">
        <v>0</v>
      </c>
      <c r="Z4" t="b">
        <v>1</v>
      </c>
      <c r="AA4" t="inlineStr"/>
      <c r="AB4" t="inlineStr"/>
      <c r="AC4" t="inlineStr"/>
      <c r="AD4" t="inlineStr">
        <is>
          <t>Simplified to a periodic AoE tick per the approved plan — mark-application and mark-consumption collapsed into one instantaneous hit every effective cooldown, no mark-duty-cycle modeling. Patched: interval 5s-&gt;2.5s (then -0.5s more at Mastery Lv.138 -&gt; 2s), duration 5s-&gt;2.5s (irrelevant under this simplification), damage 300%-&gt;190%. factorIndex 21 (from the unpatched 300%-&gt;420% wiki curve), baseDamage 1900 tenths% (190% patched base). Not a player-cast action (CostsActionSlot=False) — it's a passive, automatic AoE proc, not a deliberate cast. Base 7 targets, +3 (MasteryTargetIncrease) once Night Lord's Mark unlocks at level 107. MasteryFinalDamage% pulls Night Lord's Mark's own Calc!F live (a real, always-on contributor, not baked into Inputs). SkillMasteryBonus% is Mastery Lv.42 ('Mark of Assassin - Damage', +80%, unaffected by the patch). Mastery Lv.122 ('Weaken', patched): marked targets take +8% Damage Taken for 2s — since this row's own tick both places AND consumes the mark in the same instant (no separate 'hit that lands on an already-marked target' event exists in this simplified model), the +8% is folded directly into THIS row's own MasteryBossDamage%/MasteryNormalDamage% (applies only to Assassin's Mark's own hit, once per effective cooldown — not a duty-cycle-averaged window benefiting other skills' hits in between).</t>
        </is>
      </c>
    </row>
    <row r="5">
      <c r="A5" t="inlineStr">
        <is>
          <t>TRIPLE_THROW</t>
        </is>
      </c>
      <c r="B5" t="inlineStr">
        <is>
          <t>Triple Throw</t>
        </is>
      </c>
      <c r="C5" t="n">
        <v>3</v>
      </c>
      <c r="D5" t="n">
        <v>13</v>
      </c>
      <c r="E5" t="b">
        <v>1</v>
      </c>
      <c r="F5" t="n">
        <v>1</v>
      </c>
      <c r="G5" t="n">
        <v>3</v>
      </c>
      <c r="H5" t="n">
        <v>0</v>
      </c>
      <c r="I5" t="n">
        <v>0</v>
      </c>
      <c r="J5" t="n">
        <v>100</v>
      </c>
      <c r="K5" t="n">
        <v>1</v>
      </c>
      <c r="L5" t="n">
        <v>3600</v>
      </c>
      <c r="M5" t="n">
        <v>12</v>
      </c>
      <c r="N5" t="b">
        <v>1</v>
      </c>
      <c r="O5">
        <f>SUMPRODUCT((Inputs!$B$3&gt;={71})*{100})</f>
        <v/>
      </c>
      <c r="P5" t="n">
        <v>0</v>
      </c>
      <c r="Q5" t="n">
        <v>0</v>
      </c>
      <c r="R5" t="n">
        <v>0</v>
      </c>
      <c r="S5" t="n">
        <v>0</v>
      </c>
      <c r="T5" t="n">
        <v>0</v>
      </c>
      <c r="U5" t="n">
        <v>0</v>
      </c>
      <c r="V5" t="n">
        <v>0</v>
      </c>
      <c r="W5" t="n">
        <v>1</v>
      </c>
      <c r="X5" t="inlineStr"/>
      <c r="Y5" t="n">
        <v>0</v>
      </c>
      <c r="Z5" t="b">
        <v>1</v>
      </c>
      <c r="AA5" t="inlineStr"/>
      <c r="AB5" t="inlineStr"/>
      <c r="AC5" t="inlineStr"/>
      <c r="AD5" t="inlineStr">
        <is>
          <t>Single-target. factorIndex 12, baseDamage 3600 tenths% (360%-&gt;720%, levels 1-200). SkillMasteryBonus% is Mastery Lv.71 ('Triple Throw - Damage', +100%, unaffected by the patch).</t>
        </is>
      </c>
    </row>
    <row r="6">
      <c r="A6" t="inlineStr">
        <is>
          <t>ADRENALIN_FD</t>
        </is>
      </c>
      <c r="B6" t="inlineStr">
        <is>
          <t>Alchemic Adrenaline (Final Damage)</t>
        </is>
      </c>
      <c r="C6" t="n">
        <v>3</v>
      </c>
      <c r="D6" t="inlineStr"/>
      <c r="E6" t="b">
        <v>0</v>
      </c>
      <c r="F6" t="n">
        <v>1</v>
      </c>
      <c r="G6" t="n">
        <v>1</v>
      </c>
      <c r="H6" t="n">
        <v>0</v>
      </c>
      <c r="I6" t="n">
        <v>0</v>
      </c>
      <c r="J6" t="n">
        <v>100</v>
      </c>
      <c r="K6" t="n">
        <v>1</v>
      </c>
      <c r="L6" t="n">
        <v>150</v>
      </c>
      <c r="M6" t="n">
        <v>22</v>
      </c>
      <c r="N6" t="b">
        <v>1</v>
      </c>
      <c r="O6" t="n">
        <v>0</v>
      </c>
      <c r="P6" t="n">
        <v>0</v>
      </c>
      <c r="Q6" t="n">
        <v>0</v>
      </c>
      <c r="R6" t="n">
        <v>0</v>
      </c>
      <c r="S6" t="n">
        <v>0</v>
      </c>
      <c r="T6" t="n">
        <v>0</v>
      </c>
      <c r="U6" t="n">
        <v>0</v>
      </c>
      <c r="V6" t="n">
        <v>0</v>
      </c>
      <c r="W6" t="n">
        <v>1</v>
      </c>
      <c r="X6" t="inlineStr">
        <is>
          <t>FINAL_DAMAGE</t>
        </is>
      </c>
      <c r="Y6">
        <f>IF(Inputs!$B$3&gt;=88,15,10)</f>
        <v/>
      </c>
      <c r="Z6" t="b">
        <v>0</v>
      </c>
      <c r="AA6" t="inlineStr"/>
      <c r="AB6" t="inlineStr"/>
      <c r="AC6" t="inlineStr"/>
      <c r="AD6" t="inlineStr">
        <is>
          <t>Patched: trigger 7 hits-&gt;5 hits, Final Damage base 10%-&gt;15% (curve shape/ratio preserved from the unpatched 10%-&gt;16% wiki curve; factorIndex 22, baseDamage 150 tenths%). Uptime is bespoke — see build_summary_sheet's AdrenalinUptime (action-rate-driven cycle, not the generic BuffDuration/Cooldown ratio) — so this row has no Cooldown(s) of its own and isn't consumed via the generic buff_uptime() helper. Mastery Lv.88 adds +5s to BuffDuration(s).</t>
        </is>
      </c>
    </row>
    <row r="7">
      <c r="A7" t="inlineStr">
        <is>
          <t>ADRENALIN_AS</t>
        </is>
      </c>
      <c r="B7" t="inlineStr">
        <is>
          <t>Alchemic Adrenaline (Attack Speed)</t>
        </is>
      </c>
      <c r="C7" t="n">
        <v>3</v>
      </c>
      <c r="D7" t="inlineStr"/>
      <c r="E7" t="b">
        <v>0</v>
      </c>
      <c r="F7" t="n">
        <v>1</v>
      </c>
      <c r="G7" t="n">
        <v>1</v>
      </c>
      <c r="H7" t="n">
        <v>0</v>
      </c>
      <c r="I7" t="n">
        <v>0</v>
      </c>
      <c r="J7" t="n">
        <v>100</v>
      </c>
      <c r="K7" t="n">
        <v>1</v>
      </c>
      <c r="L7" t="n">
        <v>80</v>
      </c>
      <c r="M7" t="n">
        <v>22</v>
      </c>
      <c r="N7" t="b">
        <v>1</v>
      </c>
      <c r="O7" t="n">
        <v>0</v>
      </c>
      <c r="P7" t="n">
        <v>0</v>
      </c>
      <c r="Q7" t="n">
        <v>0</v>
      </c>
      <c r="R7" t="n">
        <v>0</v>
      </c>
      <c r="S7" t="n">
        <v>0</v>
      </c>
      <c r="T7" t="n">
        <v>0</v>
      </c>
      <c r="U7" t="n">
        <v>0</v>
      </c>
      <c r="V7" t="n">
        <v>0</v>
      </c>
      <c r="W7" t="n">
        <v>1</v>
      </c>
      <c r="X7" t="inlineStr">
        <is>
          <t>ATTACK_SPEED</t>
        </is>
      </c>
      <c r="Y7">
        <f>IF(Inputs!$B$3&gt;=88,15,10)</f>
        <v/>
      </c>
      <c r="Z7" t="b">
        <v>0</v>
      </c>
      <c r="AA7" t="inlineStr"/>
      <c r="AB7" t="inlineStr"/>
      <c r="AC7" t="inlineStr"/>
      <c r="AD7" t="inlineStr">
        <is>
          <t>Same trigger/uptime as Adrenalin (Final Damage) above (8%-&gt;12.8%, levels 1-200), split into its own row since BuffTargetStat only holds one target per row (mirrors Dark Sight's own Crit Rate / Attack split below).</t>
        </is>
      </c>
    </row>
    <row r="8">
      <c r="A8" t="inlineStr">
        <is>
          <t>DARK_FLARE</t>
        </is>
      </c>
      <c r="B8" t="inlineStr">
        <is>
          <t>Dark Flare</t>
        </is>
      </c>
      <c r="C8" t="n">
        <v>3</v>
      </c>
      <c r="D8">
        <f>IF(Inputs!$B$3&gt;=92,45*0.7,45)</f>
        <v/>
      </c>
      <c r="E8" t="b">
        <v>1</v>
      </c>
      <c r="F8" t="n">
        <v>1</v>
      </c>
      <c r="G8">
        <f>IF(Inputs!$B$3&gt;=76,3,2)</f>
        <v/>
      </c>
      <c r="H8">
        <f>IF(Inputs!$B$3&gt;=104,2*0.75,2)</f>
        <v/>
      </c>
      <c r="I8" t="n">
        <v>20</v>
      </c>
      <c r="J8" t="n">
        <v>100</v>
      </c>
      <c r="K8" t="n">
        <v>1</v>
      </c>
      <c r="L8" t="n">
        <v>3300</v>
      </c>
      <c r="M8" t="n">
        <v>12</v>
      </c>
      <c r="N8" t="b">
        <v>1</v>
      </c>
      <c r="O8" t="n">
        <v>0</v>
      </c>
      <c r="P8" t="n">
        <v>0</v>
      </c>
      <c r="Q8" t="n">
        <v>0</v>
      </c>
      <c r="R8" t="n">
        <v>0</v>
      </c>
      <c r="S8" t="n">
        <v>0</v>
      </c>
      <c r="T8" t="n">
        <v>0</v>
      </c>
      <c r="U8">
        <f>IF(Inputs!$B$3&gt;=92,30,0)</f>
        <v/>
      </c>
      <c r="V8" t="n">
        <v>0</v>
      </c>
      <c r="W8" t="n">
        <v>8</v>
      </c>
      <c r="X8" t="inlineStr"/>
      <c r="Y8" t="n">
        <v>0</v>
      </c>
      <c r="Z8" t="b">
        <v>1</v>
      </c>
      <c r="AA8" t="n">
        <v>150</v>
      </c>
      <c r="AB8" t="n">
        <v>23</v>
      </c>
      <c r="AC8" t="inlineStr"/>
      <c r="AD8" t="inlineStr">
        <is>
          <t>Shared w/ Shadower, Maple Hero (NL) target (15%-&gt;117%, levels 1-200, factorIndex 23). Patched: hit interval 5s-&gt;2s, targets 5-&gt;8, damage 400%-&gt;330% (curve shape from the unpatched 400%-&gt;800% wiki curve; factorIndex 12, baseDamage 3300 tenths%). 20s active window / 2s interval = 10 tick-sets x 2 hits = 20 EffectiveHits (was 4x2=8 pre-patch); Mastery Lv.76 ('Dark Flare - Strike', +1 hit per tick-set, 2-&gt;3) brings this to 30 EffectiveHits once unlocked. Mastery Lv.92 (-30% cooldown) and Lv.104 (hit-interval -25%, patched from -40%) are both baked directly into the Cooldown(s)/ICD(s) cell formulas (MasteryCooldownPct column here is reference-only, documenting the 30% used above, per the 'ProcChance%/BuffDuration(s) reference-only' precedent already established in FP-Mage).</t>
        </is>
      </c>
    </row>
    <row r="9">
      <c r="A9" t="inlineStr">
        <is>
          <t>VENOM</t>
        </is>
      </c>
      <c r="B9" t="inlineStr">
        <is>
          <t>Venom</t>
        </is>
      </c>
      <c r="C9" t="n">
        <v>3</v>
      </c>
      <c r="D9" t="n">
        <v>1</v>
      </c>
      <c r="E9" t="b">
        <v>0</v>
      </c>
      <c r="F9" t="n">
        <v>1</v>
      </c>
      <c r="G9" t="n">
        <v>1</v>
      </c>
      <c r="H9" t="n">
        <v>0</v>
      </c>
      <c r="I9" t="n">
        <v>0</v>
      </c>
      <c r="J9" t="n">
        <v>100</v>
      </c>
      <c r="K9" t="n">
        <v>1</v>
      </c>
      <c r="L9" t="n">
        <v>450</v>
      </c>
      <c r="M9" t="n">
        <v>21</v>
      </c>
      <c r="N9" t="b">
        <v>1</v>
      </c>
      <c r="O9" t="n">
        <v>0</v>
      </c>
      <c r="P9" t="n">
        <v>0</v>
      </c>
      <c r="Q9" t="n">
        <v>0</v>
      </c>
      <c r="R9" t="n">
        <v>0</v>
      </c>
      <c r="S9" t="n">
        <v>0</v>
      </c>
      <c r="T9" t="n">
        <v>0</v>
      </c>
      <c r="U9" t="n">
        <v>0</v>
      </c>
      <c r="V9" t="n">
        <v>0</v>
      </c>
      <c r="W9" t="n">
        <v>1</v>
      </c>
      <c r="X9" t="inlineStr"/>
      <c r="Y9" t="n">
        <v>0</v>
      </c>
      <c r="Z9" t="b">
        <v>0</v>
      </c>
      <c r="AA9" t="n">
        <v>500</v>
      </c>
      <c r="AB9" t="n">
        <v>23</v>
      </c>
      <c r="AC9" t="inlineStr"/>
      <c r="AD9" t="inlineStr">
        <is>
          <t>Shared w/ Shadower. Maple Hero (NL) target (50%-&gt;390%, levels 1-200, factorIndex 23). Patched: poison chance 30%-&gt;50% (modeled always-active at steady state regardless — Elemental-Drain-style simplification, even safer now at 50%). Cooldown=1 is the same 'always-on tick' trick FP-Mage's Elemental Drain uses (1 tick/sec forever, not a real cooldown). factorIndex 21, baseDamage 450 tenths% (45%-&gt;81%, levels 1-200). Mastery Lv.82 Weaken (+15%p Damage Taken while poisoned, patched from 12%) is a GLOBAL always-on monster-damage-taken bonus (not per-row) — see global_monster_dmg_bonus_expr in build_calc_sheet, not this row's own Mastery columns.</t>
        </is>
      </c>
    </row>
    <row r="10">
      <c r="A10" t="inlineStr">
        <is>
          <t>TOXIC_VENOM</t>
        </is>
      </c>
      <c r="B10" t="inlineStr">
        <is>
          <t>Toxic Venom</t>
        </is>
      </c>
      <c r="C10" t="n">
        <v>4</v>
      </c>
      <c r="D10" t="inlineStr"/>
      <c r="E10" t="b">
        <v>0</v>
      </c>
      <c r="F10" t="n">
        <v>1</v>
      </c>
      <c r="G10" t="n">
        <v>1</v>
      </c>
      <c r="H10" t="n">
        <v>0</v>
      </c>
      <c r="I10" t="n">
        <v>0</v>
      </c>
      <c r="J10" t="n">
        <v>20</v>
      </c>
      <c r="K10" t="n">
        <v>1</v>
      </c>
      <c r="L10" t="n">
        <v>6000</v>
      </c>
      <c r="M10" t="n">
        <v>21</v>
      </c>
      <c r="N10" t="b">
        <v>1</v>
      </c>
      <c r="O10">
        <f>SUMPRODUCT((Inputs!$B$3&gt;={128})*{100})</f>
        <v/>
      </c>
      <c r="P10" t="n">
        <v>0</v>
      </c>
      <c r="Q10" t="n">
        <v>0</v>
      </c>
      <c r="R10" t="n">
        <v>0</v>
      </c>
      <c r="S10" t="n">
        <v>0</v>
      </c>
      <c r="T10" t="n">
        <v>0</v>
      </c>
      <c r="U10" t="n">
        <v>0</v>
      </c>
      <c r="V10" t="n">
        <v>0</v>
      </c>
      <c r="W10" t="n">
        <v>1</v>
      </c>
      <c r="X10" t="inlineStr"/>
      <c r="Y10" t="n">
        <v>0</v>
      </c>
      <c r="Z10" t="b">
        <v>0</v>
      </c>
      <c r="AA10" t="inlineStr"/>
      <c r="AB10" t="inlineStr"/>
      <c r="AC10" t="inlineStr"/>
      <c r="AD10" t="inlineStr">
        <is>
          <t>Shared w/ Shadower. No ICD — every attack against a (permanently poisoned, by the Venom assumption) target independently rolls the 20% chance. Trigger rate = the combined per-second hit rate (already target-count-multiplied) of every row with TriggersToxicVenom=TRUE (see build_calc_sheet's Calc!S 'HitRate' column and this row's own bespoke O-column formula) — deliberately excludes Venom itself, Toxic Venom itself, Shadow Partner (not an independent hit), and Shadow Shifter's counterattack (a defensive proc, scoped out for simplicity; flagged as an assumption). factorIndex 21, baseDamage 6000 tenths% (600%-&gt;1080%, levels 1-200). SkillMasteryBonus% is Mastery Lv.128 ('Toxic Venom - Damage', +100%, unaffected by the patch).</t>
        </is>
      </c>
    </row>
    <row r="11">
      <c r="A11" t="inlineStr">
        <is>
          <t>SHADOW_PARTNER</t>
        </is>
      </c>
      <c r="B11" t="inlineStr">
        <is>
          <t>Shadow Partner</t>
        </is>
      </c>
      <c r="C11" t="n">
        <v>3</v>
      </c>
      <c r="D11" t="inlineStr"/>
      <c r="E11" t="b">
        <v>0</v>
      </c>
      <c r="F11" t="n">
        <v>1</v>
      </c>
      <c r="G11" t="n">
        <v>1</v>
      </c>
      <c r="H11" t="n">
        <v>0</v>
      </c>
      <c r="I11" t="n">
        <v>0</v>
      </c>
      <c r="J11" t="n">
        <v>25</v>
      </c>
      <c r="K11" t="n">
        <v>1</v>
      </c>
      <c r="L11" t="n">
        <v>840</v>
      </c>
      <c r="M11" t="n">
        <v>21</v>
      </c>
      <c r="N11" t="b">
        <v>1</v>
      </c>
      <c r="O11">
        <f>SUMPRODUCT((Inputs!$B$3&gt;={66})*{100})</f>
        <v/>
      </c>
      <c r="P11" t="n">
        <v>0</v>
      </c>
      <c r="Q11" t="n">
        <v>0</v>
      </c>
      <c r="R11" t="n">
        <v>0</v>
      </c>
      <c r="S11" t="n">
        <v>0</v>
      </c>
      <c r="T11" t="n">
        <v>0</v>
      </c>
      <c r="U11" t="n">
        <v>0</v>
      </c>
      <c r="V11" t="n">
        <v>0</v>
      </c>
      <c r="W11" t="n">
        <v>1</v>
      </c>
      <c r="X11" t="inlineStr"/>
      <c r="Y11" t="n">
        <v>0</v>
      </c>
      <c r="Z11" t="b">
        <v>0</v>
      </c>
      <c r="AA11" t="n">
        <v>500</v>
      </c>
      <c r="AB11" t="n">
        <v>23</v>
      </c>
      <c r="AC11" t="inlineStr"/>
      <c r="AD11" t="inlineStr">
        <is>
          <t>Shared w/ Shadower, Maple Hero (NL) target. Hybrid row: Calc columns D-I are computed exactly like a normal damage row (so Maple Hero (NL)'s MapleHeroMultiplier applies unchanged) but Calc!O is forced to 0 — it isn't an independent hit. Instead Summary!ShadowPartnerAvgMult reads this row's Calc!F/Calc!I directly and folds into the shared extra_mult chain every other row's K-column formula uses. factorIndex 21, baseDamage 840 tenths% (84%-&gt;151.2%, levels 1-200). ProcChance% is the real 25% proc rate. SkillMasteryBonus% is Mastery Lv.66 ('Shadow Partner - Damage', +100%, unaffected by the patch).</t>
        </is>
      </c>
    </row>
    <row r="12">
      <c r="A12" t="inlineStr">
        <is>
          <t>QUAD_STAR</t>
        </is>
      </c>
      <c r="B12" t="inlineStr">
        <is>
          <t>Quad Star</t>
        </is>
      </c>
      <c r="C12" t="n">
        <v>4</v>
      </c>
      <c r="D12">
        <f>IF(Inputs!$B$3&gt;=106,10*0.7,10)</f>
        <v/>
      </c>
      <c r="E12" t="b">
        <v>1</v>
      </c>
      <c r="F12" t="n">
        <v>1</v>
      </c>
      <c r="G12" t="n">
        <v>4</v>
      </c>
      <c r="H12" t="n">
        <v>0</v>
      </c>
      <c r="I12" t="n">
        <v>0</v>
      </c>
      <c r="J12" t="n">
        <v>100</v>
      </c>
      <c r="K12" t="n">
        <v>1</v>
      </c>
      <c r="L12" t="n">
        <v>11500</v>
      </c>
      <c r="M12" t="n">
        <v>12</v>
      </c>
      <c r="N12" t="b">
        <v>1</v>
      </c>
      <c r="O12">
        <f>SUMPRODUCT((Inputs!$B$3&gt;={132})*{50})</f>
        <v/>
      </c>
      <c r="P12" t="n">
        <v>0</v>
      </c>
      <c r="Q12" t="n">
        <v>0</v>
      </c>
      <c r="R12" t="n">
        <v>0</v>
      </c>
      <c r="S12" t="n">
        <v>0</v>
      </c>
      <c r="T12" t="n">
        <v>0</v>
      </c>
      <c r="U12">
        <f>IF(Inputs!$B$3&gt;=106,30,0)</f>
        <v/>
      </c>
      <c r="V12" t="n">
        <v>0</v>
      </c>
      <c r="W12" t="n">
        <v>1</v>
      </c>
      <c r="X12" t="inlineStr"/>
      <c r="Y12" t="n">
        <v>0</v>
      </c>
      <c r="Z12" t="b">
        <v>1</v>
      </c>
      <c r="AA12" t="inlineStr"/>
      <c r="AB12" t="inlineStr"/>
      <c r="AC12" t="inlineStr"/>
      <c r="AD12" t="inlineStr">
        <is>
          <t>Single-target. factorIndex 12, baseDamage 11500 tenths% (1150%-&gt;2300%, levels 1-200). Mastery Lv.106 (-30% cooldown, baked into the Cooldown(s) formula above, MasteryCooldownPct reference-only) and Lv.132 (+50% damage, real SkillMasteryBonus%).</t>
        </is>
      </c>
    </row>
    <row r="13">
      <c r="A13" t="inlineStr">
        <is>
          <t>SUDDEN_RAID_BURST</t>
        </is>
      </c>
      <c r="B13" t="inlineStr">
        <is>
          <t>Sudden Raid (burst)</t>
        </is>
      </c>
      <c r="C13" t="n">
        <v>4</v>
      </c>
      <c r="D13" t="n">
        <v>19</v>
      </c>
      <c r="E13" t="b">
        <v>1</v>
      </c>
      <c r="F13" t="n">
        <v>1</v>
      </c>
      <c r="G13" t="n">
        <v>3</v>
      </c>
      <c r="H13" t="n">
        <v>0</v>
      </c>
      <c r="I13" t="n">
        <v>0</v>
      </c>
      <c r="J13" t="n">
        <v>100</v>
      </c>
      <c r="K13" t="n">
        <v>1</v>
      </c>
      <c r="L13" t="n">
        <v>14000</v>
      </c>
      <c r="M13" t="n">
        <v>12</v>
      </c>
      <c r="N13" t="b">
        <v>1</v>
      </c>
      <c r="O13">
        <f>SUMPRODUCT((Inputs!$B$3&gt;={124})*{50})</f>
        <v/>
      </c>
      <c r="P13" t="n">
        <v>0</v>
      </c>
      <c r="Q13" t="n">
        <v>0</v>
      </c>
      <c r="R13" t="n">
        <v>0</v>
      </c>
      <c r="S13" t="n">
        <v>0</v>
      </c>
      <c r="T13" t="n">
        <v>0</v>
      </c>
      <c r="U13" t="n">
        <v>0</v>
      </c>
      <c r="V13" t="n">
        <v>0</v>
      </c>
      <c r="W13" t="n">
        <v>8</v>
      </c>
      <c r="X13" t="inlineStr"/>
      <c r="Y13" t="n">
        <v>0</v>
      </c>
      <c r="Z13" t="b">
        <v>1</v>
      </c>
      <c r="AA13" t="inlineStr"/>
      <c r="AB13" t="inlineStr"/>
      <c r="AC13" t="inlineStr"/>
      <c r="AD13" t="inlineStr">
        <is>
          <t>Shared w/ Shadower. factorIndex 12, baseDamage 14000 tenths% (1400%-&gt;2800%, levels 1-200). Mastery Lv.124 +50% damage (real SkillMasteryBonus%; does not apply to the DoT row below, matching FP-Mage's own Poison Mist burst-vs-fog precedent).</t>
        </is>
      </c>
    </row>
    <row r="14">
      <c r="A14" t="inlineStr">
        <is>
          <t>SUDDEN_RAID_DOT</t>
        </is>
      </c>
      <c r="B14" t="inlineStr">
        <is>
          <t>Sudden Raid (DoT)</t>
        </is>
      </c>
      <c r="C14" t="n">
        <v>4</v>
      </c>
      <c r="D14">
        <f>Skills!D13</f>
        <v/>
      </c>
      <c r="E14" t="b">
        <v>0</v>
      </c>
      <c r="F14" t="n">
        <v>1</v>
      </c>
      <c r="G14" t="n">
        <v>1</v>
      </c>
      <c r="H14" t="n">
        <v>1</v>
      </c>
      <c r="I14" t="n">
        <v>5</v>
      </c>
      <c r="J14" t="n">
        <v>100</v>
      </c>
      <c r="K14" t="n">
        <v>1</v>
      </c>
      <c r="L14" t="n">
        <v>3600</v>
      </c>
      <c r="M14" t="n">
        <v>12</v>
      </c>
      <c r="N14" t="b">
        <v>1</v>
      </c>
      <c r="O14" t="n">
        <v>0</v>
      </c>
      <c r="P14" t="n">
        <v>0</v>
      </c>
      <c r="Q14" t="n">
        <v>0</v>
      </c>
      <c r="R14" t="n">
        <v>0</v>
      </c>
      <c r="S14" t="n">
        <v>0</v>
      </c>
      <c r="T14" t="n">
        <v>0</v>
      </c>
      <c r="U14" t="n">
        <v>0</v>
      </c>
      <c r="V14" t="n">
        <v>0</v>
      </c>
      <c r="W14" t="n">
        <v>8</v>
      </c>
      <c r="X14" t="inlineStr"/>
      <c r="Y14" t="n">
        <v>0</v>
      </c>
      <c r="Z14" t="b">
        <v>1</v>
      </c>
      <c r="AA14" t="inlineStr"/>
      <c r="AB14" t="inlineStr"/>
      <c r="AC14" t="inlineStr"/>
      <c r="AD14" t="inlineStr">
        <is>
          <t>Shares Sudden Raid (burst)'s live Cooldown(s) cell (same cross-reference pattern as FP-Mage's Mist Eruption &lt;-&gt; Poison Mist (burst)). factorIndex 12, baseDamage 3600 tenths% (360%-&gt;720%, levels 1-200), 5s window / 1s ICD = 5 EffectiveHits per cast.</t>
        </is>
      </c>
    </row>
    <row r="15">
      <c r="A15" t="inlineStr">
        <is>
          <t>FRAILTY_CURSE_SELF_FD</t>
        </is>
      </c>
      <c r="B15" t="inlineStr">
        <is>
          <t>Frailty Curse (self buff)</t>
        </is>
      </c>
      <c r="C15" t="n">
        <v>4</v>
      </c>
      <c r="D15" t="n">
        <v>45</v>
      </c>
      <c r="E15" t="b">
        <v>1</v>
      </c>
      <c r="F15" t="n">
        <v>1</v>
      </c>
      <c r="G15" t="n">
        <v>1</v>
      </c>
      <c r="H15" t="n">
        <v>0</v>
      </c>
      <c r="I15" t="n">
        <v>0</v>
      </c>
      <c r="J15" t="n">
        <v>100</v>
      </c>
      <c r="K15" t="n">
        <v>1</v>
      </c>
      <c r="L15" t="n">
        <v>130</v>
      </c>
      <c r="M15" t="n">
        <v>22</v>
      </c>
      <c r="N15" t="b">
        <v>1</v>
      </c>
      <c r="O15" t="n">
        <v>0</v>
      </c>
      <c r="P15" t="n">
        <v>0</v>
      </c>
      <c r="Q15" t="n">
        <v>0</v>
      </c>
      <c r="R15" t="n">
        <v>0</v>
      </c>
      <c r="S15" t="n">
        <v>0</v>
      </c>
      <c r="T15" t="n">
        <v>0</v>
      </c>
      <c r="U15" t="n">
        <v>0</v>
      </c>
      <c r="V15" t="n">
        <v>0</v>
      </c>
      <c r="W15" t="n">
        <v>1</v>
      </c>
      <c r="X15" t="inlineStr">
        <is>
          <t>FINAL_DAMAGE</t>
        </is>
      </c>
      <c r="Y15" t="n">
        <v>20</v>
      </c>
      <c r="Z15" t="b">
        <v>0</v>
      </c>
      <c r="AA15" t="inlineStr"/>
      <c r="AB15" t="inlineStr"/>
      <c r="AC15" t="inlineStr"/>
      <c r="AD15" t="inlineStr">
        <is>
          <t>20s zone / 45s cooldown, self Final Damage. factorIndex 22, baseDamage 130 tenths% (13%-&gt;20.8%, levels 1-200). Mastery Lv.111 adds a minor crit-damage-taken debuff to the enemy-facing row below — deliberately not modeled (plan calls it minor/optional; flagged as a known gap).</t>
        </is>
      </c>
    </row>
    <row r="16">
      <c r="A16" t="inlineStr">
        <is>
          <t>FRAILTY_CURSE_DEBUFF</t>
        </is>
      </c>
      <c r="B16" t="inlineStr">
        <is>
          <t>Frailty Curse (enemy debuff)</t>
        </is>
      </c>
      <c r="C16" t="n">
        <v>4</v>
      </c>
      <c r="D16" t="n">
        <v>45</v>
      </c>
      <c r="E16" t="b">
        <v>0</v>
      </c>
      <c r="F16" t="n">
        <v>1</v>
      </c>
      <c r="G16" t="n">
        <v>1</v>
      </c>
      <c r="H16" t="n">
        <v>0</v>
      </c>
      <c r="I16" t="n">
        <v>0</v>
      </c>
      <c r="J16" t="n">
        <v>100</v>
      </c>
      <c r="K16" t="n">
        <v>1</v>
      </c>
      <c r="L16" t="n">
        <v>180</v>
      </c>
      <c r="M16" t="n">
        <v>21</v>
      </c>
      <c r="N16" t="b">
        <v>1</v>
      </c>
      <c r="O16" t="n">
        <v>0</v>
      </c>
      <c r="P16" t="n">
        <v>0</v>
      </c>
      <c r="Q16" t="n">
        <v>0</v>
      </c>
      <c r="R16" t="n">
        <v>0</v>
      </c>
      <c r="S16" t="n">
        <v>0</v>
      </c>
      <c r="T16" t="n">
        <v>0</v>
      </c>
      <c r="U16" t="n">
        <v>0</v>
      </c>
      <c r="V16" t="n">
        <v>0</v>
      </c>
      <c r="W16" t="n">
        <v>1</v>
      </c>
      <c r="X16" t="inlineStr">
        <is>
          <t>MONSTER_DMG</t>
        </is>
      </c>
      <c r="Y16" t="n">
        <v>20</v>
      </c>
      <c r="Z16" t="b">
        <v>0</v>
      </c>
      <c r="AA16" t="inlineStr"/>
      <c r="AB16" t="inlineStr"/>
      <c r="AC16" t="inlineStr"/>
      <c r="AD16" t="inlineStr">
        <is>
          <t>Same 20s zone / 45s cooldown as the self-buff row above (shares its Cooldown(s) literal, not a live cross-reference, since both are the same literal 45). Enemy Damage Taken +18%-&gt;32.4% (levels 1-200), factorIndex 21, baseDamage 180 tenths%. BuffTargetStat=MONSTER_DMG feeds global_monster_dmg_bonus_expr's boss/normal additive term (see build_calc_sheet), gated by the same uptime as the self-buff row (CostsActionSlot=False here — the self-buff row is the one that actually 'costs' the cast in the action economy).</t>
        </is>
      </c>
    </row>
    <row r="17">
      <c r="A17" t="inlineStr">
        <is>
          <t>SHADOW_SHIFTER</t>
        </is>
      </c>
      <c r="B17" t="inlineStr">
        <is>
          <t>Shadow Shifter (counterattack)</t>
        </is>
      </c>
      <c r="C17" t="n">
        <v>4</v>
      </c>
      <c r="D17" t="inlineStr"/>
      <c r="E17" t="b">
        <v>0</v>
      </c>
      <c r="F17" t="n">
        <v>1</v>
      </c>
      <c r="G17" t="n">
        <v>1</v>
      </c>
      <c r="H17" t="n">
        <v>0</v>
      </c>
      <c r="I17" t="n">
        <v>0</v>
      </c>
      <c r="J17" t="n">
        <v>100</v>
      </c>
      <c r="K17" t="n">
        <v>1</v>
      </c>
      <c r="L17" t="n">
        <v>25000</v>
      </c>
      <c r="M17" t="n">
        <v>21</v>
      </c>
      <c r="N17" t="b">
        <v>1</v>
      </c>
      <c r="O17" t="n">
        <v>0</v>
      </c>
      <c r="P17" t="n">
        <v>0</v>
      </c>
      <c r="Q17" t="n">
        <v>0</v>
      </c>
      <c r="R17" t="n">
        <v>0</v>
      </c>
      <c r="S17" t="n">
        <v>0</v>
      </c>
      <c r="T17" t="n">
        <v>0</v>
      </c>
      <c r="U17" t="n">
        <v>0</v>
      </c>
      <c r="V17" t="n">
        <v>0</v>
      </c>
      <c r="W17" t="n">
        <v>1</v>
      </c>
      <c r="X17" t="inlineStr"/>
      <c r="Y17" t="n">
        <v>0</v>
      </c>
      <c r="Z17" t="b">
        <v>0</v>
      </c>
      <c r="AA17" t="inlineStr"/>
      <c r="AB17" t="inlineStr"/>
      <c r="AC17" t="inlineStr"/>
      <c r="AD17" t="inlineStr">
        <is>
          <t>Shared w/ Shadower. Counterattack DPS = Inputs!incoming_hit_rate * 20% * ExpectedDamage(counterHit) — driven by damage TAKEN, not the character's own cast rate, so this row has no Cooldown(s)/rate machinery of its own (bespoke O-column branch). factorIndex 21, baseDamage 25000 tenths% (2500%-&gt;4500%, levels 1-200). The wiki's own 'Cooldown 12 sec' field on this skill is not modeled (the plan's formula treats the 20% chance as having no ICD at all) — flagged as an assumption to confirm.</t>
        </is>
      </c>
    </row>
    <row r="18">
      <c r="A18" t="inlineStr">
        <is>
          <t>SHADOW_SHIFTER_SELF_ATK</t>
        </is>
      </c>
      <c r="B18" t="inlineStr">
        <is>
          <t>Shadow Shifter (self Attack%)</t>
        </is>
      </c>
      <c r="C18" t="n">
        <v>4</v>
      </c>
      <c r="D18" t="inlineStr"/>
      <c r="E18" t="b">
        <v>0</v>
      </c>
      <c r="F18" t="n">
        <v>1</v>
      </c>
      <c r="G18" t="n">
        <v>1</v>
      </c>
      <c r="H18" t="n">
        <v>0</v>
      </c>
      <c r="I18" t="n">
        <v>0</v>
      </c>
      <c r="J18" t="n">
        <v>100</v>
      </c>
      <c r="K18" t="n">
        <v>1</v>
      </c>
      <c r="L18" t="n">
        <v>100</v>
      </c>
      <c r="M18" t="n">
        <v>22</v>
      </c>
      <c r="N18" t="b">
        <v>1</v>
      </c>
      <c r="O18" t="n">
        <v>0</v>
      </c>
      <c r="P18" t="n">
        <v>0</v>
      </c>
      <c r="Q18" t="n">
        <v>0</v>
      </c>
      <c r="R18" t="n">
        <v>0</v>
      </c>
      <c r="S18" t="n">
        <v>0</v>
      </c>
      <c r="T18" t="n">
        <v>0</v>
      </c>
      <c r="U18" t="n">
        <v>0</v>
      </c>
      <c r="V18" t="n">
        <v>0</v>
      </c>
      <c r="W18" t="n">
        <v>1</v>
      </c>
      <c r="X18" t="inlineStr">
        <is>
          <t>ATTACK</t>
        </is>
      </c>
      <c r="Y18" t="n">
        <v>0</v>
      </c>
      <c r="Z18" t="b">
        <v>0</v>
      </c>
      <c r="AA18" t="inlineStr"/>
      <c r="AB18" t="inlineStr"/>
      <c r="AC18" t="inlineStr"/>
      <c r="AD18" t="inlineStr">
        <is>
          <t>Passive-mult delta-tracking row for Shadow Shifter's self Attack% (10%-&gt;16%, levels 1-200) — assumed already baked into Inputs!ATTACK_PCT (Magic Critical pattern), so not added to baseline DPS. factorIndex 22, baseDamage 100 tenths%. Per the plan, this buff's *uptime* is reduced below 1 by counterattack procs (disabled 3s per proc, pre-Mastery-116) — SelfAttackBuffUptime is computed in build_summary_sheet, but the Sensitivity sheet's own delta for this row is NOT scaled by that uptime in this pass (a known simplification — flagged for human review, see the plan's explicit note that this is 'the one passive-mult row that also needs a live uptime term multiplying its Sensitivity delta').</t>
        </is>
      </c>
    </row>
    <row r="19">
      <c r="A19" t="inlineStr">
        <is>
          <t>NIMBLE_FEET</t>
        </is>
      </c>
      <c r="B19" t="inlineStr">
        <is>
          <t>Nimble Feet</t>
        </is>
      </c>
      <c r="C19" t="n">
        <v>1</v>
      </c>
      <c r="D19" t="n">
        <v>60</v>
      </c>
      <c r="E19" t="b">
        <v>1</v>
      </c>
      <c r="F19" t="n">
        <v>1</v>
      </c>
      <c r="G19" t="n">
        <v>1</v>
      </c>
      <c r="H19" t="n">
        <v>0</v>
      </c>
      <c r="I19" t="n">
        <v>0</v>
      </c>
      <c r="J19" t="n">
        <v>100</v>
      </c>
      <c r="K19" t="n">
        <v>1</v>
      </c>
      <c r="L19" t="n">
        <v>150</v>
      </c>
      <c r="M19" t="n">
        <v>0</v>
      </c>
      <c r="N19" t="b">
        <v>0</v>
      </c>
      <c r="O19" t="n">
        <v>0</v>
      </c>
      <c r="P19" t="n">
        <v>0</v>
      </c>
      <c r="Q19" t="n">
        <v>0</v>
      </c>
      <c r="R19" t="n">
        <v>0</v>
      </c>
      <c r="S19" t="n">
        <v>0</v>
      </c>
      <c r="T19" t="n">
        <v>0</v>
      </c>
      <c r="U19" t="n">
        <v>0</v>
      </c>
      <c r="V19" t="n">
        <v>0</v>
      </c>
      <c r="W19" t="n">
        <v>1</v>
      </c>
      <c r="X19" t="inlineStr">
        <is>
          <t>ATTACK_SPEED</t>
        </is>
      </c>
      <c r="Y19" t="n">
        <v>15</v>
      </c>
      <c r="Z19" t="b">
        <v>0</v>
      </c>
      <c r="AA19" t="inlineStr"/>
      <c r="AB19" t="inlineStr"/>
      <c r="AC19" t="inlineStr"/>
      <c r="AD19" t="inlineStr">
        <is>
          <t>Shared Explorer skill, flat +15% Attack Speed / +10% Speed for 15s, 60s cooldown — confirmed non-scaling ('does not improve on enhancement' per its own wiki page), same convention as FP-Mage's own Nimble Feet row (FactorIndex unused placeholder).</t>
        </is>
      </c>
    </row>
    <row r="20">
      <c r="A20" t="inlineStr">
        <is>
          <t>DARK_SIGHT_CRIT</t>
        </is>
      </c>
      <c r="B20" t="inlineStr">
        <is>
          <t>Dark Sight (Crit Rate)</t>
        </is>
      </c>
      <c r="C20" t="n">
        <v>1</v>
      </c>
      <c r="D20" t="n">
        <v>25</v>
      </c>
      <c r="E20" t="b">
        <v>0</v>
      </c>
      <c r="F20" t="n">
        <v>1</v>
      </c>
      <c r="G20" t="n">
        <v>1</v>
      </c>
      <c r="H20" t="n">
        <v>0</v>
      </c>
      <c r="I20" t="n">
        <v>0</v>
      </c>
      <c r="J20" t="n">
        <v>100</v>
      </c>
      <c r="K20" t="n">
        <v>1</v>
      </c>
      <c r="L20" t="n">
        <v>60</v>
      </c>
      <c r="M20" t="n">
        <v>21</v>
      </c>
      <c r="N20" t="b">
        <v>1</v>
      </c>
      <c r="O20" t="n">
        <v>0</v>
      </c>
      <c r="P20" t="n">
        <v>0</v>
      </c>
      <c r="Q20" t="n">
        <v>0</v>
      </c>
      <c r="R20" t="n">
        <v>0</v>
      </c>
      <c r="S20" t="n">
        <v>0</v>
      </c>
      <c r="T20" t="n">
        <v>0</v>
      </c>
      <c r="U20" t="n">
        <v>0</v>
      </c>
      <c r="V20" t="n">
        <v>0</v>
      </c>
      <c r="W20" t="n">
        <v>1</v>
      </c>
      <c r="X20" t="inlineStr">
        <is>
          <t>CRIT_RATE</t>
        </is>
      </c>
      <c r="Y20">
        <f>IF(Inputs!$B$3&gt;=24,12,8)</f>
        <v/>
      </c>
      <c r="Z20" t="b">
        <v>0</v>
      </c>
      <c r="AA20" t="inlineStr"/>
      <c r="AB20" t="inlineStr"/>
      <c r="AC20" t="inlineStr"/>
      <c r="AD20" t="inlineStr">
        <is>
          <t>Two-stage activation (hide 8s, re-press within window) grants +6%-&gt;8.4% Crit Rate for 8s (levels 1-100, -&gt;12s once Mastery Lv.24 'Dark Sight - Persistence' unlocks: +50% buff duration) — factorIndex 21, baseDamage 60 tenths%. This row is a passenger (CostsActionSlot=False) — the Attack-targeting row below is the one that counts toward the action economy (both presses of the 2-stage activation, via ActionsPerCast=2), per the plan's 'costs 2 action-slots per 25s cycle' assumption (flagged for human review).</t>
        </is>
      </c>
    </row>
    <row r="21">
      <c r="A21" t="inlineStr">
        <is>
          <t>DARK_SIGHT_ATK</t>
        </is>
      </c>
      <c r="B21" t="inlineStr">
        <is>
          <t>Dark Sight (Attack)</t>
        </is>
      </c>
      <c r="C21" t="n">
        <v>1</v>
      </c>
      <c r="D21" t="n">
        <v>25</v>
      </c>
      <c r="E21" t="b">
        <v>1</v>
      </c>
      <c r="F21" t="n">
        <v>2</v>
      </c>
      <c r="G21" t="n">
        <v>1</v>
      </c>
      <c r="H21" t="n">
        <v>0</v>
      </c>
      <c r="I21" t="n">
        <v>0</v>
      </c>
      <c r="J21" t="n">
        <v>100</v>
      </c>
      <c r="K21" t="n">
        <v>1</v>
      </c>
      <c r="L21" t="n">
        <v>100</v>
      </c>
      <c r="M21" t="n">
        <v>21</v>
      </c>
      <c r="N21" t="b">
        <v>1</v>
      </c>
      <c r="O21" t="n">
        <v>0</v>
      </c>
      <c r="P21" t="n">
        <v>0</v>
      </c>
      <c r="Q21" t="n">
        <v>0</v>
      </c>
      <c r="R21" t="n">
        <v>0</v>
      </c>
      <c r="S21" t="n">
        <v>0</v>
      </c>
      <c r="T21" t="n">
        <v>0</v>
      </c>
      <c r="U21" t="n">
        <v>0</v>
      </c>
      <c r="V21" t="n">
        <v>0</v>
      </c>
      <c r="W21" t="n">
        <v>1</v>
      </c>
      <c r="X21" t="inlineStr">
        <is>
          <t>ATTACK</t>
        </is>
      </c>
      <c r="Y21">
        <f>IF(Inputs!$B$3&gt;=24,12,8)</f>
        <v/>
      </c>
      <c r="Z21" t="b">
        <v>0</v>
      </c>
      <c r="AA21" t="inlineStr"/>
      <c r="AB21" t="inlineStr"/>
      <c r="AC21" t="inlineStr"/>
      <c r="AD21" t="inlineStr">
        <is>
          <t>Same 2-stage activation as the Crit Rate row above, +10%-&gt;14% Attack for 8s (levels 1-100, -&gt;12s once Mastery Lv.24 unlocks, same as the Crit Rate row) — factorIndex 21, baseDamage 100 tenths%. ActionsPerCast=2 models both presses (hide + re-press) as separate action-slot costs within the same 25s cycle.</t>
        </is>
      </c>
    </row>
    <row r="22">
      <c r="A22" t="inlineStr">
        <is>
          <t>AGILE_CLAWS</t>
        </is>
      </c>
      <c r="B22" t="inlineStr">
        <is>
          <t>Agile Claws (Claw Acceleration)</t>
        </is>
      </c>
      <c r="C22" t="n">
        <v>2</v>
      </c>
      <c r="D22" t="inlineStr"/>
      <c r="E22" t="b">
        <v>0</v>
      </c>
      <c r="F22" t="n">
        <v>1</v>
      </c>
      <c r="G22" t="n">
        <v>1</v>
      </c>
      <c r="H22" t="n">
        <v>0</v>
      </c>
      <c r="I22" t="n">
        <v>0</v>
      </c>
      <c r="J22" t="n">
        <v>100</v>
      </c>
      <c r="K22" t="n">
        <v>1</v>
      </c>
      <c r="L22" t="n">
        <v>50</v>
      </c>
      <c r="M22" t="n">
        <v>22</v>
      </c>
      <c r="N22" t="b">
        <v>1</v>
      </c>
      <c r="O22" t="n">
        <v>0</v>
      </c>
      <c r="P22" t="n">
        <v>0</v>
      </c>
      <c r="Q22" t="n">
        <v>0</v>
      </c>
      <c r="R22" t="n">
        <v>0</v>
      </c>
      <c r="S22" t="n">
        <v>0</v>
      </c>
      <c r="T22" t="n">
        <v>0</v>
      </c>
      <c r="U22" t="n">
        <v>0</v>
      </c>
      <c r="V22" t="n">
        <v>0</v>
      </c>
      <c r="W22" t="n">
        <v>1</v>
      </c>
      <c r="X22" t="inlineStr">
        <is>
          <t>ATTACK_SPEED</t>
        </is>
      </c>
      <c r="Y22" t="n">
        <v>0</v>
      </c>
      <c r="Z22" t="b">
        <v>0</v>
      </c>
      <c r="AA22" t="inlineStr"/>
      <c r="AB22" t="inlineStr"/>
      <c r="AC22" t="inlineStr"/>
      <c r="AD22" t="inlineStr">
        <is>
          <t>Permanent passive, +5%-&gt;6.5% Attack Speed (levels 1-100) — assumed already in Inputs!ATTACK_SPEED% (Magic Critical pattern); this row only feeds the 2nd-Job Skill Level Bonus Sensitivity delta. factorIndex 22, baseDamage 50 tenths%.</t>
        </is>
      </c>
    </row>
    <row r="23">
      <c r="A23" t="inlineStr">
        <is>
          <t>PHYSICAL_TRAINING</t>
        </is>
      </c>
      <c r="B23" t="inlineStr">
        <is>
          <t>Physical Training</t>
        </is>
      </c>
      <c r="C23" t="n">
        <v>2</v>
      </c>
      <c r="D23" t="inlineStr"/>
      <c r="E23" t="b">
        <v>0</v>
      </c>
      <c r="F23" t="n">
        <v>1</v>
      </c>
      <c r="G23" t="n">
        <v>1</v>
      </c>
      <c r="H23" t="n">
        <v>0</v>
      </c>
      <c r="I23" t="n">
        <v>0</v>
      </c>
      <c r="J23" t="n">
        <v>100</v>
      </c>
      <c r="K23" t="n">
        <v>1</v>
      </c>
      <c r="L23" t="n">
        <v>100</v>
      </c>
      <c r="M23" t="n">
        <v>22</v>
      </c>
      <c r="N23" t="b">
        <v>1</v>
      </c>
      <c r="O23" t="n">
        <v>0</v>
      </c>
      <c r="P23" t="n">
        <v>0</v>
      </c>
      <c r="Q23" t="n">
        <v>0</v>
      </c>
      <c r="R23" t="n">
        <v>0</v>
      </c>
      <c r="S23" t="n">
        <v>0</v>
      </c>
      <c r="T23" t="n">
        <v>0</v>
      </c>
      <c r="U23" t="n">
        <v>0</v>
      </c>
      <c r="V23" t="n">
        <v>0</v>
      </c>
      <c r="W23" t="n">
        <v>1</v>
      </c>
      <c r="X23" t="inlineStr">
        <is>
          <t>BASIC_ATTACK_DAMAGE</t>
        </is>
      </c>
      <c r="Y23" t="n">
        <v>0</v>
      </c>
      <c r="Z23" t="b">
        <v>0</v>
      </c>
      <c r="AA23" t="inlineStr"/>
      <c r="AB23" t="inlineStr"/>
      <c r="AC23" t="inlineStr"/>
      <c r="AD23" t="inlineStr">
        <is>
          <t>Permanent passive, +10%-&gt;13% Basic Attack Damage (levels 1-100) — assumed already in Inputs!BASIC_ATTACK_DAMAGE% (Magic Critical pattern); feeds the 2nd-Job Skill Level Bonus delta. factorIndex 22, baseDamage 100 tenths%.</t>
        </is>
      </c>
    </row>
    <row r="24">
      <c r="A24" t="inlineStr">
        <is>
          <t>CLAW_MASTERY</t>
        </is>
      </c>
      <c r="B24" t="inlineStr">
        <is>
          <t>Claw Mastery</t>
        </is>
      </c>
      <c r="C24" t="n">
        <v>2</v>
      </c>
      <c r="D24" t="inlineStr"/>
      <c r="E24" t="b">
        <v>0</v>
      </c>
      <c r="F24" t="n">
        <v>1</v>
      </c>
      <c r="G24" t="n">
        <v>1</v>
      </c>
      <c r="H24" t="n">
        <v>0</v>
      </c>
      <c r="I24" t="n">
        <v>0</v>
      </c>
      <c r="J24" t="n">
        <v>100</v>
      </c>
      <c r="K24" t="n">
        <v>1</v>
      </c>
      <c r="L24" t="n">
        <v>150</v>
      </c>
      <c r="M24" t="n">
        <v>22</v>
      </c>
      <c r="N24" t="b">
        <v>1</v>
      </c>
      <c r="O24" t="n">
        <v>0</v>
      </c>
      <c r="P24" t="n">
        <v>0</v>
      </c>
      <c r="Q24" t="n">
        <v>0</v>
      </c>
      <c r="R24" t="n">
        <v>0</v>
      </c>
      <c r="S24" t="n">
        <v>0</v>
      </c>
      <c r="T24" t="n">
        <v>0</v>
      </c>
      <c r="U24" t="n">
        <v>0</v>
      </c>
      <c r="V24" t="n">
        <v>0</v>
      </c>
      <c r="W24" t="n">
        <v>1</v>
      </c>
      <c r="X24" t="inlineStr">
        <is>
          <t>MIN_DAMAGE</t>
        </is>
      </c>
      <c r="Y24" t="n">
        <v>0</v>
      </c>
      <c r="Z24" t="b">
        <v>0</v>
      </c>
      <c r="AA24" t="inlineStr"/>
      <c r="AB24" t="inlineStr"/>
      <c r="AC24" t="inlineStr"/>
      <c r="AD24" t="inlineStr">
        <is>
          <t>Permanent passive, +15%-&gt;19.5% Min Damage Multiplier (levels 1-100) — assumed already in Inputs!MIN_DAMAGE% (Magic Critical pattern); feeds the 2nd-Job Skill Level Bonus delta. factorIndex 22, baseDamage 150 tenths%.</t>
        </is>
      </c>
    </row>
    <row r="25">
      <c r="A25" t="inlineStr">
        <is>
          <t>CRITICAL_THROW_RATE</t>
        </is>
      </c>
      <c r="B25" t="inlineStr">
        <is>
          <t>Critical Throw (Crit Rate)</t>
        </is>
      </c>
      <c r="C25" t="n">
        <v>2</v>
      </c>
      <c r="D25" t="inlineStr"/>
      <c r="E25" t="b">
        <v>0</v>
      </c>
      <c r="F25" t="n">
        <v>1</v>
      </c>
      <c r="G25" t="n">
        <v>1</v>
      </c>
      <c r="H25" t="n">
        <v>0</v>
      </c>
      <c r="I25" t="n">
        <v>0</v>
      </c>
      <c r="J25" t="n">
        <v>100</v>
      </c>
      <c r="K25" t="n">
        <v>1</v>
      </c>
      <c r="L25" t="n">
        <v>60</v>
      </c>
      <c r="M25" t="n">
        <v>22</v>
      </c>
      <c r="N25" t="b">
        <v>1</v>
      </c>
      <c r="O25" t="n">
        <v>0</v>
      </c>
      <c r="P25" t="n">
        <v>0</v>
      </c>
      <c r="Q25" t="n">
        <v>0</v>
      </c>
      <c r="R25" t="n">
        <v>0</v>
      </c>
      <c r="S25" t="n">
        <v>0</v>
      </c>
      <c r="T25" t="n">
        <v>0</v>
      </c>
      <c r="U25" t="n">
        <v>0</v>
      </c>
      <c r="V25" t="n">
        <v>0</v>
      </c>
      <c r="W25" t="n">
        <v>1</v>
      </c>
      <c r="X25" t="inlineStr">
        <is>
          <t>CRIT_RATE</t>
        </is>
      </c>
      <c r="Y25" t="n">
        <v>0</v>
      </c>
      <c r="Z25" t="b">
        <v>0</v>
      </c>
      <c r="AA25" t="inlineStr"/>
      <c r="AB25" t="inlineStr"/>
      <c r="AC25" t="inlineStr"/>
      <c r="AD25" t="inlineStr">
        <is>
          <t>Permanent passive, +6%-&gt;7.8% Crit Rate (levels 1-100) — assumed already in Inputs!CRIT_RATE% (Magic Critical pattern); feeds the 2nd-Job Skill Level Bonus delta. factorIndex 22, baseDamage 60 tenths%. Mastery Lv.47's +8%p Crit Rate is a SEPARATE always-on mastery addition (global_crit_rate_bonus_expr in build_calc_sheet), NOT part of this delta.</t>
        </is>
      </c>
    </row>
    <row r="26">
      <c r="A26" t="inlineStr">
        <is>
          <t>CRITICAL_THROW_DMG</t>
        </is>
      </c>
      <c r="B26" t="inlineStr">
        <is>
          <t>Critical Throw (Crit Damage)</t>
        </is>
      </c>
      <c r="C26" t="n">
        <v>2</v>
      </c>
      <c r="D26" t="inlineStr"/>
      <c r="E26" t="b">
        <v>0</v>
      </c>
      <c r="F26" t="n">
        <v>1</v>
      </c>
      <c r="G26" t="n">
        <v>1</v>
      </c>
      <c r="H26" t="n">
        <v>0</v>
      </c>
      <c r="I26" t="n">
        <v>0</v>
      </c>
      <c r="J26" t="n">
        <v>100</v>
      </c>
      <c r="K26" t="n">
        <v>1</v>
      </c>
      <c r="L26" t="n">
        <v>100</v>
      </c>
      <c r="M26" t="n">
        <v>22</v>
      </c>
      <c r="N26" t="b">
        <v>1</v>
      </c>
      <c r="O26" t="n">
        <v>0</v>
      </c>
      <c r="P26" t="n">
        <v>0</v>
      </c>
      <c r="Q26" t="n">
        <v>0</v>
      </c>
      <c r="R26" t="n">
        <v>0</v>
      </c>
      <c r="S26" t="n">
        <v>0</v>
      </c>
      <c r="T26" t="n">
        <v>0</v>
      </c>
      <c r="U26" t="n">
        <v>0</v>
      </c>
      <c r="V26" t="n">
        <v>0</v>
      </c>
      <c r="W26" t="n">
        <v>1</v>
      </c>
      <c r="X26" t="inlineStr">
        <is>
          <t>CRIT_DAMAGE</t>
        </is>
      </c>
      <c r="Y26" t="n">
        <v>0</v>
      </c>
      <c r="Z26" t="b">
        <v>0</v>
      </c>
      <c r="AA26" t="inlineStr"/>
      <c r="AB26" t="inlineStr"/>
      <c r="AC26" t="inlineStr"/>
      <c r="AD26" t="inlineStr">
        <is>
          <t>Same skill as the Crit Rate row above, +10%-&gt;13% Crit Damage (levels 1-100) — assumed already in Inputs!CRIT_DAMAGE% (Magic Critical pattern); feeds the 2nd-Job Skill Level Bonus delta. factorIndex 22, baseDamage 100 tenths%.</t>
        </is>
      </c>
    </row>
    <row r="27">
      <c r="A27" t="inlineStr">
        <is>
          <t>ENVELOPING_DARKNESS</t>
        </is>
      </c>
      <c r="B27" t="inlineStr">
        <is>
          <t>Enveloping Darkness</t>
        </is>
      </c>
      <c r="C27" t="n">
        <v>3</v>
      </c>
      <c r="D27" t="inlineStr"/>
      <c r="E27" t="b">
        <v>0</v>
      </c>
      <c r="F27" t="n">
        <v>1</v>
      </c>
      <c r="G27" t="n">
        <v>1</v>
      </c>
      <c r="H27" t="n">
        <v>0</v>
      </c>
      <c r="I27" t="n">
        <v>0</v>
      </c>
      <c r="J27" t="n">
        <v>100</v>
      </c>
      <c r="K27" t="n">
        <v>1</v>
      </c>
      <c r="L27" t="n">
        <v>180</v>
      </c>
      <c r="M27" t="n">
        <v>22</v>
      </c>
      <c r="N27" t="b">
        <v>1</v>
      </c>
      <c r="O27" t="n">
        <v>0</v>
      </c>
      <c r="P27" t="n">
        <v>0</v>
      </c>
      <c r="Q27" t="n">
        <v>0</v>
      </c>
      <c r="R27" t="n">
        <v>0</v>
      </c>
      <c r="S27" t="n">
        <v>0</v>
      </c>
      <c r="T27" t="n">
        <v>0</v>
      </c>
      <c r="U27" t="n">
        <v>0</v>
      </c>
      <c r="V27" t="n">
        <v>0</v>
      </c>
      <c r="W27" t="n">
        <v>1</v>
      </c>
      <c r="X27" t="inlineStr">
        <is>
          <t>BOSS_DAMAGE</t>
        </is>
      </c>
      <c r="Y27" t="n">
        <v>0</v>
      </c>
      <c r="Z27" t="b">
        <v>0</v>
      </c>
      <c r="AA27" t="inlineStr"/>
      <c r="AB27" t="inlineStr"/>
      <c r="AC27" t="inlineStr"/>
      <c r="AD27" t="inlineStr">
        <is>
          <t>Permanent passive, +18%-&gt;28.8% Boss Monster Damage (levels 1-200; Max HP part dropped, no DPS relevance) — assumed already in Inputs!BOSS_DAMAGE% (Magic Critical pattern); feeds the 3rd-Job Skill Level Bonus delta. factorIndex 22, baseDamage 180 tenths%.</t>
        </is>
      </c>
    </row>
    <row r="28">
      <c r="A28" t="inlineStr">
        <is>
          <t>EXPERT_THROWING_STAR_HANDLING</t>
        </is>
      </c>
      <c r="B28" t="inlineStr">
        <is>
          <t>Expert Throwing Star Handling</t>
        </is>
      </c>
      <c r="C28" t="n">
        <v>3</v>
      </c>
      <c r="D28" t="inlineStr"/>
      <c r="E28" t="b">
        <v>0</v>
      </c>
      <c r="F28" t="n">
        <v>1</v>
      </c>
      <c r="G28" t="n">
        <v>1</v>
      </c>
      <c r="H28" t="n">
        <v>0</v>
      </c>
      <c r="I28" t="n">
        <v>0</v>
      </c>
      <c r="J28" t="n">
        <v>100</v>
      </c>
      <c r="K28" t="n">
        <v>1</v>
      </c>
      <c r="L28" t="n">
        <v>180</v>
      </c>
      <c r="M28" t="n">
        <v>22</v>
      </c>
      <c r="N28" t="b">
        <v>1</v>
      </c>
      <c r="O28" t="n">
        <v>0</v>
      </c>
      <c r="P28" t="n">
        <v>0</v>
      </c>
      <c r="Q28" t="n">
        <v>0</v>
      </c>
      <c r="R28" t="n">
        <v>0</v>
      </c>
      <c r="S28" t="n">
        <v>0</v>
      </c>
      <c r="T28" t="n">
        <v>0</v>
      </c>
      <c r="U28" t="n">
        <v>0</v>
      </c>
      <c r="V28" t="n">
        <v>0</v>
      </c>
      <c r="W28" t="n">
        <v>1</v>
      </c>
      <c r="X28" t="inlineStr">
        <is>
          <t>ATTACK</t>
        </is>
      </c>
      <c r="Y28" t="n">
        <v>0</v>
      </c>
      <c r="Z28" t="b">
        <v>0</v>
      </c>
      <c r="AA28" t="inlineStr"/>
      <c r="AB28" t="inlineStr"/>
      <c r="AC28" t="inlineStr"/>
      <c r="AD28" t="inlineStr">
        <is>
          <t>Permanent passive, +18%-&gt;28.8% Attack (levels 1-200) — assumed already in Inputs!ATTACK% (Magic Critical pattern); feeds the 3rd-Job Skill Level Bonus delta. factorIndex 22, baseDamage 180 tenths%.</t>
        </is>
      </c>
    </row>
    <row r="29">
      <c r="A29" t="inlineStr">
        <is>
          <t>CLAW_EXPERT</t>
        </is>
      </c>
      <c r="B29" t="inlineStr">
        <is>
          <t>Claw Expert</t>
        </is>
      </c>
      <c r="C29" t="n">
        <v>4</v>
      </c>
      <c r="D29" t="inlineStr"/>
      <c r="E29" t="b">
        <v>0</v>
      </c>
      <c r="F29" t="n">
        <v>1</v>
      </c>
      <c r="G29" t="n">
        <v>1</v>
      </c>
      <c r="H29" t="n">
        <v>0</v>
      </c>
      <c r="I29" t="n">
        <v>0</v>
      </c>
      <c r="J29" t="n">
        <v>100</v>
      </c>
      <c r="K29" t="n">
        <v>1</v>
      </c>
      <c r="L29" t="n">
        <v>150</v>
      </c>
      <c r="M29" t="n">
        <v>22</v>
      </c>
      <c r="N29" t="b">
        <v>1</v>
      </c>
      <c r="O29" t="n">
        <v>0</v>
      </c>
      <c r="P29" t="n">
        <v>0</v>
      </c>
      <c r="Q29" t="n">
        <v>0</v>
      </c>
      <c r="R29" t="n">
        <v>0</v>
      </c>
      <c r="S29" t="n">
        <v>0</v>
      </c>
      <c r="T29" t="n">
        <v>0</v>
      </c>
      <c r="U29" t="n">
        <v>0</v>
      </c>
      <c r="V29" t="n">
        <v>0</v>
      </c>
      <c r="W29" t="n">
        <v>1</v>
      </c>
      <c r="X29" t="inlineStr">
        <is>
          <t>SKILL_DAMAGE</t>
        </is>
      </c>
      <c r="Y29" t="n">
        <v>0</v>
      </c>
      <c r="Z29" t="b">
        <v>0</v>
      </c>
      <c r="AA29" t="inlineStr"/>
      <c r="AB29" t="inlineStr"/>
      <c r="AC29" t="inlineStr"/>
      <c r="AD29" t="inlineStr">
        <is>
          <t>Permanent passive, +15%-&gt;24% Skill Damage, +20%-&gt;32% Max Damage Multiplier (levels 1-200) — assumed already in Inputs!SKILL_DAMAGE%/MAX_DAMAGE% (Magic Critical pattern); feeds the 4th-Job Skill Level Bonus delta (Skill Damage side; Max Damage Multiplier isn't independently swept on the Sensitivity sheet, same as FP-Mage's own scope). factorIndex 22, baseDamage 150 tenths% (Skill Damage curve; Max Damage Multiplier curve is identical in shape, 20%-&gt;32%, not separately tracked as its own row).</t>
        </is>
      </c>
    </row>
    <row r="30">
      <c r="A30" t="inlineStr">
        <is>
          <t>DARK_HARMONY</t>
        </is>
      </c>
      <c r="B30" t="inlineStr">
        <is>
          <t>Dark Harmony</t>
        </is>
      </c>
      <c r="C30" t="n">
        <v>4</v>
      </c>
      <c r="D30" t="inlineStr"/>
      <c r="E30" t="b">
        <v>0</v>
      </c>
      <c r="F30" t="n">
        <v>1</v>
      </c>
      <c r="G30" t="n">
        <v>1</v>
      </c>
      <c r="H30" t="n">
        <v>0</v>
      </c>
      <c r="I30" t="n">
        <v>0</v>
      </c>
      <c r="J30" t="n">
        <v>100</v>
      </c>
      <c r="K30" t="n">
        <v>1</v>
      </c>
      <c r="L30" t="n">
        <v>120</v>
      </c>
      <c r="M30" t="n">
        <v>22</v>
      </c>
      <c r="N30" t="b">
        <v>1</v>
      </c>
      <c r="O30" t="n">
        <v>0</v>
      </c>
      <c r="P30" t="n">
        <v>0</v>
      </c>
      <c r="Q30" t="n">
        <v>0</v>
      </c>
      <c r="R30" t="n">
        <v>0</v>
      </c>
      <c r="S30" t="n">
        <v>0</v>
      </c>
      <c r="T30" t="n">
        <v>0</v>
      </c>
      <c r="U30" t="n">
        <v>0</v>
      </c>
      <c r="V30" t="n">
        <v>0</v>
      </c>
      <c r="W30" t="n">
        <v>1</v>
      </c>
      <c r="X30" t="inlineStr">
        <is>
          <t>FINAL_DAMAGE</t>
        </is>
      </c>
      <c r="Y30" t="n">
        <v>0</v>
      </c>
      <c r="Z30" t="b">
        <v>0</v>
      </c>
      <c r="AA30" t="inlineStr"/>
      <c r="AB30" t="inlineStr"/>
      <c r="AC30" t="inlineStr"/>
      <c r="AD30" t="inlineStr">
        <is>
          <t>Permanent passive, Final Damage +15%(base)-&gt;patched 12% (curve shape unchanged, 12%-&gt;19.2%(@lvl100) scaled from the unpatched 15%-&gt;24% wiki curve), +20%-&gt;32% Min Damage Multiplier (levels 1-200) — assumed already in Inputs!FINAL_DAMAGE%/MIN_DAMAGE% (Magic Critical pattern); feeds the 4th-Job Skill Level Bonus delta (Final Damage side). factorIndex 22, baseDamage 120 tenths% (12% patched base).</t>
        </is>
      </c>
    </row>
    <row r="31">
      <c r="A31" t="inlineStr">
        <is>
          <t>NIGHT_LORDS_MARK</t>
        </is>
      </c>
      <c r="B31" t="inlineStr">
        <is>
          <t>Night Lord's Mark</t>
        </is>
      </c>
      <c r="C31" t="n">
        <v>4</v>
      </c>
      <c r="D31" t="inlineStr"/>
      <c r="E31" t="b">
        <v>0</v>
      </c>
      <c r="F31" t="n">
        <v>1</v>
      </c>
      <c r="G31" t="n">
        <v>1</v>
      </c>
      <c r="H31" t="n">
        <v>0</v>
      </c>
      <c r="I31" t="n">
        <v>0</v>
      </c>
      <c r="J31" t="n">
        <v>100</v>
      </c>
      <c r="K31" t="n">
        <v>1</v>
      </c>
      <c r="L31" t="n">
        <v>3000</v>
      </c>
      <c r="M31" t="n">
        <v>21</v>
      </c>
      <c r="N31" t="b">
        <v>1</v>
      </c>
      <c r="O31" t="n">
        <v>0</v>
      </c>
      <c r="P31" t="n">
        <v>0</v>
      </c>
      <c r="Q31" t="n">
        <v>0</v>
      </c>
      <c r="R31" t="n">
        <v>0</v>
      </c>
      <c r="S31" t="n">
        <v>0</v>
      </c>
      <c r="T31" t="n">
        <v>0</v>
      </c>
      <c r="U31" t="n">
        <v>0</v>
      </c>
      <c r="V31" t="n">
        <v>0</v>
      </c>
      <c r="W31" t="n">
        <v>1</v>
      </c>
      <c r="X31" t="inlineStr"/>
      <c r="Y31" t="n">
        <v>0</v>
      </c>
      <c r="Z31" t="b">
        <v>0</v>
      </c>
      <c r="AA31" t="inlineStr"/>
      <c r="AB31" t="inlineStr"/>
      <c r="AC31" t="inlineStr"/>
      <c r="AD31" t="inlineStr">
        <is>
          <t>Permanent passive feeding Assassin's Mark only (+3 max targets, +300%-&gt;540% Final Damage to Assassin's Mark, levels 1-200) — a real, always-on contributor, NOT baked into Inputs (unlike every 'passive-mult' row above) since it has no matching generic Inputs field; same Element-Amplification-style treatment FP-Mage uses. No independent DPS row (Calc columns G-O blank/0) — only D/E/F (its own scaling coefficient) are computed. factorIndex 21, baseDamage 3000 tenths%.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3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10" customWidth="1" min="3" max="3"/>
    <col width="12" customWidth="1" min="4" max="4"/>
    <col width="9" customWidth="1" min="5" max="5"/>
    <col width="15" customWidth="1" min="6" max="6"/>
    <col width="13" customWidth="1" min="7" max="7"/>
    <col width="14" customWidth="1" min="8" max="8"/>
    <col width="17" customWidth="1" min="9" max="9"/>
    <col width="13" customWidth="1" min="10" max="10"/>
    <col width="15" customWidth="1" min="11" max="11"/>
    <col width="12" customWidth="1" min="12" max="12"/>
    <col width="12" customWidth="1" min="13" max="13"/>
    <col width="17" customWidth="1" min="14" max="14"/>
    <col width="12" customWidth="1" min="15" max="15"/>
    <col width="10" customWidth="1" min="16" max="16"/>
    <col width="12" customWidth="1" min="17" max="17"/>
    <col width="12" customWidth="1" min="18" max="18"/>
    <col width="14" customWidth="1" min="19" max="19"/>
  </cols>
  <sheetData>
    <row r="1">
      <c r="A1" s="8" t="inlineStr">
        <is>
          <t>Key</t>
        </is>
      </c>
      <c r="B1" s="8" t="inlineStr">
        <is>
          <t>Name</t>
        </is>
      </c>
      <c r="C1" s="8" t="inlineStr">
        <is>
          <t>Unlocked</t>
        </is>
      </c>
      <c r="D1" s="8" t="inlineStr">
        <is>
          <t>InputLevel</t>
        </is>
      </c>
      <c r="E1" s="8" t="inlineStr">
        <is>
          <t>Factor</t>
        </is>
      </c>
      <c r="F1" s="8" t="inlineStr">
        <is>
          <t>CoefficientPercent</t>
        </is>
      </c>
      <c r="G1" s="8" t="inlineStr">
        <is>
          <t>EffectiveHits</t>
        </is>
      </c>
      <c r="H1" s="8" t="inlineStr">
        <is>
          <t>ProcProbability</t>
        </is>
      </c>
      <c r="I1" s="8" t="inlineStr">
        <is>
          <t>MapleHeroMultiplier</t>
        </is>
      </c>
      <c r="J1" s="8" t="inlineStr">
        <is>
          <t>BaseDamage</t>
        </is>
      </c>
      <c r="K1" s="8" t="inlineStr">
        <is>
          <t>BaseHitDamage</t>
        </is>
      </c>
      <c r="L1" s="8" t="inlineStr">
        <is>
          <t>NonCritAvg</t>
        </is>
      </c>
      <c r="M1" s="8" t="inlineStr">
        <is>
          <t>CritAvg</t>
        </is>
      </c>
      <c r="N1" s="8" t="inlineStr">
        <is>
          <t>ExpectedDamage(perHit)</t>
        </is>
      </c>
      <c r="O1" s="8" t="inlineStr">
        <is>
          <t>DPS</t>
        </is>
      </c>
      <c r="P1" s="8" t="inlineStr">
        <is>
          <t>% of Total</t>
        </is>
      </c>
      <c r="Q1" s="8" t="inlineStr">
        <is>
          <t>InvCooldown</t>
        </is>
      </c>
      <c r="R1" s="8" t="inlineStr">
        <is>
          <t>CastsInFight</t>
        </is>
      </c>
      <c r="S1" s="8" t="inlineStr">
        <is>
          <t>HitRate(perSec)</t>
        </is>
      </c>
      <c r="U1" s="5" t="inlineStr">
        <is>
          <t>Maple Hero (NL) helper (jobStep4, factorIndex23)</t>
        </is>
      </c>
    </row>
    <row r="2">
      <c r="A2">
        <f>Skills!A2</f>
        <v/>
      </c>
      <c r="B2">
        <f>Skills!B2</f>
        <v/>
      </c>
      <c r="C2">
        <f>Inputs!$B$3&gt;=100</f>
        <v/>
      </c>
      <c r="D2" t="inlineStr"/>
      <c r="E2" t="inlineStr"/>
      <c r="F2">
        <f>Summary!$B$54+Skills!O2</f>
        <v/>
      </c>
      <c r="G2">
        <f>Skills!G2*IF(Skills!H2&gt;0,Skills!I2/Skills!H2,1)</f>
        <v/>
      </c>
      <c r="H2">
        <f>1-(1-Skills!J2/100)^Skills!K2</f>
        <v/>
      </c>
      <c r="I2">
        <f>IF(Skills!AA2&lt;&gt;"",1+(Skills!AA2/10)*($U$3/1000)/100,1)</f>
        <v/>
      </c>
      <c r="J2">
        <f>Summary!$B$50*(F2/100)</f>
        <v/>
      </c>
      <c r="K2">
        <f>J2*(1+Summary!$B$51/100)*(1+Inputs!$B$14/100)*(1+IF(Inputs!$B$4="pvp",0,(1-Summary!$B$55)*(Inputs!$B$19+Skills!P2+Summary!$B$59)+Summary!$B$55*(Inputs!$B$20+Skills!Q2+Summary!$B$59))/100)*(1+Inputs!$B$15/100)*(5000/(6000+Inputs!$B$7*(1-Inputs!$B$18/100)))*(1+Inputs!$B$23/100)*(1+Skills!R2/100)*(1+(IF(Skills!A2="SHOWDOWN",Inputs!$B$16,Inputs!$B$17))/100)*(Summary!$B$57*Summary!$B$60*I2)</f>
        <v/>
      </c>
      <c r="L2">
        <f>K2*(MIN(Inputs!$B$21,Inputs!$B$22)/100+Inputs!$B$22/100)/2</f>
        <v/>
      </c>
      <c r="M2">
        <f>L2*(1+(Inputs!$B$9+Summary!$B$68)/100)</f>
        <v/>
      </c>
      <c r="N2">
        <f>L2*(1-MIN((Inputs!$B$8+Summary!$B$58),100)/100)+M2*(MIN((Inputs!$B$8+Summary!$B$58),100)/100)</f>
        <v/>
      </c>
      <c r="O2">
        <f>IF(C2,Skills!G2*N2*Summary!$B$66*IF(Inputs!$B$4="pvp",1,(1-Summary!$B$55)*(1)+Summary!$B$55*(MIN(Skills!W2,Inputs!$B$37))),0)</f>
        <v/>
      </c>
      <c r="P2">
        <f>IF(Summary!$B$3=0,0,O2/Summary!$B$3)</f>
        <v/>
      </c>
      <c r="Q2" t="n">
        <v>0</v>
      </c>
      <c r="R2" t="n">
        <v>0</v>
      </c>
      <c r="S2">
        <f>IFERROR(O2/N2,0)</f>
        <v/>
      </c>
      <c r="U2">
        <f>MAX(0,(Inputs!$B$3-100)*3)+Inputs!$B$27+Inputs!$B$28</f>
        <v/>
      </c>
    </row>
    <row r="3">
      <c r="A3">
        <f>Skills!A3</f>
        <v/>
      </c>
      <c r="B3">
        <f>Skills!B3</f>
        <v/>
      </c>
      <c r="C3">
        <f>Inputs!$B$3&gt;=35</f>
        <v/>
      </c>
      <c r="D3">
        <f>IF(Skills!C3=1,60+Inputs!$B$24+Inputs!$B$28,IF(Skills!C3=2,90+Inputs!$B$25+Inputs!$B$28,IF(Skills!C3=3,120+Inputs!$B$26+Inputs!$B$28,MAX(0,(Inputs!$B$3-100)*3)+Inputs!$B$27+Inputs!$B$28)))</f>
        <v/>
      </c>
      <c r="E3">
        <f>INDEX(FactorTable!$B$2:$Y$301, MATCH(ROUND(MIN(300,MAX(1,D3)),0), FactorTable!$A$2:$A$301,0), Skills!M3+1)</f>
        <v/>
      </c>
      <c r="F3">
        <f>IF(Skills!N3=TRUE,(Skills!L3/10)*(E3/1000),Skills!L3/10)+Skills!O3</f>
        <v/>
      </c>
      <c r="G3">
        <f>Skills!G3*IF(Skills!H3&gt;0,Skills!I3/Skills!H3,1)</f>
        <v/>
      </c>
      <c r="H3">
        <f>1-(1-Skills!J3/100)^Skills!K3</f>
        <v/>
      </c>
      <c r="I3">
        <f>IF(Skills!AA3&lt;&gt;"",1+(Skills!AA3/10)*($U$3/1000)/100,1)</f>
        <v/>
      </c>
      <c r="J3">
        <f>Summary!$B$50*(F3/100)</f>
        <v/>
      </c>
      <c r="K3">
        <f>J3*(1+Summary!$B$51/100)*(1+Inputs!$B$14/100)*(1+IF(Inputs!$B$4="pvp",0,(1-Summary!$B$55)*(Inputs!$B$19+Skills!P3+Summary!$B$59)+Summary!$B$55*(Inputs!$B$20+Skills!Q3+Summary!$B$59))/100)*(1+Inputs!$B$15/100)*(5000/(6000+Inputs!$B$7*(1-Inputs!$B$18/100)))*(1+Inputs!$B$23/100)*(1+Skills!R3/100)*(1+(IF(Skills!A3="SHOWDOWN",Inputs!$B$16,Inputs!$B$17))/100)*(Summary!$B$57*Summary!$B$60*I3)</f>
        <v/>
      </c>
      <c r="L3">
        <f>K3*(MIN(Inputs!$B$21,Inputs!$B$22)/100+Inputs!$B$22/100)/2</f>
        <v/>
      </c>
      <c r="M3">
        <f>L3*(1+(Inputs!$B$9+Summary!$B$68)/100)</f>
        <v/>
      </c>
      <c r="N3">
        <f>L3*(1-MIN((Inputs!$B$8+Summary!$B$58),100)/100)+M3*(MIN((Inputs!$B$8+Summary!$B$58),100)/100)</f>
        <v/>
      </c>
      <c r="O3">
        <f>IF(C3,H3*N3*IF(AND(Inputs!$B$4&lt;&gt;"pvp",Inputs!$B$35&gt;0),((Skills!G3*((R3-1)*IF(Skills!H3&gt;0,Skills!I3/Skills!H3,1)+IF(Skills!H3&gt;0,MIN(Skills!I3,MAX(0,Inputs!$B$35-((R3-1)*IF(Inputs!$B$4="pvp",15,MAX(0.1,Skills!D3-IF(Skills!E3=TRUE,Inputs!$B$31,0))))))/Skills!H3,1)))/Inputs!$B$35),G3*Q3)*IF(Inputs!$B$4="pvp",1,(1-Summary!$B$55)*(1)+Summary!$B$55*(MIN(Skills!W3,Inputs!$B$37))),0)</f>
        <v/>
      </c>
      <c r="P3">
        <f>IF(Summary!$B$3=0,0,O3/Summary!$B$3)</f>
        <v/>
      </c>
      <c r="Q3">
        <f>IFERROR(1/IF(Inputs!$B$4="pvp",15,MAX(0.1,Skills!D3-IF(Skills!E3=TRUE,Inputs!$B$31,0))),0)</f>
        <v/>
      </c>
      <c r="R3">
        <f>IF(AND(Inputs!$B$4&lt;&gt;"pvp",Inputs!$B$35&gt;0),(INT(Inputs!$B$35/IF(Inputs!$B$4="pvp",15,MAX(0.1,Skills!D3-IF(Skills!E3=TRUE,Inputs!$B$31,0))))+1),0)</f>
        <v/>
      </c>
      <c r="S3">
        <f>IFERROR(O3/N3,0)</f>
        <v/>
      </c>
      <c r="U3">
        <f>INDEX(FactorTable!$B$2:$Y$301, MATCH(ROUND(MIN(300,MAX(1,U2)),0), FactorTable!$A$2:$A$301,0), 24)</f>
        <v/>
      </c>
    </row>
    <row r="4">
      <c r="A4">
        <f>Skills!A4</f>
        <v/>
      </c>
      <c r="B4">
        <f>Skills!B4</f>
        <v/>
      </c>
      <c r="C4">
        <f>Inputs!$B$3&gt;=40</f>
        <v/>
      </c>
      <c r="D4">
        <f>IF(Skills!C4=1,60+Inputs!$B$24+Inputs!$B$28,IF(Skills!C4=2,90+Inputs!$B$25+Inputs!$B$28,IF(Skills!C4=3,120+Inputs!$B$26+Inputs!$B$28,MAX(0,(Inputs!$B$3-100)*3)+Inputs!$B$27+Inputs!$B$28)))</f>
        <v/>
      </c>
      <c r="E4">
        <f>INDEX(FactorTable!$B$2:$Y$301, MATCH(ROUND(MIN(300,MAX(1,D4)),0), FactorTable!$A$2:$A$301,0), Skills!M4+1)</f>
        <v/>
      </c>
      <c r="F4">
        <f>IF(Skills!N4=TRUE,(Skills!L4/10)*(E4/1000),Skills!L4/10)+Skills!O4</f>
        <v/>
      </c>
      <c r="G4">
        <f>Skills!G4*IF(Skills!H4&gt;0,Skills!I4/Skills!H4,1)</f>
        <v/>
      </c>
      <c r="H4">
        <f>1-(1-Skills!J4/100)^Skills!K4</f>
        <v/>
      </c>
      <c r="I4">
        <f>IF(Skills!AA4&lt;&gt;"",1+(Skills!AA4/10)*($U$3/1000)/100,1)</f>
        <v/>
      </c>
      <c r="J4">
        <f>Summary!$B$50*(F4/100)</f>
        <v/>
      </c>
      <c r="K4">
        <f>J4*(1+Summary!$B$51/100)*(1+Inputs!$B$14/100)*(1+IF(Inputs!$B$4="pvp",0,(1-Summary!$B$55)*(Inputs!$B$19+Skills!P4+Summary!$B$59)+Summary!$B$55*(Inputs!$B$20+Skills!Q4+Summary!$B$59))/100)*(1+Inputs!$B$15/100)*(5000/(6000+Inputs!$B$7*(1-Inputs!$B$18/100)))*(1+Inputs!$B$23/100)*(1+Skills!R4/100)*(1+(IF(Skills!A4="SHOWDOWN",Inputs!$B$16,Inputs!$B$17))/100)*(Summary!$B$57*Summary!$B$60*I4)</f>
        <v/>
      </c>
      <c r="L4">
        <f>K4*(MIN(Inputs!$B$21,Inputs!$B$22)/100+Inputs!$B$22/100)/2</f>
        <v/>
      </c>
      <c r="M4">
        <f>L4*(1+(Inputs!$B$9+Summary!$B$68)/100)</f>
        <v/>
      </c>
      <c r="N4">
        <f>L4*(1-MIN((Inputs!$B$8+Summary!$B$58),100)/100)+M4*(MIN((Inputs!$B$8+Summary!$B$58),100)/100)</f>
        <v/>
      </c>
      <c r="O4">
        <f>IF(C4,H4*N4*IF(AND(Inputs!$B$4&lt;&gt;"pvp",Inputs!$B$35&gt;0),((Skills!G4*((R4-1)*IF(Skills!H4&gt;0,Skills!I4/Skills!H4,1)+IF(Skills!H4&gt;0,MIN(Skills!I4,MAX(0,Inputs!$B$35-((R4-1)*IF(Inputs!$B$4="pvp",15,MAX(0.1,Skills!D4-IF(Skills!E4=TRUE,Inputs!$B$31,0))))))/Skills!H4,1)))/Inputs!$B$35),G4*Q4)*IF(Inputs!$B$4="pvp",1,(1-Summary!$B$55)*(1)+Summary!$B$55*(MIN(Skills!W4,Inputs!$B$37))),0)</f>
        <v/>
      </c>
      <c r="P4">
        <f>IF(Summary!$B$3=0,0,O4/Summary!$B$3)</f>
        <v/>
      </c>
      <c r="Q4">
        <f>IFERROR(1/IF(Inputs!$B$4="pvp",15,MAX(0.1,Skills!D4-IF(Skills!E4=TRUE,Inputs!$B$31,0))),0)</f>
        <v/>
      </c>
      <c r="R4">
        <f>IF(AND(Inputs!$B$4&lt;&gt;"pvp",Inputs!$B$35&gt;0),(INT(Inputs!$B$35/IF(Inputs!$B$4="pvp",15,MAX(0.1,Skills!D4-IF(Skills!E4=TRUE,Inputs!$B$31,0))))+1),0)</f>
        <v/>
      </c>
      <c r="S4">
        <f>IFERROR(O4/N4,0)</f>
        <v/>
      </c>
    </row>
    <row r="5">
      <c r="A5">
        <f>Skills!A5</f>
        <v/>
      </c>
      <c r="B5">
        <f>Skills!B5</f>
        <v/>
      </c>
      <c r="C5">
        <f>Inputs!$B$3&gt;=63</f>
        <v/>
      </c>
      <c r="D5">
        <f>IF(Skills!C5=1,60+Inputs!$B$24+Inputs!$B$28,IF(Skills!C5=2,90+Inputs!$B$25+Inputs!$B$28,IF(Skills!C5=3,120+Inputs!$B$26+Inputs!$B$28,MAX(0,(Inputs!$B$3-100)*3)+Inputs!$B$27+Inputs!$B$28)))</f>
        <v/>
      </c>
      <c r="E5">
        <f>INDEX(FactorTable!$B$2:$Y$301, MATCH(ROUND(MIN(300,MAX(1,D5)),0), FactorTable!$A$2:$A$301,0), Skills!M5+1)</f>
        <v/>
      </c>
      <c r="F5">
        <f>IF(Skills!N5=TRUE,(Skills!L5/10)*(E5/1000),Skills!L5/10)+Skills!O5</f>
        <v/>
      </c>
      <c r="G5">
        <f>Skills!G5*IF(Skills!H5&gt;0,Skills!I5/Skills!H5,1)</f>
        <v/>
      </c>
      <c r="H5">
        <f>1-(1-Skills!J5/100)^Skills!K5</f>
        <v/>
      </c>
      <c r="I5">
        <f>IF(Skills!AA5&lt;&gt;"",1+(Skills!AA5/10)*($U$3/1000)/100,1)</f>
        <v/>
      </c>
      <c r="J5">
        <f>Summary!$B$50*(F5/100)</f>
        <v/>
      </c>
      <c r="K5">
        <f>J5*(1+Summary!$B$51/100)*(1+Inputs!$B$14/100)*(1+IF(Inputs!$B$4="pvp",0,(1-Summary!$B$55)*(Inputs!$B$19+Skills!P5+Summary!$B$59)+Summary!$B$55*(Inputs!$B$20+Skills!Q5+Summary!$B$59))/100)*(1+Inputs!$B$15/100)*(5000/(6000+Inputs!$B$7*(1-Inputs!$B$18/100)))*(1+Inputs!$B$23/100)*(1+Skills!R5/100)*(1+(IF(Skills!A5="SHOWDOWN",Inputs!$B$16,Inputs!$B$17))/100)*(Summary!$B$57*Summary!$B$60*I5)</f>
        <v/>
      </c>
      <c r="L5">
        <f>K5*(MIN(Inputs!$B$21,Inputs!$B$22)/100+Inputs!$B$22/100)/2</f>
        <v/>
      </c>
      <c r="M5">
        <f>L5*(1+(Inputs!$B$9+Summary!$B$68)/100)</f>
        <v/>
      </c>
      <c r="N5">
        <f>L5*(1-MIN((Inputs!$B$8+Summary!$B$58),100)/100)+M5*(MIN((Inputs!$B$8+Summary!$B$58),100)/100)</f>
        <v/>
      </c>
      <c r="O5">
        <f>IF(C5,H5*N5*IF(AND(Inputs!$B$4&lt;&gt;"pvp",Inputs!$B$35&gt;0),((Skills!G5*((R5-1)*IF(Skills!H5&gt;0,Skills!I5/Skills!H5,1)+IF(Skills!H5&gt;0,MIN(Skills!I5,MAX(0,Inputs!$B$35-((R5-1)*IF(Inputs!$B$4="pvp",15,MAX(0.1,Skills!D5-IF(Skills!E5=TRUE,Inputs!$B$31,0))))))/Skills!H5,1)))/Inputs!$B$35),G5*Q5)*IF(Inputs!$B$4="pvp",1,(1-Summary!$B$55)*(1)+Summary!$B$55*(MIN(Skills!W5,Inputs!$B$37))),0)</f>
        <v/>
      </c>
      <c r="P5">
        <f>IF(Summary!$B$3=0,0,O5/Summary!$B$3)</f>
        <v/>
      </c>
      <c r="Q5">
        <f>IFERROR(1/IF(Inputs!$B$4="pvp",15,MAX(0.1,Skills!D5-IF(Skills!E5=TRUE,Inputs!$B$31,0))),0)</f>
        <v/>
      </c>
      <c r="R5">
        <f>IF(AND(Inputs!$B$4&lt;&gt;"pvp",Inputs!$B$35&gt;0),(INT(Inputs!$B$35/IF(Inputs!$B$4="pvp",15,MAX(0.1,Skills!D5-IF(Skills!E5=TRUE,Inputs!$B$31,0))))+1),0)</f>
        <v/>
      </c>
      <c r="S5">
        <f>IFERROR(O5/N5,0)</f>
        <v/>
      </c>
    </row>
    <row r="6">
      <c r="A6">
        <f>Skills!A6</f>
        <v/>
      </c>
      <c r="B6">
        <f>Skills!B6</f>
        <v/>
      </c>
      <c r="C6">
        <f>Inputs!$B$3&gt;=66</f>
        <v/>
      </c>
      <c r="D6">
        <f>IF(Skills!C6=1,60+Inputs!$B$24+Inputs!$B$28,IF(Skills!C6=2,90+Inputs!$B$25+Inputs!$B$28,IF(Skills!C6=3,120+Inputs!$B$26+Inputs!$B$28,MAX(0,(Inputs!$B$3-100)*3)+Inputs!$B$27+Inputs!$B$28)))</f>
        <v/>
      </c>
      <c r="E6">
        <f>INDEX(FactorTable!$B$2:$Y$301, MATCH(ROUND(MIN(300,MAX(1,D6)),0), FactorTable!$A$2:$A$301,0), Skills!M6+1)</f>
        <v/>
      </c>
      <c r="F6">
        <f>IF(Skills!N6=TRUE,(Skills!L6/10)*(E6/1000),Skills!L6/10)+Skills!O6</f>
        <v/>
      </c>
      <c r="G6">
        <f>Skills!G6*IF(Skills!H6&gt;0,Skills!I6/Skills!H6,1)</f>
        <v/>
      </c>
      <c r="H6">
        <f>1-(1-Skills!J6/100)^Skills!K6</f>
        <v/>
      </c>
      <c r="I6">
        <f>IF(Skills!AA6&lt;&gt;"",1+(Skills!AA6/10)*($U$3/1000)/100,1)</f>
        <v/>
      </c>
      <c r="J6" t="inlineStr"/>
      <c r="K6" t="inlineStr"/>
      <c r="L6" t="inlineStr"/>
      <c r="M6" t="inlineStr"/>
      <c r="N6" t="inlineStr"/>
      <c r="O6" t="n">
        <v>0</v>
      </c>
      <c r="P6">
        <f>IF(Summary!$B$3=0,0,O6/Summary!$B$3)</f>
        <v/>
      </c>
      <c r="Q6" t="n">
        <v>0</v>
      </c>
      <c r="R6" t="n">
        <v>0</v>
      </c>
      <c r="S6">
        <f>IFERROR(O6/N6,0)</f>
        <v/>
      </c>
    </row>
    <row r="7">
      <c r="A7">
        <f>Skills!A7</f>
        <v/>
      </c>
      <c r="B7">
        <f>Skills!B7</f>
        <v/>
      </c>
      <c r="C7">
        <f>Inputs!$B$3&gt;=66</f>
        <v/>
      </c>
      <c r="D7">
        <f>IF(Skills!C7=1,60+Inputs!$B$24+Inputs!$B$28,IF(Skills!C7=2,90+Inputs!$B$25+Inputs!$B$28,IF(Skills!C7=3,120+Inputs!$B$26+Inputs!$B$28,MAX(0,(Inputs!$B$3-100)*3)+Inputs!$B$27+Inputs!$B$28)))</f>
        <v/>
      </c>
      <c r="E7">
        <f>INDEX(FactorTable!$B$2:$Y$301, MATCH(ROUND(MIN(300,MAX(1,D7)),0), FactorTable!$A$2:$A$301,0), Skills!M7+1)</f>
        <v/>
      </c>
      <c r="F7">
        <f>IF(Skills!N7=TRUE,(Skills!L7/10)*(E7/1000),Skills!L7/10)+Skills!O7</f>
        <v/>
      </c>
      <c r="G7">
        <f>Skills!G7*IF(Skills!H7&gt;0,Skills!I7/Skills!H7,1)</f>
        <v/>
      </c>
      <c r="H7">
        <f>1-(1-Skills!J7/100)^Skills!K7</f>
        <v/>
      </c>
      <c r="I7">
        <f>IF(Skills!AA7&lt;&gt;"",1+(Skills!AA7/10)*($U$3/1000)/100,1)</f>
        <v/>
      </c>
      <c r="J7" t="inlineStr"/>
      <c r="K7" t="inlineStr"/>
      <c r="L7" t="inlineStr"/>
      <c r="M7" t="inlineStr"/>
      <c r="N7" t="inlineStr"/>
      <c r="O7" t="n">
        <v>0</v>
      </c>
      <c r="P7">
        <f>IF(Summary!$B$3=0,0,O7/Summary!$B$3)</f>
        <v/>
      </c>
      <c r="Q7" t="n">
        <v>0</v>
      </c>
      <c r="R7" t="n">
        <v>0</v>
      </c>
      <c r="S7">
        <f>IFERROR(O7/N7,0)</f>
        <v/>
      </c>
    </row>
    <row r="8">
      <c r="A8">
        <f>Skills!A8</f>
        <v/>
      </c>
      <c r="B8">
        <f>Skills!B8</f>
        <v/>
      </c>
      <c r="C8">
        <f>Inputs!$B$3&gt;=69</f>
        <v/>
      </c>
      <c r="D8">
        <f>IF(Skills!C8=1,60+Inputs!$B$24+Inputs!$B$28,IF(Skills!C8=2,90+Inputs!$B$25+Inputs!$B$28,IF(Skills!C8=3,120+Inputs!$B$26+Inputs!$B$28,MAX(0,(Inputs!$B$3-100)*3)+Inputs!$B$27+Inputs!$B$28)))</f>
        <v/>
      </c>
      <c r="E8">
        <f>INDEX(FactorTable!$B$2:$Y$301, MATCH(ROUND(MIN(300,MAX(1,D8)),0), FactorTable!$A$2:$A$301,0), Skills!M8+1)</f>
        <v/>
      </c>
      <c r="F8">
        <f>IF(Skills!N8=TRUE,(Skills!L8/10)*(E8/1000),Skills!L8/10)+Skills!O8</f>
        <v/>
      </c>
      <c r="G8">
        <f>Skills!G8*IF(Skills!H8&gt;0,Skills!I8/Skills!H8,1)</f>
        <v/>
      </c>
      <c r="H8">
        <f>1-(1-Skills!J8/100)^Skills!K8</f>
        <v/>
      </c>
      <c r="I8">
        <f>IF(Skills!AA8&lt;&gt;"",1+(Skills!AA8/10)*($U$3/1000)/100,1)</f>
        <v/>
      </c>
      <c r="J8">
        <f>Summary!$B$50*(F8/100)</f>
        <v/>
      </c>
      <c r="K8">
        <f>J8*(1+Summary!$B$51/100)*(1+Inputs!$B$14/100)*(1+IF(Inputs!$B$4="pvp",0,(1-Summary!$B$55)*(Inputs!$B$19+Skills!P8+Summary!$B$59)+Summary!$B$55*(Inputs!$B$20+Skills!Q8+Summary!$B$59))/100)*(1+Inputs!$B$15/100)*(5000/(6000+Inputs!$B$7*(1-Inputs!$B$18/100)))*(1+Inputs!$B$23/100)*(1+Skills!R8/100)*(1+(IF(Skills!A8="SHOWDOWN",Inputs!$B$16,Inputs!$B$17))/100)*(Summary!$B$57*Summary!$B$60*I8)</f>
        <v/>
      </c>
      <c r="L8">
        <f>K8*(MIN(Inputs!$B$21,Inputs!$B$22)/100+Inputs!$B$22/100)/2</f>
        <v/>
      </c>
      <c r="M8">
        <f>L8*(1+(Inputs!$B$9+Summary!$B$68)/100)</f>
        <v/>
      </c>
      <c r="N8">
        <f>L8*(1-MIN((Inputs!$B$8+Summary!$B$58),100)/100)+M8*(MIN((Inputs!$B$8+Summary!$B$58),100)/100)</f>
        <v/>
      </c>
      <c r="O8">
        <f>IF(C8,H8*N8*IF(AND(Inputs!$B$4&lt;&gt;"pvp",Inputs!$B$35&gt;0),((Skills!G8*((R8-1)*IF(Skills!H8&gt;0,Skills!I8/Skills!H8,1)+IF(Skills!H8&gt;0,MIN(Skills!I8,MAX(0,Inputs!$B$35-((R8-1)*IF(Inputs!$B$4="pvp",15,MAX(0.1,Skills!D8-IF(Skills!E8=TRUE,Inputs!$B$31,0))))))/Skills!H8,1)))/Inputs!$B$35),G8*Q8)*IF(Inputs!$B$4="pvp",1,(1-Summary!$B$55)*(1)+Summary!$B$55*(MIN(Skills!W8,Inputs!$B$37))),0)</f>
        <v/>
      </c>
      <c r="P8">
        <f>IF(Summary!$B$3=0,0,O8/Summary!$B$3)</f>
        <v/>
      </c>
      <c r="Q8">
        <f>IFERROR(1/IF(Inputs!$B$4="pvp",15,MAX(0.1,Skills!D8-IF(Skills!E8=TRUE,Inputs!$B$31,0))),0)</f>
        <v/>
      </c>
      <c r="R8">
        <f>IF(AND(Inputs!$B$4&lt;&gt;"pvp",Inputs!$B$35&gt;0),(INT(Inputs!$B$35/IF(Inputs!$B$4="pvp",15,MAX(0.1,Skills!D8-IF(Skills!E8=TRUE,Inputs!$B$31,0))))+1),0)</f>
        <v/>
      </c>
      <c r="S8">
        <f>IFERROR(O8/N8,0)</f>
        <v/>
      </c>
    </row>
    <row r="9">
      <c r="A9">
        <f>Skills!A9</f>
        <v/>
      </c>
      <c r="B9">
        <f>Skills!B9</f>
        <v/>
      </c>
      <c r="C9">
        <f>Inputs!$B$3&gt;=72</f>
        <v/>
      </c>
      <c r="D9">
        <f>IF(Skills!C9=1,60+Inputs!$B$24+Inputs!$B$28,IF(Skills!C9=2,90+Inputs!$B$25+Inputs!$B$28,IF(Skills!C9=3,120+Inputs!$B$26+Inputs!$B$28,MAX(0,(Inputs!$B$3-100)*3)+Inputs!$B$27+Inputs!$B$28)))</f>
        <v/>
      </c>
      <c r="E9">
        <f>INDEX(FactorTable!$B$2:$Y$301, MATCH(ROUND(MIN(300,MAX(1,D9)),0), FactorTable!$A$2:$A$301,0), Skills!M9+1)</f>
        <v/>
      </c>
      <c r="F9">
        <f>IF(Skills!N9=TRUE,(Skills!L9/10)*(E9/1000),Skills!L9/10)+Skills!O9</f>
        <v/>
      </c>
      <c r="G9">
        <f>Skills!G9*IF(Skills!H9&gt;0,Skills!I9/Skills!H9,1)</f>
        <v/>
      </c>
      <c r="H9">
        <f>1-(1-Skills!J9/100)^Skills!K9</f>
        <v/>
      </c>
      <c r="I9">
        <f>IF(Skills!AA9&lt;&gt;"",1+(Skills!AA9/10)*($U$3/1000)/100,1)</f>
        <v/>
      </c>
      <c r="J9">
        <f>Summary!$B$50*(F9/100)</f>
        <v/>
      </c>
      <c r="K9">
        <f>J9*(1+Summary!$B$51/100)*(1+Inputs!$B$14/100)*(1+IF(Inputs!$B$4="pvp",0,(1-Summary!$B$55)*(Inputs!$B$19+Skills!P9+Summary!$B$59)+Summary!$B$55*(Inputs!$B$20+Skills!Q9+Summary!$B$59))/100)*(1+Inputs!$B$15/100)*(5000/(6000+Inputs!$B$7*(1-Inputs!$B$18/100)))*(1+Inputs!$B$23/100)*(1+Skills!R9/100)*(1+(IF(Skills!A9="SHOWDOWN",Inputs!$B$16,Inputs!$B$17))/100)*(Summary!$B$57*Summary!$B$60*I9)</f>
        <v/>
      </c>
      <c r="L9">
        <f>K9*(MIN(Inputs!$B$21,Inputs!$B$22)/100+Inputs!$B$22/100)/2</f>
        <v/>
      </c>
      <c r="M9">
        <f>L9*(1+(Inputs!$B$9+Summary!$B$68)/100)</f>
        <v/>
      </c>
      <c r="N9">
        <f>L9*(1-MIN((Inputs!$B$8+Summary!$B$58),100)/100)+M9*(MIN((Inputs!$B$8+Summary!$B$58),100)/100)</f>
        <v/>
      </c>
      <c r="O9">
        <f>IF(C9,H9*N9*IF(AND(Inputs!$B$4&lt;&gt;"pvp",Inputs!$B$35&gt;0),((Skills!G9*((R9-1)*IF(Skills!H9&gt;0,Skills!I9/Skills!H9,1)+IF(Skills!H9&gt;0,MIN(Skills!I9,MAX(0,Inputs!$B$35-((R9-1)*IF(Inputs!$B$4="pvp",15,MAX(0.1,Skills!D9-IF(Skills!E9=TRUE,Inputs!$B$31,0))))))/Skills!H9,1)))/Inputs!$B$35),G9*Q9)*IF(Inputs!$B$4="pvp",1,(1-Summary!$B$55)*(1)+Summary!$B$55*(MIN(Skills!W9,Inputs!$B$37))),0)</f>
        <v/>
      </c>
      <c r="P9">
        <f>IF(Summary!$B$3=0,0,O9/Summary!$B$3)</f>
        <v/>
      </c>
      <c r="Q9">
        <f>IFERROR(1/IF(Inputs!$B$4="pvp",15,MAX(0.1,Skills!D9-IF(Skills!E9=TRUE,Inputs!$B$31,0))),0)</f>
        <v/>
      </c>
      <c r="R9">
        <f>IF(AND(Inputs!$B$4&lt;&gt;"pvp",Inputs!$B$35&gt;0),(INT(Inputs!$B$35/IF(Inputs!$B$4="pvp",15,MAX(0.1,Skills!D9-IF(Skills!E9=TRUE,Inputs!$B$31,0))))+1),0)</f>
        <v/>
      </c>
      <c r="S9">
        <f>IFERROR(O9/N9,0)</f>
        <v/>
      </c>
    </row>
    <row r="10">
      <c r="A10">
        <f>Skills!A10</f>
        <v/>
      </c>
      <c r="B10">
        <f>Skills!B10</f>
        <v/>
      </c>
      <c r="C10">
        <f>Inputs!$B$3&gt;=117</f>
        <v/>
      </c>
      <c r="D10">
        <f>IF(Skills!C10=1,60+Inputs!$B$24+Inputs!$B$28,IF(Skills!C10=2,90+Inputs!$B$25+Inputs!$B$28,IF(Skills!C10=3,120+Inputs!$B$26+Inputs!$B$28,MAX(0,(Inputs!$B$3-100)*3)+Inputs!$B$27+Inputs!$B$28)))</f>
        <v/>
      </c>
      <c r="E10">
        <f>INDEX(FactorTable!$B$2:$Y$301, MATCH(ROUND(MIN(300,MAX(1,D10)),0), FactorTable!$A$2:$A$301,0), Skills!M10+1)</f>
        <v/>
      </c>
      <c r="F10">
        <f>IF(Skills!N10=TRUE,(Skills!L10/10)*(E10/1000),Skills!L10/10)+Skills!O10</f>
        <v/>
      </c>
      <c r="G10">
        <f>Skills!G10*IF(Skills!H10&gt;0,Skills!I10/Skills!H10,1)</f>
        <v/>
      </c>
      <c r="H10">
        <f>1-(1-Skills!J10/100)^Skills!K10</f>
        <v/>
      </c>
      <c r="I10">
        <f>IF(Skills!AA10&lt;&gt;"",1+(Skills!AA10/10)*($U$3/1000)/100,1)</f>
        <v/>
      </c>
      <c r="J10">
        <f>Summary!$B$50*(F10/100)</f>
        <v/>
      </c>
      <c r="K10">
        <f>J10*(1+Summary!$B$51/100)*(1+Inputs!$B$14/100)*(1+IF(Inputs!$B$4="pvp",0,(1-Summary!$B$55)*(Inputs!$B$19+Skills!P10+Summary!$B$59)+Summary!$B$55*(Inputs!$B$20+Skills!Q10+Summary!$B$59))/100)*(1+Inputs!$B$15/100)*(5000/(6000+Inputs!$B$7*(1-Inputs!$B$18/100)))*(1+Inputs!$B$23/100)*(1+Skills!R10/100)*(1+(IF(Skills!A10="SHOWDOWN",Inputs!$B$16,Inputs!$B$17))/100)*(Summary!$B$57*Summary!$B$60*I10)</f>
        <v/>
      </c>
      <c r="L10">
        <f>K10*(MIN(Inputs!$B$21,Inputs!$B$22)/100+Inputs!$B$22/100)/2</f>
        <v/>
      </c>
      <c r="M10">
        <f>L10*(1+(Inputs!$B$9+Summary!$B$68)/100)</f>
        <v/>
      </c>
      <c r="N10">
        <f>L10*(1-MIN((Inputs!$B$8+Summary!$B$58),100)/100)+M10*(MIN((Inputs!$B$8+Summary!$B$58),100)/100)</f>
        <v/>
      </c>
      <c r="O10">
        <f>IF(C10,0.2*SUMPRODUCT((Skills!Z2:Z31=TRUE)*(C2:C31=TRUE)*S2:S31)*N10,0)</f>
        <v/>
      </c>
      <c r="P10">
        <f>IF(Summary!$B$3=0,0,O10/Summary!$B$3)</f>
        <v/>
      </c>
      <c r="Q10" t="n">
        <v>0</v>
      </c>
      <c r="R10" t="n">
        <v>0</v>
      </c>
      <c r="S10" t="n">
        <v>0</v>
      </c>
    </row>
    <row r="11">
      <c r="A11">
        <f>Skills!A11</f>
        <v/>
      </c>
      <c r="B11">
        <f>Skills!B11</f>
        <v/>
      </c>
      <c r="C11">
        <f>Inputs!$B$3&gt;=60</f>
        <v/>
      </c>
      <c r="D11">
        <f>IF(Skills!C11=1,60+Inputs!$B$24+Inputs!$B$28,IF(Skills!C11=2,90+Inputs!$B$25+Inputs!$B$28,IF(Skills!C11=3,120+Inputs!$B$26+Inputs!$B$28,MAX(0,(Inputs!$B$3-100)*3)+Inputs!$B$27+Inputs!$B$28)))</f>
        <v/>
      </c>
      <c r="E11">
        <f>INDEX(FactorTable!$B$2:$Y$301, MATCH(ROUND(MIN(300,MAX(1,D11)),0), FactorTable!$A$2:$A$301,0), Skills!M11+1)</f>
        <v/>
      </c>
      <c r="F11">
        <f>IF(Skills!N11=TRUE,(Skills!L11/10)*(E11/1000),Skills!L11/10)+Skills!O11</f>
        <v/>
      </c>
      <c r="G11">
        <f>Skills!G11*IF(Skills!H11&gt;0,Skills!I11/Skills!H11,1)</f>
        <v/>
      </c>
      <c r="H11">
        <f>1-(1-Skills!J11/100)^Skills!K11</f>
        <v/>
      </c>
      <c r="I11">
        <f>IF(Skills!AA11&lt;&gt;"",1+(Skills!AA11/10)*($U$3/1000)/100,1)</f>
        <v/>
      </c>
      <c r="J11" t="inlineStr"/>
      <c r="K11" t="inlineStr"/>
      <c r="L11" t="inlineStr"/>
      <c r="M11" t="inlineStr"/>
      <c r="N11" t="inlineStr"/>
      <c r="O11" t="n">
        <v>0</v>
      </c>
      <c r="P11">
        <f>IF(Summary!$B$3=0,0,O11/Summary!$B$3)</f>
        <v/>
      </c>
      <c r="Q11" t="n">
        <v>0</v>
      </c>
      <c r="R11" t="n">
        <v>0</v>
      </c>
      <c r="S11">
        <f>IFERROR(O11/N11,0)</f>
        <v/>
      </c>
    </row>
    <row r="12">
      <c r="A12">
        <f>Skills!A12</f>
        <v/>
      </c>
      <c r="B12">
        <f>Skills!B12</f>
        <v/>
      </c>
      <c r="C12">
        <f>Inputs!$B$3&gt;=103</f>
        <v/>
      </c>
      <c r="D12">
        <f>IF(Skills!C12=1,60+Inputs!$B$24+Inputs!$B$28,IF(Skills!C12=2,90+Inputs!$B$25+Inputs!$B$28,IF(Skills!C12=3,120+Inputs!$B$26+Inputs!$B$28,MAX(0,(Inputs!$B$3-100)*3)+Inputs!$B$27+Inputs!$B$28)))</f>
        <v/>
      </c>
      <c r="E12">
        <f>INDEX(FactorTable!$B$2:$Y$301, MATCH(ROUND(MIN(300,MAX(1,D12)),0), FactorTable!$A$2:$A$301,0), Skills!M12+1)</f>
        <v/>
      </c>
      <c r="F12">
        <f>IF(Skills!N12=TRUE,(Skills!L12/10)*(E12/1000),Skills!L12/10)+Skills!O12</f>
        <v/>
      </c>
      <c r="G12">
        <f>Skills!G12*IF(Skills!H12&gt;0,Skills!I12/Skills!H12,1)</f>
        <v/>
      </c>
      <c r="H12">
        <f>1-(1-Skills!J12/100)^Skills!K12</f>
        <v/>
      </c>
      <c r="I12">
        <f>IF(Skills!AA12&lt;&gt;"",1+(Skills!AA12/10)*($U$3/1000)/100,1)</f>
        <v/>
      </c>
      <c r="J12">
        <f>Summary!$B$50*(F12/100)</f>
        <v/>
      </c>
      <c r="K12">
        <f>J12*(1+Summary!$B$51/100)*(1+Inputs!$B$14/100)*(1+IF(Inputs!$B$4="pvp",0,(1-Summary!$B$55)*(Inputs!$B$19+Skills!P12+Summary!$B$59)+Summary!$B$55*(Inputs!$B$20+Skills!Q12+Summary!$B$59))/100)*(1+Inputs!$B$15/100)*(5000/(6000+Inputs!$B$7*(1-Inputs!$B$18/100)))*(1+Inputs!$B$23/100)*(1+Skills!R12/100)*(1+(IF(Skills!A12="SHOWDOWN",Inputs!$B$16,Inputs!$B$17))/100)*(Summary!$B$57*Summary!$B$60*I12)</f>
        <v/>
      </c>
      <c r="L12">
        <f>K12*(MIN(Inputs!$B$21,Inputs!$B$22)/100+Inputs!$B$22/100)/2</f>
        <v/>
      </c>
      <c r="M12">
        <f>L12*(1+(Inputs!$B$9+Summary!$B$68)/100)</f>
        <v/>
      </c>
      <c r="N12">
        <f>L12*(1-MIN((Inputs!$B$8+Summary!$B$58),100)/100)+M12*(MIN((Inputs!$B$8+Summary!$B$58),100)/100)</f>
        <v/>
      </c>
      <c r="O12">
        <f>IF(C12,H12*N12*IF(AND(Inputs!$B$4&lt;&gt;"pvp",Inputs!$B$35&gt;0),((Skills!G12*((R12-1)*IF(Skills!H12&gt;0,Skills!I12/Skills!H12,1)+IF(Skills!H12&gt;0,MIN(Skills!I12,MAX(0,Inputs!$B$35-((R12-1)*IF(Inputs!$B$4="pvp",15,MAX(0.1,Skills!D12-IF(Skills!E12=TRUE,Inputs!$B$31,0))))))/Skills!H12,1)))/Inputs!$B$35),G12*Q12)*IF(Inputs!$B$4="pvp",1,(1-Summary!$B$55)*(1)+Summary!$B$55*(MIN(Skills!W12,Inputs!$B$37))),0)</f>
        <v/>
      </c>
      <c r="P12">
        <f>IF(Summary!$B$3=0,0,O12/Summary!$B$3)</f>
        <v/>
      </c>
      <c r="Q12">
        <f>IFERROR(1/IF(Inputs!$B$4="pvp",15,MAX(0.1,Skills!D12-IF(Skills!E12=TRUE,Inputs!$B$31,0))),0)</f>
        <v/>
      </c>
      <c r="R12">
        <f>IF(AND(Inputs!$B$4&lt;&gt;"pvp",Inputs!$B$35&gt;0),(INT(Inputs!$B$35/IF(Inputs!$B$4="pvp",15,MAX(0.1,Skills!D12-IF(Skills!E12=TRUE,Inputs!$B$31,0))))+1),0)</f>
        <v/>
      </c>
      <c r="S12">
        <f>IFERROR(O12/N12,0)</f>
        <v/>
      </c>
    </row>
    <row r="13">
      <c r="A13">
        <f>Skills!A13</f>
        <v/>
      </c>
      <c r="B13">
        <f>Skills!B13</f>
        <v/>
      </c>
      <c r="C13">
        <f>Inputs!$B$3&gt;=105</f>
        <v/>
      </c>
      <c r="D13">
        <f>IF(Skills!C13=1,60+Inputs!$B$24+Inputs!$B$28,IF(Skills!C13=2,90+Inputs!$B$25+Inputs!$B$28,IF(Skills!C13=3,120+Inputs!$B$26+Inputs!$B$28,MAX(0,(Inputs!$B$3-100)*3)+Inputs!$B$27+Inputs!$B$28)))</f>
        <v/>
      </c>
      <c r="E13">
        <f>INDEX(FactorTable!$B$2:$Y$301, MATCH(ROUND(MIN(300,MAX(1,D13)),0), FactorTable!$A$2:$A$301,0), Skills!M13+1)</f>
        <v/>
      </c>
      <c r="F13">
        <f>IF(Skills!N13=TRUE,(Skills!L13/10)*(E13/1000),Skills!L13/10)+Skills!O13</f>
        <v/>
      </c>
      <c r="G13">
        <f>Skills!G13*IF(Skills!H13&gt;0,Skills!I13/Skills!H13,1)</f>
        <v/>
      </c>
      <c r="H13">
        <f>1-(1-Skills!J13/100)^Skills!K13</f>
        <v/>
      </c>
      <c r="I13">
        <f>IF(Skills!AA13&lt;&gt;"",1+(Skills!AA13/10)*($U$3/1000)/100,1)</f>
        <v/>
      </c>
      <c r="J13">
        <f>Summary!$B$50*(F13/100)</f>
        <v/>
      </c>
      <c r="K13">
        <f>J13*(1+Summary!$B$51/100)*(1+Inputs!$B$14/100)*(1+IF(Inputs!$B$4="pvp",0,(1-Summary!$B$55)*(Inputs!$B$19+Skills!P13+Summary!$B$59)+Summary!$B$55*(Inputs!$B$20+Skills!Q13+Summary!$B$59))/100)*(1+Inputs!$B$15/100)*(5000/(6000+Inputs!$B$7*(1-Inputs!$B$18/100)))*(1+Inputs!$B$23/100)*(1+Skills!R13/100)*(1+(IF(Skills!A13="SHOWDOWN",Inputs!$B$16,Inputs!$B$17))/100)*(Summary!$B$57*Summary!$B$60*I13)</f>
        <v/>
      </c>
      <c r="L13">
        <f>K13*(MIN(Inputs!$B$21,Inputs!$B$22)/100+Inputs!$B$22/100)/2</f>
        <v/>
      </c>
      <c r="M13">
        <f>L13*(1+(Inputs!$B$9+Summary!$B$68)/100)</f>
        <v/>
      </c>
      <c r="N13">
        <f>L13*(1-MIN((Inputs!$B$8+Summary!$B$58),100)/100)+M13*(MIN((Inputs!$B$8+Summary!$B$58),100)/100)</f>
        <v/>
      </c>
      <c r="O13">
        <f>IF(C13,H13*N13*IF(AND(Inputs!$B$4&lt;&gt;"pvp",Inputs!$B$35&gt;0),((Skills!G13*((R13-1)*IF(Skills!H13&gt;0,Skills!I13/Skills!H13,1)+IF(Skills!H13&gt;0,MIN(Skills!I13,MAX(0,Inputs!$B$35-((R13-1)*IF(Inputs!$B$4="pvp",15,MAX(0.1,Skills!D13-IF(Skills!E13=TRUE,Inputs!$B$31,0))))))/Skills!H13,1)))/Inputs!$B$35),G13*Q13)*IF(Inputs!$B$4="pvp",1,(1-Summary!$B$55)*(1)+Summary!$B$55*(MIN(Skills!W13,Inputs!$B$37))),0)</f>
        <v/>
      </c>
      <c r="P13">
        <f>IF(Summary!$B$3=0,0,O13/Summary!$B$3)</f>
        <v/>
      </c>
      <c r="Q13">
        <f>IFERROR(1/IF(Inputs!$B$4="pvp",15,MAX(0.1,Skills!D13-IF(Skills!E13=TRUE,Inputs!$B$31,0))),0)</f>
        <v/>
      </c>
      <c r="R13">
        <f>IF(AND(Inputs!$B$4&lt;&gt;"pvp",Inputs!$B$35&gt;0),(INT(Inputs!$B$35/IF(Inputs!$B$4="pvp",15,MAX(0.1,Skills!D13-IF(Skills!E13=TRUE,Inputs!$B$31,0))))+1),0)</f>
        <v/>
      </c>
      <c r="S13">
        <f>IFERROR(O13/N13,0)</f>
        <v/>
      </c>
    </row>
    <row r="14">
      <c r="A14">
        <f>Skills!A14</f>
        <v/>
      </c>
      <c r="B14">
        <f>Skills!B14</f>
        <v/>
      </c>
      <c r="C14">
        <f>Inputs!$B$3&gt;=105</f>
        <v/>
      </c>
      <c r="D14">
        <f>IF(Skills!C14=1,60+Inputs!$B$24+Inputs!$B$28,IF(Skills!C14=2,90+Inputs!$B$25+Inputs!$B$28,IF(Skills!C14=3,120+Inputs!$B$26+Inputs!$B$28,MAX(0,(Inputs!$B$3-100)*3)+Inputs!$B$27+Inputs!$B$28)))</f>
        <v/>
      </c>
      <c r="E14">
        <f>INDEX(FactorTable!$B$2:$Y$301, MATCH(ROUND(MIN(300,MAX(1,D14)),0), FactorTable!$A$2:$A$301,0), Skills!M14+1)</f>
        <v/>
      </c>
      <c r="F14">
        <f>IF(Skills!N14=TRUE,(Skills!L14/10)*(E14/1000),Skills!L14/10)+Skills!O14</f>
        <v/>
      </c>
      <c r="G14">
        <f>Skills!G14*IF(Skills!H14&gt;0,Skills!I14/Skills!H14,1)</f>
        <v/>
      </c>
      <c r="H14">
        <f>1-(1-Skills!J14/100)^Skills!K14</f>
        <v/>
      </c>
      <c r="I14">
        <f>IF(Skills!AA14&lt;&gt;"",1+(Skills!AA14/10)*($U$3/1000)/100,1)</f>
        <v/>
      </c>
      <c r="J14">
        <f>Summary!$B$50*(F14/100)</f>
        <v/>
      </c>
      <c r="K14">
        <f>J14*(1+Summary!$B$51/100)*(1+Inputs!$B$14/100)*(1+IF(Inputs!$B$4="pvp",0,(1-Summary!$B$55)*(Inputs!$B$19+Skills!P14+Summary!$B$59)+Summary!$B$55*(Inputs!$B$20+Skills!Q14+Summary!$B$59))/100)*(1+Inputs!$B$15/100)*(5000/(6000+Inputs!$B$7*(1-Inputs!$B$18/100)))*(1+Inputs!$B$23/100)*(1+Skills!R14/100)*(1+(IF(Skills!A14="SHOWDOWN",Inputs!$B$16,Inputs!$B$17))/100)*(Summary!$B$57*Summary!$B$60*I14)</f>
        <v/>
      </c>
      <c r="L14">
        <f>K14*(MIN(Inputs!$B$21,Inputs!$B$22)/100+Inputs!$B$22/100)/2</f>
        <v/>
      </c>
      <c r="M14">
        <f>L14*(1+(Inputs!$B$9+Summary!$B$68)/100)</f>
        <v/>
      </c>
      <c r="N14">
        <f>L14*(1-MIN((Inputs!$B$8+Summary!$B$58),100)/100)+M14*(MIN((Inputs!$B$8+Summary!$B$58),100)/100)</f>
        <v/>
      </c>
      <c r="O14">
        <f>IF(C14,H14*N14*IF(AND(Inputs!$B$4&lt;&gt;"pvp",Inputs!$B$35&gt;0),((Skills!G14*((R14-1)*IF(Skills!H14&gt;0,Skills!I14/Skills!H14,1)+IF(Skills!H14&gt;0,MIN(Skills!I14,MAX(0,Inputs!$B$35-((R14-1)*IF(Inputs!$B$4="pvp",15,MAX(0.1,Skills!D14-IF(Skills!E14=TRUE,Inputs!$B$31,0))))))/Skills!H14,1)))/Inputs!$B$35),G14*Q14)*IF(Inputs!$B$4="pvp",1,(1-Summary!$B$55)*(1)+Summary!$B$55*(MIN(Skills!W14,Inputs!$B$37))),0)</f>
        <v/>
      </c>
      <c r="P14">
        <f>IF(Summary!$B$3=0,0,O14/Summary!$B$3)</f>
        <v/>
      </c>
      <c r="Q14">
        <f>IFERROR(1/IF(Inputs!$B$4="pvp",15,MAX(0.1,Skills!D14-IF(Skills!E14=TRUE,Inputs!$B$31,0))),0)</f>
        <v/>
      </c>
      <c r="R14">
        <f>IF(AND(Inputs!$B$4&lt;&gt;"pvp",Inputs!$B$35&gt;0),(INT(Inputs!$B$35/IF(Inputs!$B$4="pvp",15,MAX(0.1,Skills!D14-IF(Skills!E14=TRUE,Inputs!$B$31,0))))+1),0)</f>
        <v/>
      </c>
      <c r="S14">
        <f>IFERROR(O14/N14,0)</f>
        <v/>
      </c>
    </row>
    <row r="15">
      <c r="A15">
        <f>Skills!A15</f>
        <v/>
      </c>
      <c r="B15">
        <f>Skills!B15</f>
        <v/>
      </c>
      <c r="C15">
        <f>Inputs!$B$3&gt;=110</f>
        <v/>
      </c>
      <c r="D15">
        <f>IF(Skills!C15=1,60+Inputs!$B$24+Inputs!$B$28,IF(Skills!C15=2,90+Inputs!$B$25+Inputs!$B$28,IF(Skills!C15=3,120+Inputs!$B$26+Inputs!$B$28,MAX(0,(Inputs!$B$3-100)*3)+Inputs!$B$27+Inputs!$B$28)))</f>
        <v/>
      </c>
      <c r="E15">
        <f>INDEX(FactorTable!$B$2:$Y$301, MATCH(ROUND(MIN(300,MAX(1,D15)),0), FactorTable!$A$2:$A$301,0), Skills!M15+1)</f>
        <v/>
      </c>
      <c r="F15">
        <f>IF(Skills!N15=TRUE,(Skills!L15/10)*(E15/1000),Skills!L15/10)+Skills!O15</f>
        <v/>
      </c>
      <c r="G15">
        <f>Skills!G15*IF(Skills!H15&gt;0,Skills!I15/Skills!H15,1)</f>
        <v/>
      </c>
      <c r="H15">
        <f>1-(1-Skills!J15/100)^Skills!K15</f>
        <v/>
      </c>
      <c r="I15">
        <f>IF(Skills!AA15&lt;&gt;"",1+(Skills!AA15/10)*($U$3/1000)/100,1)</f>
        <v/>
      </c>
      <c r="J15" t="inlineStr"/>
      <c r="K15" t="inlineStr"/>
      <c r="L15" t="inlineStr"/>
      <c r="M15" t="inlineStr"/>
      <c r="N15" t="inlineStr"/>
      <c r="O15" t="n">
        <v>0</v>
      </c>
      <c r="P15">
        <f>IF(Summary!$B$3=0,0,O15/Summary!$B$3)</f>
        <v/>
      </c>
      <c r="Q15">
        <f>IFERROR(1/IF(Inputs!$B$4="pvp",15,MAX(0.1,Skills!D15-IF(Skills!E15=TRUE,Inputs!$B$31,0))),0)</f>
        <v/>
      </c>
      <c r="R15">
        <f>IF(AND(Inputs!$B$4&lt;&gt;"pvp",Inputs!$B$35&gt;0),(INT(Inputs!$B$35/IF(Inputs!$B$4="pvp",15,MAX(0.1,Skills!D15-IF(Skills!E15=TRUE,Inputs!$B$31,0))))+1),0)</f>
        <v/>
      </c>
      <c r="S15">
        <f>IFERROR(O15/N15,0)</f>
        <v/>
      </c>
    </row>
    <row r="16">
      <c r="A16">
        <f>Skills!A16</f>
        <v/>
      </c>
      <c r="B16">
        <f>Skills!B16</f>
        <v/>
      </c>
      <c r="C16">
        <f>Inputs!$B$3&gt;=110</f>
        <v/>
      </c>
      <c r="D16">
        <f>IF(Skills!C16=1,60+Inputs!$B$24+Inputs!$B$28,IF(Skills!C16=2,90+Inputs!$B$25+Inputs!$B$28,IF(Skills!C16=3,120+Inputs!$B$26+Inputs!$B$28,MAX(0,(Inputs!$B$3-100)*3)+Inputs!$B$27+Inputs!$B$28)))</f>
        <v/>
      </c>
      <c r="E16">
        <f>INDEX(FactorTable!$B$2:$Y$301, MATCH(ROUND(MIN(300,MAX(1,D16)),0), FactorTable!$A$2:$A$301,0), Skills!M16+1)</f>
        <v/>
      </c>
      <c r="F16">
        <f>IF(Skills!N16=TRUE,(Skills!L16/10)*(E16/1000),Skills!L16/10)+Skills!O16</f>
        <v/>
      </c>
      <c r="G16">
        <f>Skills!G16*IF(Skills!H16&gt;0,Skills!I16/Skills!H16,1)</f>
        <v/>
      </c>
      <c r="H16">
        <f>1-(1-Skills!J16/100)^Skills!K16</f>
        <v/>
      </c>
      <c r="I16">
        <f>IF(Skills!AA16&lt;&gt;"",1+(Skills!AA16/10)*($U$3/1000)/100,1)</f>
        <v/>
      </c>
      <c r="J16" t="inlineStr"/>
      <c r="K16" t="inlineStr"/>
      <c r="L16" t="inlineStr"/>
      <c r="M16" t="inlineStr"/>
      <c r="N16" t="inlineStr"/>
      <c r="O16" t="n">
        <v>0</v>
      </c>
      <c r="P16">
        <f>IF(Summary!$B$3=0,0,O16/Summary!$B$3)</f>
        <v/>
      </c>
      <c r="Q16">
        <f>IFERROR(1/IF(Inputs!$B$4="pvp",15,MAX(0.1,Skills!D16-IF(Skills!E16=TRUE,Inputs!$B$31,0))),0)</f>
        <v/>
      </c>
      <c r="R16">
        <f>IF(AND(Inputs!$B$4&lt;&gt;"pvp",Inputs!$B$35&gt;0),(INT(Inputs!$B$35/IF(Inputs!$B$4="pvp",15,MAX(0.1,Skills!D16-IF(Skills!E16=TRUE,Inputs!$B$31,0))))+1),0)</f>
        <v/>
      </c>
      <c r="S16">
        <f>IFERROR(O16/N16,0)</f>
        <v/>
      </c>
    </row>
    <row r="17">
      <c r="A17">
        <f>Skills!A17</f>
        <v/>
      </c>
      <c r="B17">
        <f>Skills!B17</f>
        <v/>
      </c>
      <c r="C17">
        <f>Inputs!$B$3&gt;=115</f>
        <v/>
      </c>
      <c r="D17">
        <f>IF(Skills!C17=1,60+Inputs!$B$24+Inputs!$B$28,IF(Skills!C17=2,90+Inputs!$B$25+Inputs!$B$28,IF(Skills!C17=3,120+Inputs!$B$26+Inputs!$B$28,MAX(0,(Inputs!$B$3-100)*3)+Inputs!$B$27+Inputs!$B$28)))</f>
        <v/>
      </c>
      <c r="E17">
        <f>INDEX(FactorTable!$B$2:$Y$301, MATCH(ROUND(MIN(300,MAX(1,D17)),0), FactorTable!$A$2:$A$301,0), Skills!M17+1)</f>
        <v/>
      </c>
      <c r="F17">
        <f>IF(Skills!N17=TRUE,(Skills!L17/10)*(E17/1000),Skills!L17/10)+Skills!O17</f>
        <v/>
      </c>
      <c r="G17">
        <f>Skills!G17*IF(Skills!H17&gt;0,Skills!I17/Skills!H17,1)</f>
        <v/>
      </c>
      <c r="H17">
        <f>1-(1-Skills!J17/100)^Skills!K17</f>
        <v/>
      </c>
      <c r="I17">
        <f>IF(Skills!AA17&lt;&gt;"",1+(Skills!AA17/10)*($U$3/1000)/100,1)</f>
        <v/>
      </c>
      <c r="J17">
        <f>Summary!$B$50*(F17/100)</f>
        <v/>
      </c>
      <c r="K17">
        <f>J17*(1+Summary!$B$51/100)*(1+Inputs!$B$14/100)*(1+IF(Inputs!$B$4="pvp",0,(1-Summary!$B$55)*(Inputs!$B$19+Skills!P17+Summary!$B$59)+Summary!$B$55*(Inputs!$B$20+Skills!Q17+Summary!$B$59))/100)*(1+Inputs!$B$15/100)*(5000/(6000+Inputs!$B$7*(1-Inputs!$B$18/100)))*(1+Inputs!$B$23/100)*(1+Skills!R17/100)*(1+(IF(Skills!A17="SHOWDOWN",Inputs!$B$16,Inputs!$B$17))/100)*(Summary!$B$57*Summary!$B$60*I17)</f>
        <v/>
      </c>
      <c r="L17">
        <f>K17*(MIN(Inputs!$B$21,Inputs!$B$22)/100+Inputs!$B$22/100)/2</f>
        <v/>
      </c>
      <c r="M17">
        <f>L17*(1+(Inputs!$B$9+Summary!$B$68)/100)</f>
        <v/>
      </c>
      <c r="N17">
        <f>L17*(1-MIN((Inputs!$B$8+Summary!$B$58),100)/100)+M17*(MIN((Inputs!$B$8+Summary!$B$58),100)/100)</f>
        <v/>
      </c>
      <c r="O17">
        <f>IF(C17,Inputs!$B$38*0.2*N17,0)</f>
        <v/>
      </c>
      <c r="P17">
        <f>IF(Summary!$B$3=0,0,O17/Summary!$B$3)</f>
        <v/>
      </c>
      <c r="Q17" t="n">
        <v>0</v>
      </c>
      <c r="R17" t="n">
        <v>0</v>
      </c>
      <c r="S17">
        <f>IFERROR(O17/N17,0)</f>
        <v/>
      </c>
    </row>
    <row r="18">
      <c r="A18">
        <f>Skills!A18</f>
        <v/>
      </c>
      <c r="B18">
        <f>Skills!B18</f>
        <v/>
      </c>
      <c r="C18">
        <f>Inputs!$B$3&gt;=115</f>
        <v/>
      </c>
      <c r="D18">
        <f>IF(Skills!C18=1,60+Inputs!$B$24+Inputs!$B$28,IF(Skills!C18=2,90+Inputs!$B$25+Inputs!$B$28,IF(Skills!C18=3,120+Inputs!$B$26+Inputs!$B$28,MAX(0,(Inputs!$B$3-100)*3)+Inputs!$B$27+Inputs!$B$28)))</f>
        <v/>
      </c>
      <c r="E18">
        <f>INDEX(FactorTable!$B$2:$Y$301, MATCH(ROUND(MIN(300,MAX(1,D18)),0), FactorTable!$A$2:$A$301,0), Skills!M18+1)</f>
        <v/>
      </c>
      <c r="F18">
        <f>IF(Skills!N18=TRUE,(Skills!L18/10)*(E18/1000),Skills!L18/10)+Skills!O18</f>
        <v/>
      </c>
      <c r="G18">
        <f>Skills!G18*IF(Skills!H18&gt;0,Skills!I18/Skills!H18,1)</f>
        <v/>
      </c>
      <c r="H18">
        <f>1-(1-Skills!J18/100)^Skills!K18</f>
        <v/>
      </c>
      <c r="I18">
        <f>IF(Skills!AA18&lt;&gt;"",1+(Skills!AA18/10)*($U$3/1000)/100,1)</f>
        <v/>
      </c>
      <c r="J18" t="inlineStr"/>
      <c r="K18" t="inlineStr"/>
      <c r="L18" t="inlineStr"/>
      <c r="M18" t="inlineStr"/>
      <c r="N18" t="inlineStr"/>
      <c r="O18" t="n">
        <v>0</v>
      </c>
      <c r="P18">
        <f>IF(Summary!$B$3=0,0,O18/Summary!$B$3)</f>
        <v/>
      </c>
      <c r="Q18" t="n">
        <v>0</v>
      </c>
      <c r="R18" t="n">
        <v>0</v>
      </c>
      <c r="S18">
        <f>IFERROR(O18/N18,0)</f>
        <v/>
      </c>
    </row>
    <row r="19">
      <c r="A19">
        <f>Skills!A19</f>
        <v/>
      </c>
      <c r="B19">
        <f>Skills!B19</f>
        <v/>
      </c>
      <c r="C19">
        <f>TRUE</f>
        <v/>
      </c>
      <c r="D19">
        <f>IF(Skills!C19=1,60+Inputs!$B$24+Inputs!$B$28,IF(Skills!C19=2,90+Inputs!$B$25+Inputs!$B$28,IF(Skills!C19=3,120+Inputs!$B$26+Inputs!$B$28,MAX(0,(Inputs!$B$3-100)*3)+Inputs!$B$27+Inputs!$B$28)))</f>
        <v/>
      </c>
      <c r="E19">
        <f>INDEX(FactorTable!$B$2:$Y$301, MATCH(ROUND(MIN(300,MAX(1,D19)),0), FactorTable!$A$2:$A$301,0), Skills!M19+1)</f>
        <v/>
      </c>
      <c r="F19">
        <f>IF(Skills!N19=TRUE,(Skills!L19/10)*(E19/1000),Skills!L19/10)+Skills!O19</f>
        <v/>
      </c>
      <c r="G19">
        <f>Skills!G19*IF(Skills!H19&gt;0,Skills!I19/Skills!H19,1)</f>
        <v/>
      </c>
      <c r="H19">
        <f>1-(1-Skills!J19/100)^Skills!K19</f>
        <v/>
      </c>
      <c r="I19">
        <f>IF(Skills!AA19&lt;&gt;"",1+(Skills!AA19/10)*($U$3/1000)/100,1)</f>
        <v/>
      </c>
      <c r="J19" t="inlineStr"/>
      <c r="K19" t="inlineStr"/>
      <c r="L19" t="inlineStr"/>
      <c r="M19" t="inlineStr"/>
      <c r="N19" t="inlineStr"/>
      <c r="O19" t="n">
        <v>0</v>
      </c>
      <c r="P19">
        <f>IF(Summary!$B$3=0,0,O19/Summary!$B$3)</f>
        <v/>
      </c>
      <c r="Q19">
        <f>IFERROR(1/IF(Inputs!$B$4="pvp",15,MAX(0.1,Skills!D19-IF(Skills!E19=TRUE,Inputs!$B$31,0))),0)</f>
        <v/>
      </c>
      <c r="R19">
        <f>IF(AND(Inputs!$B$4&lt;&gt;"pvp",Inputs!$B$35&gt;0),(INT(Inputs!$B$35/IF(Inputs!$B$4="pvp",15,MAX(0.1,Skills!D19-IF(Skills!E19=TRUE,Inputs!$B$31,0))))+1),0)</f>
        <v/>
      </c>
      <c r="S19">
        <f>IFERROR(O19/N19,0)</f>
        <v/>
      </c>
    </row>
    <row r="20">
      <c r="A20">
        <f>Skills!A20</f>
        <v/>
      </c>
      <c r="B20">
        <f>Skills!B20</f>
        <v/>
      </c>
      <c r="C20">
        <f>Inputs!$B$3&gt;=15</f>
        <v/>
      </c>
      <c r="D20">
        <f>IF(Skills!C20=1,60+Inputs!$B$24+Inputs!$B$28,IF(Skills!C20=2,90+Inputs!$B$25+Inputs!$B$28,IF(Skills!C20=3,120+Inputs!$B$26+Inputs!$B$28,MAX(0,(Inputs!$B$3-100)*3)+Inputs!$B$27+Inputs!$B$28)))</f>
        <v/>
      </c>
      <c r="E20">
        <f>INDEX(FactorTable!$B$2:$Y$301, MATCH(ROUND(MIN(300,MAX(1,D20)),0), FactorTable!$A$2:$A$301,0), Skills!M20+1)</f>
        <v/>
      </c>
      <c r="F20">
        <f>IF(Skills!N20=TRUE,(Skills!L20/10)*(E20/1000),Skills!L20/10)+Skills!O20</f>
        <v/>
      </c>
      <c r="G20">
        <f>Skills!G20*IF(Skills!H20&gt;0,Skills!I20/Skills!H20,1)</f>
        <v/>
      </c>
      <c r="H20">
        <f>1-(1-Skills!J20/100)^Skills!K20</f>
        <v/>
      </c>
      <c r="I20">
        <f>IF(Skills!AA20&lt;&gt;"",1+(Skills!AA20/10)*($U$3/1000)/100,1)</f>
        <v/>
      </c>
      <c r="J20" t="inlineStr"/>
      <c r="K20" t="inlineStr"/>
      <c r="L20" t="inlineStr"/>
      <c r="M20" t="inlineStr"/>
      <c r="N20" t="inlineStr"/>
      <c r="O20" t="n">
        <v>0</v>
      </c>
      <c r="P20">
        <f>IF(Summary!$B$3=0,0,O20/Summary!$B$3)</f>
        <v/>
      </c>
      <c r="Q20">
        <f>IFERROR(1/IF(Inputs!$B$4="pvp",15,MAX(0.1,Skills!D20-IF(Skills!E20=TRUE,Inputs!$B$31,0))),0)</f>
        <v/>
      </c>
      <c r="R20">
        <f>IF(AND(Inputs!$B$4&lt;&gt;"pvp",Inputs!$B$35&gt;0),(INT(Inputs!$B$35/IF(Inputs!$B$4="pvp",15,MAX(0.1,Skills!D20-IF(Skills!E20=TRUE,Inputs!$B$31,0))))+1),0)</f>
        <v/>
      </c>
      <c r="S20">
        <f>IFERROR(O20/N20,0)</f>
        <v/>
      </c>
    </row>
    <row r="21">
      <c r="A21">
        <f>Skills!A21</f>
        <v/>
      </c>
      <c r="B21">
        <f>Skills!B21</f>
        <v/>
      </c>
      <c r="C21">
        <f>Inputs!$B$3&gt;=15</f>
        <v/>
      </c>
      <c r="D21">
        <f>IF(Skills!C21=1,60+Inputs!$B$24+Inputs!$B$28,IF(Skills!C21=2,90+Inputs!$B$25+Inputs!$B$28,IF(Skills!C21=3,120+Inputs!$B$26+Inputs!$B$28,MAX(0,(Inputs!$B$3-100)*3)+Inputs!$B$27+Inputs!$B$28)))</f>
        <v/>
      </c>
      <c r="E21">
        <f>INDEX(FactorTable!$B$2:$Y$301, MATCH(ROUND(MIN(300,MAX(1,D21)),0), FactorTable!$A$2:$A$301,0), Skills!M21+1)</f>
        <v/>
      </c>
      <c r="F21">
        <f>IF(Skills!N21=TRUE,(Skills!L21/10)*(E21/1000),Skills!L21/10)+Skills!O21</f>
        <v/>
      </c>
      <c r="G21">
        <f>Skills!G21*IF(Skills!H21&gt;0,Skills!I21/Skills!H21,1)</f>
        <v/>
      </c>
      <c r="H21">
        <f>1-(1-Skills!J21/100)^Skills!K21</f>
        <v/>
      </c>
      <c r="I21">
        <f>IF(Skills!AA21&lt;&gt;"",1+(Skills!AA21/10)*($U$3/1000)/100,1)</f>
        <v/>
      </c>
      <c r="J21" t="inlineStr"/>
      <c r="K21" t="inlineStr"/>
      <c r="L21" t="inlineStr"/>
      <c r="M21" t="inlineStr"/>
      <c r="N21" t="inlineStr"/>
      <c r="O21" t="n">
        <v>0</v>
      </c>
      <c r="P21">
        <f>IF(Summary!$B$3=0,0,O21/Summary!$B$3)</f>
        <v/>
      </c>
      <c r="Q21">
        <f>IFERROR(1/IF(Inputs!$B$4="pvp",15,MAX(0.1,Skills!D21-IF(Skills!E21=TRUE,Inputs!$B$31,0))),0)</f>
        <v/>
      </c>
      <c r="R21">
        <f>IF(AND(Inputs!$B$4&lt;&gt;"pvp",Inputs!$B$35&gt;0),(INT(Inputs!$B$35/IF(Inputs!$B$4="pvp",15,MAX(0.1,Skills!D21-IF(Skills!E21=TRUE,Inputs!$B$31,0))))+1),0)</f>
        <v/>
      </c>
      <c r="S21">
        <f>IFERROR(O21/N21,0)</f>
        <v/>
      </c>
    </row>
    <row r="22">
      <c r="A22">
        <f>Skills!A22</f>
        <v/>
      </c>
      <c r="B22">
        <f>Skills!B22</f>
        <v/>
      </c>
      <c r="C22">
        <f>Inputs!$B$3&gt;=33</f>
        <v/>
      </c>
      <c r="D22">
        <f>IF(Skills!C22=1,60+Inputs!$B$24+Inputs!$B$28,IF(Skills!C22=2,90+Inputs!$B$25+Inputs!$B$28,IF(Skills!C22=3,120+Inputs!$B$26+Inputs!$B$28,MAX(0,(Inputs!$B$3-100)*3)+Inputs!$B$27+Inputs!$B$28)))</f>
        <v/>
      </c>
      <c r="E22">
        <f>INDEX(FactorTable!$B$2:$Y$301, MATCH(ROUND(MIN(300,MAX(1,D22)),0), FactorTable!$A$2:$A$301,0), Skills!M22+1)</f>
        <v/>
      </c>
      <c r="F22">
        <f>IF(Skills!N22=TRUE,(Skills!L22/10)*(E22/1000),Skills!L22/10)+Skills!O22</f>
        <v/>
      </c>
      <c r="G22">
        <f>Skills!G22*IF(Skills!H22&gt;0,Skills!I22/Skills!H22,1)</f>
        <v/>
      </c>
      <c r="H22">
        <f>1-(1-Skills!J22/100)^Skills!K22</f>
        <v/>
      </c>
      <c r="I22">
        <f>IF(Skills!AA22&lt;&gt;"",1+(Skills!AA22/10)*($U$3/1000)/100,1)</f>
        <v/>
      </c>
      <c r="J22" t="inlineStr"/>
      <c r="K22" t="inlineStr"/>
      <c r="L22" t="inlineStr"/>
      <c r="M22" t="inlineStr"/>
      <c r="N22" t="inlineStr"/>
      <c r="O22" t="n">
        <v>0</v>
      </c>
      <c r="P22">
        <f>IF(Summary!$B$3=0,0,O22/Summary!$B$3)</f>
        <v/>
      </c>
      <c r="Q22" t="n">
        <v>0</v>
      </c>
      <c r="R22" t="n">
        <v>0</v>
      </c>
      <c r="S22">
        <f>IFERROR(O22/N22,0)</f>
        <v/>
      </c>
    </row>
    <row r="23">
      <c r="A23">
        <f>Skills!A23</f>
        <v/>
      </c>
      <c r="B23">
        <f>Skills!B23</f>
        <v/>
      </c>
      <c r="C23">
        <f>Inputs!$B$3&gt;=38</f>
        <v/>
      </c>
      <c r="D23">
        <f>IF(Skills!C23=1,60+Inputs!$B$24+Inputs!$B$28,IF(Skills!C23=2,90+Inputs!$B$25+Inputs!$B$28,IF(Skills!C23=3,120+Inputs!$B$26+Inputs!$B$28,MAX(0,(Inputs!$B$3-100)*3)+Inputs!$B$27+Inputs!$B$28)))</f>
        <v/>
      </c>
      <c r="E23">
        <f>INDEX(FactorTable!$B$2:$Y$301, MATCH(ROUND(MIN(300,MAX(1,D23)),0), FactorTable!$A$2:$A$301,0), Skills!M23+1)</f>
        <v/>
      </c>
      <c r="F23">
        <f>IF(Skills!N23=TRUE,(Skills!L23/10)*(E23/1000),Skills!L23/10)+Skills!O23</f>
        <v/>
      </c>
      <c r="G23">
        <f>Skills!G23*IF(Skills!H23&gt;0,Skills!I23/Skills!H23,1)</f>
        <v/>
      </c>
      <c r="H23">
        <f>1-(1-Skills!J23/100)^Skills!K23</f>
        <v/>
      </c>
      <c r="I23">
        <f>IF(Skills!AA23&lt;&gt;"",1+(Skills!AA23/10)*($U$3/1000)/100,1)</f>
        <v/>
      </c>
      <c r="J23" t="inlineStr"/>
      <c r="K23" t="inlineStr"/>
      <c r="L23" t="inlineStr"/>
      <c r="M23" t="inlineStr"/>
      <c r="N23" t="inlineStr"/>
      <c r="O23" t="n">
        <v>0</v>
      </c>
      <c r="P23">
        <f>IF(Summary!$B$3=0,0,O23/Summary!$B$3)</f>
        <v/>
      </c>
      <c r="Q23" t="n">
        <v>0</v>
      </c>
      <c r="R23" t="n">
        <v>0</v>
      </c>
      <c r="S23">
        <f>IFERROR(O23/N23,0)</f>
        <v/>
      </c>
    </row>
    <row r="24">
      <c r="A24">
        <f>Skills!A24</f>
        <v/>
      </c>
      <c r="B24">
        <f>Skills!B24</f>
        <v/>
      </c>
      <c r="C24">
        <f>Inputs!$B$3&gt;=40</f>
        <v/>
      </c>
      <c r="D24">
        <f>IF(Skills!C24=1,60+Inputs!$B$24+Inputs!$B$28,IF(Skills!C24=2,90+Inputs!$B$25+Inputs!$B$28,IF(Skills!C24=3,120+Inputs!$B$26+Inputs!$B$28,MAX(0,(Inputs!$B$3-100)*3)+Inputs!$B$27+Inputs!$B$28)))</f>
        <v/>
      </c>
      <c r="E24">
        <f>INDEX(FactorTable!$B$2:$Y$301, MATCH(ROUND(MIN(300,MAX(1,D24)),0), FactorTable!$A$2:$A$301,0), Skills!M24+1)</f>
        <v/>
      </c>
      <c r="F24">
        <f>IF(Skills!N24=TRUE,(Skills!L24/10)*(E24/1000),Skills!L24/10)+Skills!O24</f>
        <v/>
      </c>
      <c r="G24">
        <f>Skills!G24*IF(Skills!H24&gt;0,Skills!I24/Skills!H24,1)</f>
        <v/>
      </c>
      <c r="H24">
        <f>1-(1-Skills!J24/100)^Skills!K24</f>
        <v/>
      </c>
      <c r="I24">
        <f>IF(Skills!AA24&lt;&gt;"",1+(Skills!AA24/10)*($U$3/1000)/100,1)</f>
        <v/>
      </c>
      <c r="J24" t="inlineStr"/>
      <c r="K24" t="inlineStr"/>
      <c r="L24" t="inlineStr"/>
      <c r="M24" t="inlineStr"/>
      <c r="N24" t="inlineStr"/>
      <c r="O24" t="n">
        <v>0</v>
      </c>
      <c r="P24">
        <f>IF(Summary!$B$3=0,0,O24/Summary!$B$3)</f>
        <v/>
      </c>
      <c r="Q24" t="n">
        <v>0</v>
      </c>
      <c r="R24" t="n">
        <v>0</v>
      </c>
      <c r="S24">
        <f>IFERROR(O24/N24,0)</f>
        <v/>
      </c>
    </row>
    <row r="25">
      <c r="A25">
        <f>Skills!A25</f>
        <v/>
      </c>
      <c r="B25">
        <f>Skills!B25</f>
        <v/>
      </c>
      <c r="C25">
        <f>Inputs!$B$3&gt;=45</f>
        <v/>
      </c>
      <c r="D25">
        <f>IF(Skills!C25=1,60+Inputs!$B$24+Inputs!$B$28,IF(Skills!C25=2,90+Inputs!$B$25+Inputs!$B$28,IF(Skills!C25=3,120+Inputs!$B$26+Inputs!$B$28,MAX(0,(Inputs!$B$3-100)*3)+Inputs!$B$27+Inputs!$B$28)))</f>
        <v/>
      </c>
      <c r="E25">
        <f>INDEX(FactorTable!$B$2:$Y$301, MATCH(ROUND(MIN(300,MAX(1,D25)),0), FactorTable!$A$2:$A$301,0), Skills!M25+1)</f>
        <v/>
      </c>
      <c r="F25">
        <f>IF(Skills!N25=TRUE,(Skills!L25/10)*(E25/1000),Skills!L25/10)+Skills!O25</f>
        <v/>
      </c>
      <c r="G25">
        <f>Skills!G25*IF(Skills!H25&gt;0,Skills!I25/Skills!H25,1)</f>
        <v/>
      </c>
      <c r="H25">
        <f>1-(1-Skills!J25/100)^Skills!K25</f>
        <v/>
      </c>
      <c r="I25">
        <f>IF(Skills!AA25&lt;&gt;"",1+(Skills!AA25/10)*($U$3/1000)/100,1)</f>
        <v/>
      </c>
      <c r="J25" t="inlineStr"/>
      <c r="K25" t="inlineStr"/>
      <c r="L25" t="inlineStr"/>
      <c r="M25" t="inlineStr"/>
      <c r="N25" t="inlineStr"/>
      <c r="O25" t="n">
        <v>0</v>
      </c>
      <c r="P25">
        <f>IF(Summary!$B$3=0,0,O25/Summary!$B$3)</f>
        <v/>
      </c>
      <c r="Q25" t="n">
        <v>0</v>
      </c>
      <c r="R25" t="n">
        <v>0</v>
      </c>
      <c r="S25">
        <f>IFERROR(O25/N25,0)</f>
        <v/>
      </c>
    </row>
    <row r="26">
      <c r="A26">
        <f>Skills!A26</f>
        <v/>
      </c>
      <c r="B26">
        <f>Skills!B26</f>
        <v/>
      </c>
      <c r="C26">
        <f>Inputs!$B$3&gt;=45</f>
        <v/>
      </c>
      <c r="D26">
        <f>IF(Skills!C26=1,60+Inputs!$B$24+Inputs!$B$28,IF(Skills!C26=2,90+Inputs!$B$25+Inputs!$B$28,IF(Skills!C26=3,120+Inputs!$B$26+Inputs!$B$28,MAX(0,(Inputs!$B$3-100)*3)+Inputs!$B$27+Inputs!$B$28)))</f>
        <v/>
      </c>
      <c r="E26">
        <f>INDEX(FactorTable!$B$2:$Y$301, MATCH(ROUND(MIN(300,MAX(1,D26)),0), FactorTable!$A$2:$A$301,0), Skills!M26+1)</f>
        <v/>
      </c>
      <c r="F26">
        <f>IF(Skills!N26=TRUE,(Skills!L26/10)*(E26/1000),Skills!L26/10)+Skills!O26</f>
        <v/>
      </c>
      <c r="G26">
        <f>Skills!G26*IF(Skills!H26&gt;0,Skills!I26/Skills!H26,1)</f>
        <v/>
      </c>
      <c r="H26">
        <f>1-(1-Skills!J26/100)^Skills!K26</f>
        <v/>
      </c>
      <c r="I26">
        <f>IF(Skills!AA26&lt;&gt;"",1+(Skills!AA26/10)*($U$3/1000)/100,1)</f>
        <v/>
      </c>
      <c r="J26" t="inlineStr"/>
      <c r="K26" t="inlineStr"/>
      <c r="L26" t="inlineStr"/>
      <c r="M26" t="inlineStr"/>
      <c r="N26" t="inlineStr"/>
      <c r="O26" t="n">
        <v>0</v>
      </c>
      <c r="P26">
        <f>IF(Summary!$B$3=0,0,O26/Summary!$B$3)</f>
        <v/>
      </c>
      <c r="Q26" t="n">
        <v>0</v>
      </c>
      <c r="R26" t="n">
        <v>0</v>
      </c>
      <c r="S26">
        <f>IFERROR(O26/N26,0)</f>
        <v/>
      </c>
    </row>
    <row r="27">
      <c r="A27">
        <f>Skills!A27</f>
        <v/>
      </c>
      <c r="B27">
        <f>Skills!B27</f>
        <v/>
      </c>
      <c r="C27">
        <f>Inputs!$B$3&gt;=72</f>
        <v/>
      </c>
      <c r="D27">
        <f>IF(Skills!C27=1,60+Inputs!$B$24+Inputs!$B$28,IF(Skills!C27=2,90+Inputs!$B$25+Inputs!$B$28,IF(Skills!C27=3,120+Inputs!$B$26+Inputs!$B$28,MAX(0,(Inputs!$B$3-100)*3)+Inputs!$B$27+Inputs!$B$28)))</f>
        <v/>
      </c>
      <c r="E27">
        <f>INDEX(FactorTable!$B$2:$Y$301, MATCH(ROUND(MIN(300,MAX(1,D27)),0), FactorTable!$A$2:$A$301,0), Skills!M27+1)</f>
        <v/>
      </c>
      <c r="F27">
        <f>IF(Skills!N27=TRUE,(Skills!L27/10)*(E27/1000),Skills!L27/10)+Skills!O27</f>
        <v/>
      </c>
      <c r="G27">
        <f>Skills!G27*IF(Skills!H27&gt;0,Skills!I27/Skills!H27,1)</f>
        <v/>
      </c>
      <c r="H27">
        <f>1-(1-Skills!J27/100)^Skills!K27</f>
        <v/>
      </c>
      <c r="I27">
        <f>IF(Skills!AA27&lt;&gt;"",1+(Skills!AA27/10)*($U$3/1000)/100,1)</f>
        <v/>
      </c>
      <c r="J27" t="inlineStr"/>
      <c r="K27" t="inlineStr"/>
      <c r="L27" t="inlineStr"/>
      <c r="M27" t="inlineStr"/>
      <c r="N27" t="inlineStr"/>
      <c r="O27" t="n">
        <v>0</v>
      </c>
      <c r="P27">
        <f>IF(Summary!$B$3=0,0,O27/Summary!$B$3)</f>
        <v/>
      </c>
      <c r="Q27" t="n">
        <v>0</v>
      </c>
      <c r="R27" t="n">
        <v>0</v>
      </c>
      <c r="S27">
        <f>IFERROR(O27/N27,0)</f>
        <v/>
      </c>
    </row>
    <row r="28">
      <c r="A28">
        <f>Skills!A28</f>
        <v/>
      </c>
      <c r="B28">
        <f>Skills!B28</f>
        <v/>
      </c>
      <c r="C28">
        <f>Inputs!$B$3&gt;=75</f>
        <v/>
      </c>
      <c r="D28">
        <f>IF(Skills!C28=1,60+Inputs!$B$24+Inputs!$B$28,IF(Skills!C28=2,90+Inputs!$B$25+Inputs!$B$28,IF(Skills!C28=3,120+Inputs!$B$26+Inputs!$B$28,MAX(0,(Inputs!$B$3-100)*3)+Inputs!$B$27+Inputs!$B$28)))</f>
        <v/>
      </c>
      <c r="E28">
        <f>INDEX(FactorTable!$B$2:$Y$301, MATCH(ROUND(MIN(300,MAX(1,D28)),0), FactorTable!$A$2:$A$301,0), Skills!M28+1)</f>
        <v/>
      </c>
      <c r="F28">
        <f>IF(Skills!N28=TRUE,(Skills!L28/10)*(E28/1000),Skills!L28/10)+Skills!O28</f>
        <v/>
      </c>
      <c r="G28">
        <f>Skills!G28*IF(Skills!H28&gt;0,Skills!I28/Skills!H28,1)</f>
        <v/>
      </c>
      <c r="H28">
        <f>1-(1-Skills!J28/100)^Skills!K28</f>
        <v/>
      </c>
      <c r="I28">
        <f>IF(Skills!AA28&lt;&gt;"",1+(Skills!AA28/10)*($U$3/1000)/100,1)</f>
        <v/>
      </c>
      <c r="J28" t="inlineStr"/>
      <c r="K28" t="inlineStr"/>
      <c r="L28" t="inlineStr"/>
      <c r="M28" t="inlineStr"/>
      <c r="N28" t="inlineStr"/>
      <c r="O28" t="n">
        <v>0</v>
      </c>
      <c r="P28">
        <f>IF(Summary!$B$3=0,0,O28/Summary!$B$3)</f>
        <v/>
      </c>
      <c r="Q28" t="n">
        <v>0</v>
      </c>
      <c r="R28" t="n">
        <v>0</v>
      </c>
      <c r="S28">
        <f>IFERROR(O28/N28,0)</f>
        <v/>
      </c>
    </row>
    <row r="29">
      <c r="A29">
        <f>Skills!A29</f>
        <v/>
      </c>
      <c r="B29">
        <f>Skills!B29</f>
        <v/>
      </c>
      <c r="C29">
        <f>Inputs!$B$3&gt;=120</f>
        <v/>
      </c>
      <c r="D29">
        <f>IF(Skills!C29=1,60+Inputs!$B$24+Inputs!$B$28,IF(Skills!C29=2,90+Inputs!$B$25+Inputs!$B$28,IF(Skills!C29=3,120+Inputs!$B$26+Inputs!$B$28,MAX(0,(Inputs!$B$3-100)*3)+Inputs!$B$27+Inputs!$B$28)))</f>
        <v/>
      </c>
      <c r="E29">
        <f>INDEX(FactorTable!$B$2:$Y$301, MATCH(ROUND(MIN(300,MAX(1,D29)),0), FactorTable!$A$2:$A$301,0), Skills!M29+1)</f>
        <v/>
      </c>
      <c r="F29">
        <f>IF(Skills!N29=TRUE,(Skills!L29/10)*(E29/1000),Skills!L29/10)+Skills!O29</f>
        <v/>
      </c>
      <c r="G29">
        <f>Skills!G29*IF(Skills!H29&gt;0,Skills!I29/Skills!H29,1)</f>
        <v/>
      </c>
      <c r="H29">
        <f>1-(1-Skills!J29/100)^Skills!K29</f>
        <v/>
      </c>
      <c r="I29">
        <f>IF(Skills!AA29&lt;&gt;"",1+(Skills!AA29/10)*($U$3/1000)/100,1)</f>
        <v/>
      </c>
      <c r="J29" t="inlineStr"/>
      <c r="K29" t="inlineStr"/>
      <c r="L29" t="inlineStr"/>
      <c r="M29" t="inlineStr"/>
      <c r="N29" t="inlineStr"/>
      <c r="O29" t="n">
        <v>0</v>
      </c>
      <c r="P29">
        <f>IF(Summary!$B$3=0,0,O29/Summary!$B$3)</f>
        <v/>
      </c>
      <c r="Q29" t="n">
        <v>0</v>
      </c>
      <c r="R29" t="n">
        <v>0</v>
      </c>
      <c r="S29">
        <f>IFERROR(O29/N29,0)</f>
        <v/>
      </c>
    </row>
    <row r="30">
      <c r="A30">
        <f>Skills!A30</f>
        <v/>
      </c>
      <c r="B30">
        <f>Skills!B30</f>
        <v/>
      </c>
      <c r="C30">
        <f>Inputs!$B$3&gt;=125</f>
        <v/>
      </c>
      <c r="D30">
        <f>IF(Skills!C30=1,60+Inputs!$B$24+Inputs!$B$28,IF(Skills!C30=2,90+Inputs!$B$25+Inputs!$B$28,IF(Skills!C30=3,120+Inputs!$B$26+Inputs!$B$28,MAX(0,(Inputs!$B$3-100)*3)+Inputs!$B$27+Inputs!$B$28)))</f>
        <v/>
      </c>
      <c r="E30">
        <f>INDEX(FactorTable!$B$2:$Y$301, MATCH(ROUND(MIN(300,MAX(1,D30)),0), FactorTable!$A$2:$A$301,0), Skills!M30+1)</f>
        <v/>
      </c>
      <c r="F30">
        <f>IF(Skills!N30=TRUE,(Skills!L30/10)*(E30/1000),Skills!L30/10)+Skills!O30</f>
        <v/>
      </c>
      <c r="G30">
        <f>Skills!G30*IF(Skills!H30&gt;0,Skills!I30/Skills!H30,1)</f>
        <v/>
      </c>
      <c r="H30">
        <f>1-(1-Skills!J30/100)^Skills!K30</f>
        <v/>
      </c>
      <c r="I30">
        <f>IF(Skills!AA30&lt;&gt;"",1+(Skills!AA30/10)*($U$3/1000)/100,1)</f>
        <v/>
      </c>
      <c r="J30" t="inlineStr"/>
      <c r="K30" t="inlineStr"/>
      <c r="L30" t="inlineStr"/>
      <c r="M30" t="inlineStr"/>
      <c r="N30" t="inlineStr"/>
      <c r="O30" t="n">
        <v>0</v>
      </c>
      <c r="P30">
        <f>IF(Summary!$B$3=0,0,O30/Summary!$B$3)</f>
        <v/>
      </c>
      <c r="Q30" t="n">
        <v>0</v>
      </c>
      <c r="R30" t="n">
        <v>0</v>
      </c>
      <c r="S30">
        <f>IFERROR(O30/N30,0)</f>
        <v/>
      </c>
    </row>
    <row r="31">
      <c r="A31">
        <f>Skills!A31</f>
        <v/>
      </c>
      <c r="B31">
        <f>Skills!B31</f>
        <v/>
      </c>
      <c r="C31">
        <f>Inputs!$B$3&gt;=107</f>
        <v/>
      </c>
      <c r="D31">
        <f>IF(Skills!C31=1,60+Inputs!$B$24+Inputs!$B$28,IF(Skills!C31=2,90+Inputs!$B$25+Inputs!$B$28,IF(Skills!C31=3,120+Inputs!$B$26+Inputs!$B$28,MAX(0,(Inputs!$B$3-100)*3)+Inputs!$B$27+Inputs!$B$28)))</f>
        <v/>
      </c>
      <c r="E31">
        <f>INDEX(FactorTable!$B$2:$Y$301, MATCH(ROUND(MIN(300,MAX(1,D31)),0), FactorTable!$A$2:$A$301,0), Skills!M31+1)</f>
        <v/>
      </c>
      <c r="F31">
        <f>IF(Skills!N31=TRUE,(Skills!L31/10)*(E31/1000),Skills!L31/10)+Skills!O31</f>
        <v/>
      </c>
      <c r="G31">
        <f>Skills!G31*IF(Skills!H31&gt;0,Skills!I31/Skills!H31,1)</f>
        <v/>
      </c>
      <c r="H31">
        <f>1-(1-Skills!J31/100)^Skills!K31</f>
        <v/>
      </c>
      <c r="I31">
        <f>IF(Skills!AA31&lt;&gt;"",1+(Skills!AA31/10)*($U$3/1000)/100,1)</f>
        <v/>
      </c>
      <c r="J31" t="inlineStr"/>
      <c r="K31" t="inlineStr"/>
      <c r="L31" t="inlineStr"/>
      <c r="M31" t="inlineStr"/>
      <c r="N31" t="inlineStr"/>
      <c r="O31" t="n">
        <v>0</v>
      </c>
      <c r="P31">
        <f>IF(Summary!$B$3=0,0,O31/Summary!$B$3)</f>
        <v/>
      </c>
      <c r="Q31" t="n">
        <v>0</v>
      </c>
      <c r="R31" t="n">
        <v>0</v>
      </c>
      <c r="S31">
        <f>IFERROR(O31/N31,0)</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9"/>
  <sheetViews>
    <sheetView workbookViewId="0">
      <selection activeCell="A1" sqref="A1"/>
    </sheetView>
  </sheetViews>
  <sheetFormatPr baseColWidth="8" defaultRowHeight="15"/>
  <cols>
    <col width="60" customWidth="1" min="1" max="1"/>
    <col width="16" customWidth="1" min="2" max="2"/>
    <col width="12" customWidth="1" min="3" max="3"/>
  </cols>
  <sheetData>
    <row r="1">
      <c r="A1" s="4" t="inlineStr">
        <is>
          <t>Night Lord — DPS Summary</t>
        </is>
      </c>
    </row>
    <row r="3">
      <c r="A3" s="9" t="inlineStr">
        <is>
          <t>TOTAL DPS</t>
        </is>
      </c>
      <c r="B3" s="9">
        <f>SUM(Calc!O2:O31)</f>
        <v/>
      </c>
    </row>
    <row r="5">
      <c r="A5" s="7" t="inlineStr">
        <is>
          <t>Per-Skill DPS Breakdown</t>
        </is>
      </c>
    </row>
    <row r="6">
      <c r="A6" s="8" t="inlineStr">
        <is>
          <t>Skill</t>
        </is>
      </c>
      <c r="B6" s="8" t="inlineStr">
        <is>
          <t>DPS</t>
        </is>
      </c>
      <c r="C6" s="8" t="inlineStr">
        <is>
          <t>% of Total</t>
        </is>
      </c>
    </row>
    <row r="7">
      <c r="A7">
        <f>Calc!B2</f>
        <v/>
      </c>
      <c r="B7">
        <f>Calc!O2</f>
        <v/>
      </c>
      <c r="C7">
        <f>Calc!P2*100</f>
        <v/>
      </c>
    </row>
    <row r="8">
      <c r="A8">
        <f>Calc!B3</f>
        <v/>
      </c>
      <c r="B8">
        <f>Calc!O3</f>
        <v/>
      </c>
      <c r="C8">
        <f>Calc!P3*100</f>
        <v/>
      </c>
    </row>
    <row r="9">
      <c r="A9">
        <f>Calc!B4</f>
        <v/>
      </c>
      <c r="B9">
        <f>Calc!O4</f>
        <v/>
      </c>
      <c r="C9">
        <f>Calc!P4*100</f>
        <v/>
      </c>
    </row>
    <row r="10">
      <c r="A10">
        <f>Calc!B5</f>
        <v/>
      </c>
      <c r="B10">
        <f>Calc!O5</f>
        <v/>
      </c>
      <c r="C10">
        <f>Calc!P5*100</f>
        <v/>
      </c>
    </row>
    <row r="11">
      <c r="A11">
        <f>Calc!B8</f>
        <v/>
      </c>
      <c r="B11">
        <f>Calc!O8</f>
        <v/>
      </c>
      <c r="C11">
        <f>Calc!P8*100</f>
        <v/>
      </c>
    </row>
    <row r="12">
      <c r="A12">
        <f>Calc!B9</f>
        <v/>
      </c>
      <c r="B12">
        <f>Calc!O9</f>
        <v/>
      </c>
      <c r="C12">
        <f>Calc!P9*100</f>
        <v/>
      </c>
    </row>
    <row r="13">
      <c r="A13">
        <f>Calc!B10</f>
        <v/>
      </c>
      <c r="B13">
        <f>Calc!O10</f>
        <v/>
      </c>
      <c r="C13">
        <f>Calc!P10*100</f>
        <v/>
      </c>
    </row>
    <row r="14">
      <c r="A14">
        <f>Calc!B12</f>
        <v/>
      </c>
      <c r="B14">
        <f>Calc!O12</f>
        <v/>
      </c>
      <c r="C14">
        <f>Calc!P12*100</f>
        <v/>
      </c>
    </row>
    <row r="15">
      <c r="A15">
        <f>Calc!B13</f>
        <v/>
      </c>
      <c r="B15">
        <f>Calc!O13</f>
        <v/>
      </c>
      <c r="C15">
        <f>Calc!P13*100</f>
        <v/>
      </c>
    </row>
    <row r="16">
      <c r="A16">
        <f>Calc!B14</f>
        <v/>
      </c>
      <c r="B16">
        <f>Calc!O14</f>
        <v/>
      </c>
      <c r="C16">
        <f>Calc!P14*100</f>
        <v/>
      </c>
    </row>
    <row r="17">
      <c r="A17">
        <f>Calc!B17</f>
        <v/>
      </c>
      <c r="B17">
        <f>Calc!O17</f>
        <v/>
      </c>
      <c r="C17">
        <f>Calc!P17*100</f>
        <v/>
      </c>
    </row>
    <row r="18">
      <c r="A18" s="7" t="inlineStr">
        <is>
          <t>Marginal DPS &amp; Stat Value (see Sensitivity for full detail)</t>
        </is>
      </c>
    </row>
    <row r="20">
      <c r="A20" s="8" t="inlineStr">
        <is>
          <t>Stat</t>
        </is>
      </c>
      <c r="B20" s="8" t="inlineStr">
        <is>
          <t>DPS per +1</t>
        </is>
      </c>
      <c r="C20" s="8" t="inlineStr">
        <is>
          <t>Units per +1% DPS</t>
        </is>
      </c>
    </row>
    <row r="21">
      <c r="A21">
        <f>Sensitivity!A5</f>
        <v/>
      </c>
      <c r="B21">
        <f>Sensitivity!H5</f>
        <v/>
      </c>
      <c r="C21">
        <f>Sensitivity!B5</f>
        <v/>
      </c>
    </row>
    <row r="22">
      <c r="A22">
        <f>Sensitivity!A6</f>
        <v/>
      </c>
      <c r="B22">
        <f>Sensitivity!H6</f>
        <v/>
      </c>
      <c r="C22">
        <f>Sensitivity!B6</f>
        <v/>
      </c>
    </row>
    <row r="23">
      <c r="A23">
        <f>Sensitivity!A7</f>
        <v/>
      </c>
      <c r="B23">
        <f>Sensitivity!H7</f>
        <v/>
      </c>
      <c r="C23">
        <f>Sensitivity!B7</f>
        <v/>
      </c>
    </row>
    <row r="24">
      <c r="A24">
        <f>Sensitivity!A8</f>
        <v/>
      </c>
      <c r="B24">
        <f>Sensitivity!H8</f>
        <v/>
      </c>
      <c r="C24">
        <f>Sensitivity!B8</f>
        <v/>
      </c>
    </row>
    <row r="25">
      <c r="A25">
        <f>Sensitivity!A9</f>
        <v/>
      </c>
      <c r="B25">
        <f>Sensitivity!H9</f>
        <v/>
      </c>
      <c r="C25">
        <f>Sensitivity!B9</f>
        <v/>
      </c>
    </row>
    <row r="26">
      <c r="A26">
        <f>Sensitivity!A10</f>
        <v/>
      </c>
      <c r="B26">
        <f>Sensitivity!H10</f>
        <v/>
      </c>
      <c r="C26">
        <f>Sensitivity!B10</f>
        <v/>
      </c>
    </row>
    <row r="27">
      <c r="A27">
        <f>Sensitivity!A11</f>
        <v/>
      </c>
      <c r="B27">
        <f>Sensitivity!H11</f>
        <v/>
      </c>
      <c r="C27">
        <f>Sensitivity!B11</f>
        <v/>
      </c>
    </row>
    <row r="28">
      <c r="A28">
        <f>Sensitivity!A12</f>
        <v/>
      </c>
      <c r="B28">
        <f>Sensitivity!H12</f>
        <v/>
      </c>
      <c r="C28">
        <f>Sensitivity!B12</f>
        <v/>
      </c>
    </row>
    <row r="29">
      <c r="A29">
        <f>Sensitivity!A13</f>
        <v/>
      </c>
      <c r="B29">
        <f>Sensitivity!H13</f>
        <v/>
      </c>
      <c r="C29">
        <f>Sensitivity!B13</f>
        <v/>
      </c>
    </row>
    <row r="30">
      <c r="A30">
        <f>Sensitivity!A14</f>
        <v/>
      </c>
      <c r="B30">
        <f>Sensitivity!H14</f>
        <v/>
      </c>
      <c r="C30">
        <f>Sensitivity!B14</f>
        <v/>
      </c>
    </row>
    <row r="31">
      <c r="A31">
        <f>Sensitivity!A15</f>
        <v/>
      </c>
      <c r="B31">
        <f>Sensitivity!H15</f>
        <v/>
      </c>
      <c r="C31">
        <f>Sensitivity!B15</f>
        <v/>
      </c>
    </row>
    <row r="32">
      <c r="A32">
        <f>Sensitivity!A16</f>
        <v/>
      </c>
      <c r="B32">
        <f>Sensitivity!H16</f>
        <v/>
      </c>
      <c r="C32">
        <f>Sensitivity!B16</f>
        <v/>
      </c>
    </row>
    <row r="33">
      <c r="A33">
        <f>Sensitivity!A17</f>
        <v/>
      </c>
      <c r="B33">
        <f>Sensitivity!H17</f>
        <v/>
      </c>
      <c r="C33">
        <f>Sensitivity!B17</f>
        <v/>
      </c>
    </row>
    <row r="34">
      <c r="A34">
        <f>Sensitivity!A18</f>
        <v/>
      </c>
      <c r="B34">
        <f>Sensitivity!H18</f>
        <v/>
      </c>
      <c r="C34">
        <f>Sensitivity!B18</f>
        <v/>
      </c>
    </row>
    <row r="35">
      <c r="A35">
        <f>Sensitivity!A19</f>
        <v/>
      </c>
      <c r="B35">
        <f>Sensitivity!H19</f>
        <v/>
      </c>
      <c r="C35">
        <f>Sensitivity!B19</f>
        <v/>
      </c>
    </row>
    <row r="36">
      <c r="A36">
        <f>Sensitivity!A20</f>
        <v/>
      </c>
      <c r="B36">
        <f>Sensitivity!H20</f>
        <v/>
      </c>
      <c r="C36">
        <f>Sensitivity!B20</f>
        <v/>
      </c>
    </row>
    <row r="37">
      <c r="A37">
        <f>Sensitivity!A21</f>
        <v/>
      </c>
      <c r="B37">
        <f>Sensitivity!H21</f>
        <v/>
      </c>
      <c r="C37">
        <f>Sensitivity!B21</f>
        <v/>
      </c>
    </row>
    <row r="38">
      <c r="A38">
        <f>Sensitivity!A22</f>
        <v/>
      </c>
      <c r="B38">
        <f>Sensitivity!H22</f>
        <v/>
      </c>
      <c r="C38">
        <f>Sensitivity!B22</f>
        <v/>
      </c>
    </row>
    <row r="39">
      <c r="A39">
        <f>Sensitivity!A23</f>
        <v/>
      </c>
      <c r="B39">
        <f>Sensitivity!H23</f>
        <v/>
      </c>
      <c r="C39">
        <f>Sensitivity!B23</f>
        <v/>
      </c>
    </row>
    <row r="40">
      <c r="A40">
        <f>Sensitivity!A24</f>
        <v/>
      </c>
      <c r="B40">
        <f>Sensitivity!H24</f>
        <v/>
      </c>
      <c r="C40">
        <f>Sensitivity!B24</f>
        <v/>
      </c>
    </row>
    <row r="41">
      <c r="A41">
        <f>Sensitivity!A25</f>
        <v/>
      </c>
      <c r="B41">
        <f>Sensitivity!H25</f>
        <v/>
      </c>
      <c r="C41">
        <f>Sensitivity!B25</f>
        <v/>
      </c>
    </row>
    <row r="42">
      <c r="A42">
        <f>Sensitivity!A26</f>
        <v/>
      </c>
      <c r="B42">
        <f>Sensitivity!H26</f>
        <v/>
      </c>
      <c r="C42">
        <f>Sensitivity!B26</f>
        <v/>
      </c>
    </row>
    <row r="43">
      <c r="A43">
        <f>Sensitivity!A27</f>
        <v/>
      </c>
      <c r="B43">
        <f>Sensitivity!H27</f>
        <v/>
      </c>
      <c r="C43">
        <f>Sensitivity!B27</f>
        <v/>
      </c>
    </row>
    <row r="44">
      <c r="A44">
        <f>Sensitivity!A28</f>
        <v/>
      </c>
      <c r="B44">
        <f>Sensitivity!H28</f>
        <v/>
      </c>
      <c r="C44">
        <f>Sensitivity!B28</f>
        <v/>
      </c>
    </row>
    <row r="45">
      <c r="A45">
        <f>Sensitivity!A29</f>
        <v/>
      </c>
      <c r="B45">
        <f>Sensitivity!H29</f>
        <v/>
      </c>
      <c r="C45">
        <f>Sensitivity!B29</f>
        <v/>
      </c>
    </row>
    <row r="46">
      <c r="A46">
        <f>Sensitivity!A30</f>
        <v/>
      </c>
      <c r="B46">
        <f>Sensitivity!H30</f>
        <v/>
      </c>
      <c r="C46">
        <f>Sensitivity!B30</f>
        <v/>
      </c>
    </row>
    <row r="47">
      <c r="A47">
        <f>Sensitivity!A31</f>
        <v/>
      </c>
      <c r="B47">
        <f>Sensitivity!H31</f>
        <v/>
      </c>
      <c r="C47">
        <f>Sensitivity!B31</f>
        <v/>
      </c>
    </row>
    <row r="49">
      <c r="A49" s="7" t="inlineStr">
        <is>
          <t>Derived Values (read-only, computed from Inputs)</t>
        </is>
      </c>
    </row>
    <row r="50">
      <c r="A50" t="inlineStr">
        <is>
          <t>ATTACK (= Flat ATTACK x (1+ATTACK%/100))</t>
        </is>
      </c>
      <c r="B50">
        <f>Inputs!$B$5*(1+Inputs!$B$6/100)</f>
        <v/>
      </c>
    </row>
    <row r="51">
      <c r="A51" t="inlineStr">
        <is>
          <t>STAT_DAMAGE % (= 1% of total LUK + 0.25% of DEX)</t>
        </is>
      </c>
      <c r="B51">
        <f>(Inputs!$B$11*(1+Inputs!$B$12/100))*0.01+Inputs!$B$13*0.0025</f>
        <v/>
      </c>
    </row>
    <row r="52">
      <c r="A52" t="inlineStr">
        <is>
          <t>Basic Attack (Showdown) Input Level (4th job formula)</t>
        </is>
      </c>
      <c r="B52">
        <f>MAX(0,(Inputs!$B$3-100)*3)+Inputs!$B$27+Inputs!$B$28</f>
        <v/>
      </c>
    </row>
    <row r="53">
      <c r="A53" t="inlineStr">
        <is>
          <t>Basic Attack Factor (factorIndex 21, from Showdown reverse-engineering)</t>
        </is>
      </c>
      <c r="B53">
        <f>INDEX(FactorTable!$B$2:$Y$301, MATCH(ROUND(MIN(300,MAX(1,Summary!$B$52)),0), FactorTable!$A$2:$A$301,0), 22)</f>
        <v/>
      </c>
    </row>
    <row r="54">
      <c r="A54" t="inlineStr">
        <is>
          <t>SKILL_COEFFICIENT — Showdown base coefficient % (before Skill Mastery)</t>
        </is>
      </c>
      <c r="B54">
        <f>290*Summary!$B$53/1000</f>
        <v/>
      </c>
    </row>
    <row r="55">
      <c r="A55" t="inlineStr">
        <is>
          <t>Normal-Monster Weight (= 0 for boss, 1 for normal, Breakthrough Normal Weight % for breakthrough, 0 for pvp)</t>
        </is>
      </c>
      <c r="B55">
        <f>IF(Inputs!$B$4="normal",1,IF(Inputs!$B$4="breakthrough",Inputs!$B$36/100,0))</f>
        <v/>
      </c>
    </row>
    <row r="57">
      <c r="A57" t="inlineStr">
        <is>
          <t>Average Buff Multiplier (Dark Sight Attack + Frailty Curse self-FD + Adrenalin FD)</t>
        </is>
      </c>
      <c r="B57">
        <f>(1+((Calc!C21=TRUE)*Calc!F21*IF(AND(Inputs!$B$4&lt;&gt;"pvp",Inputs!$B$35&gt;0),(((Calc!R21-1)*(Skills!Y21*(1+Inputs!$B$33/100))+MIN((Skills!Y21*(1+Inputs!$B$33/100)),MAX(0,Inputs!$B$35-((Calc!R21-1)*Skills!D21))))/Inputs!$B$35),IF(Inputs!$B$4="pvp",MIN((Skills!Y21*(1+Inputs!$B$33/100)),15)/15,(Skills!Y21*(1+Inputs!$B$33/100))/Skills!D21)))/100)*(1+((Calc!C15=TRUE)*Calc!F15*IF(AND(Inputs!$B$4&lt;&gt;"pvp",Inputs!$B$35&gt;0),(((Calc!R15-1)*(Skills!Y15*(1+Inputs!$B$33/100))+MIN((Skills!Y15*(1+Inputs!$B$33/100)),MAX(0,Inputs!$B$35-((Calc!R15-1)*Skills!D15))))/Inputs!$B$35),IF(Inputs!$B$4="pvp",MIN((Skills!Y15*(1+Inputs!$B$33/100)),15)/15,(Skills!Y15*(1+Inputs!$B$33/100))/Skills!D15)))/100)*(1+((Calc!C6=TRUE)*Calc!F6*B62)/100)</f>
        <v/>
      </c>
    </row>
    <row r="58">
      <c r="A58" t="inlineStr">
        <is>
          <t>Global Crit Rate Bonus % (Critical Throw Lv.47 mastery + Dark Sight Crit Rate, additive)</t>
        </is>
      </c>
      <c r="B58">
        <f>IF(Inputs!$B$3&gt;=47,8,0)+((Calc!C20=TRUE)*Calc!F20*IF(AND(Inputs!$B$4&lt;&gt;"pvp",Inputs!$B$35&gt;0),(((Calc!R20-1)*(Skills!Y20*(1+Inputs!$B$33/100))+MIN((Skills!Y20*(1+Inputs!$B$33/100)),MAX(0,Inputs!$B$35-((Calc!R20-1)*Skills!D20))))/Inputs!$B$35),IF(Inputs!$B$4="pvp",MIN((Skills!Y20*(1+Inputs!$B$33/100)),15)/15,(Skills!Y20*(1+Inputs!$B$33/100))/Skills!D20)))</f>
        <v/>
      </c>
    </row>
    <row r="59">
      <c r="A59" t="inlineStr">
        <is>
          <t>Global Monster Damage-Taken Bonus % (Venom Lv.82 Weaken + Frailty Curse enemy debuff, additive)</t>
        </is>
      </c>
      <c r="B59">
        <f>IF(Inputs!$B$3&gt;=82,15,0)+((Calc!C16=TRUE)*Calc!F16*IF(AND(Inputs!$B$4&lt;&gt;"pvp",Inputs!$B$35&gt;0),(((Calc!R16-1)*(Skills!Y16*(1+Inputs!$B$33/100))+MIN((Skills!Y16*(1+Inputs!$B$33/100)),MAX(0,Inputs!$B$35-((Calc!R16-1)*Skills!D16))))/Inputs!$B$35),IF(Inputs!$B$4="pvp",MIN((Skills!Y16*(1+Inputs!$B$33/100)),15)/15,(Skills!Y16*(1+Inputs!$B$33/100))/Skills!D16)))</f>
        <v/>
      </c>
    </row>
    <row r="60">
      <c r="A60" t="inlineStr">
        <is>
          <t>Shadow Partner Average Multiplier</t>
        </is>
      </c>
      <c r="B60">
        <f>1+((Calc!C11=TRUE)*Calc!F11*Calc!I11*Skills!J11/100)/100</f>
        <v/>
      </c>
    </row>
    <row r="61">
      <c r="A61" t="inlineStr">
        <is>
          <t>Actions Per Second (pre-Adrenalin, Nimble Feet only — breaks the Adrenalin uptime cycle)</t>
        </is>
      </c>
      <c r="B61">
        <f>1+MIN(150,150*(1-(1-Inputs!$B$10/150)*(1-((Calc!C19=TRUE)*Calc!F19*IF(AND(Inputs!$B$4&lt;&gt;"pvp",Inputs!$B$35&gt;0),(((Calc!R19-1)*(Skills!Y19*(1+Inputs!$B$33/100))+MIN((Skills!Y19*(1+Inputs!$B$33/100)),MAX(0,Inputs!$B$35-((Calc!R19-1)*Skills!D19))))/Inputs!$B$35),IF(Inputs!$B$4="pvp",MIN((Skills!Y19*(1+Inputs!$B$33/100)),15)/15,(Skills!Y19*(1+Inputs!$B$33/100))/Skills!D19)))/150)))/100</f>
        <v/>
      </c>
    </row>
    <row r="62">
      <c r="A62" t="inlineStr">
        <is>
          <t>Alchemic Adrenaline Uptime (action-rate-driven cycle: BuffDuration/(BuffDuration+ActivationsNeeded/ActionsPerSecond_preAdrenalin))</t>
        </is>
      </c>
      <c r="B62">
        <f>(Skills!Y6*(1+Inputs!$B$33/100))/((Skills!Y6*(1+Inputs!$B$33/100))+(5/B61))</f>
        <v/>
      </c>
    </row>
    <row r="63">
      <c r="A63" t="inlineStr">
        <is>
          <t>Attack Speed Buff Bonus % (Nimble Feet + Adrenalin, averaged)</t>
        </is>
      </c>
      <c r="B63">
        <f>((Calc!C19=TRUE)*Calc!F19*IF(AND(Inputs!$B$4&lt;&gt;"pvp",Inputs!$B$35&gt;0),(((Calc!R19-1)*(Skills!Y19*(1+Inputs!$B$33/100))+MIN((Skills!Y19*(1+Inputs!$B$33/100)),MAX(0,Inputs!$B$35-((Calc!R19-1)*Skills!D19))))/Inputs!$B$35),IF(Inputs!$B$4="pvp",MIN((Skills!Y19*(1+Inputs!$B$33/100)),15)/15,(Skills!Y19*(1+Inputs!$B$33/100))/Skills!D19)))+((Calc!C7=TRUE)*Calc!F7*B62)</f>
        <v/>
      </c>
    </row>
    <row r="64">
      <c r="A64" t="inlineStr">
        <is>
          <t>Actions Per Second (final, incl. Adrenalin's own AS bonus)</t>
        </is>
      </c>
      <c r="B64">
        <f>1+MIN(150,150*(1-(1-Inputs!$B$10/150)*(1-B63/150)))/100</f>
        <v/>
      </c>
    </row>
    <row r="65">
      <c r="A65" t="inlineStr">
        <is>
          <t>Skill + Buff Cast Rate (subtracted from Showdown, 1/s; weighted by ActionsPerCast)</t>
        </is>
      </c>
      <c r="B65">
        <f>IF(AND(Inputs!$B$4&lt;&gt;"pvp",Inputs!$B$35&gt;0),SUMPRODUCT((Skills!E2:E31=TRUE)*(Calc!C2:C31=TRUE)*Calc!R2:R31*Skills!F2:F31)/Inputs!$B$35,SUMPRODUCT((Skills!E2:E31=TRUE)*(Calc!C2:C31=TRUE)*Calc!Q2:Q31*Skills!F2:F31))</f>
        <v/>
      </c>
    </row>
    <row r="66">
      <c r="A66" t="inlineStr">
        <is>
          <t>Showdown (Basic Attack) Casts Per Second</t>
        </is>
      </c>
      <c r="B66">
        <f>MAX(0,B64-B65)</f>
        <v/>
      </c>
    </row>
    <row r="67">
      <c r="A67" t="inlineStr">
        <is>
          <t>Shadow Shifter Self-Attack Buff Uptime (informational — see Skills!Note; Sensitivity delta not scaled by this in this pass)</t>
        </is>
      </c>
      <c r="B67">
        <f>IF(Inputs!$B$3&gt;=116,1,1-MIN(1,(Inputs!$B$38*0.2)*3))</f>
        <v/>
      </c>
    </row>
    <row r="68">
      <c r="A68" t="inlineStr">
        <is>
          <t>Global Critical Damage Bonus % (Frailty Curse Mastery Lv.111, duty-cycle-averaged, additive)</t>
        </is>
      </c>
      <c r="B68">
        <f>IF(Inputs!$B$3&gt;=111,30,0)*IF(AND(Inputs!$B$4&lt;&gt;"pvp",Inputs!$B$35&gt;0),(((Calc!R16-1)*(Skills!Y16*(1+Inputs!$B$33/100))+MIN((Skills!Y16*(1+Inputs!$B$33/100)),MAX(0,Inputs!$B$35-((Calc!R16-1)*Skills!D16))))/Inputs!$B$35),IF(Inputs!$B$4="pvp",MIN((Skills!Y16*(1+Inputs!$B$33/100)),15)/15,(Skills!Y16*(1+Inputs!$B$33/100))/Skills!D16))</f>
        <v/>
      </c>
    </row>
    <row r="69">
      <c r="A69" t="inlineStr">
        <is>
          <t>Showdown (Basic Attack) DPS</t>
        </is>
      </c>
      <c r="B69">
        <f>Calc!O2</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1300"/>
  <sheetViews>
    <sheetView workbookViewId="0">
      <pane ySplit="4" topLeftCell="A5" activePane="bottomLeft" state="frozen"/>
      <selection pane="bottomLeft" activeCell="A1" sqref="A1"/>
    </sheetView>
  </sheetViews>
  <sheetFormatPr baseColWidth="8" defaultRowHeight="15"/>
  <cols>
    <col width="40" customWidth="1" min="1" max="1"/>
    <col width="16" customWidth="1" min="2" max="2"/>
    <col width="8" customWidth="1" min="3" max="3"/>
    <col width="14" customWidth="1" min="4" max="4"/>
    <col width="14" customWidth="1" min="5" max="5"/>
    <col width="16" customWidth="1" min="6" max="6"/>
    <col width="14" customWidth="1" min="7" max="7"/>
    <col width="12" customWidth="1" min="8" max="8"/>
    <col width="10" customWidth="1" min="9" max="9"/>
  </cols>
  <sheetData>
    <row r="1">
      <c r="A1" s="4" t="inlineStr">
        <is>
          <t>Marginal DPS per +1 (percentage point / skill level / flat point)</t>
        </is>
      </c>
    </row>
    <row r="2">
      <c r="A2" t="inlineStr">
        <is>
          <t>Attack Speed and Def Pen combine their +1 via the diminishing-returns formula (new = (1-(1-old/factor)*(1-inc/factor))*factor), not a flat add.</t>
        </is>
      </c>
    </row>
    <row r="4">
      <c r="A4" s="8" t="inlineStr">
        <is>
          <t>Stat</t>
        </is>
      </c>
      <c r="B4" s="8" t="inlineStr">
        <is>
          <t>Units per +1% DPS</t>
        </is>
      </c>
      <c r="C4" s="8" t="inlineStr">
        <is>
          <t>Type</t>
        </is>
      </c>
      <c r="D4" s="8" t="inlineStr">
        <is>
          <t>Current Value</t>
        </is>
      </c>
      <c r="E4" s="8" t="inlineStr">
        <is>
          <t>New Value</t>
        </is>
      </c>
      <c r="F4" s="8" t="inlineStr">
        <is>
          <t>Baseline Total DPS</t>
        </is>
      </c>
      <c r="G4" s="8" t="inlineStr">
        <is>
          <t>New Total DPS</t>
        </is>
      </c>
      <c r="H4" s="8" t="inlineStr">
        <is>
          <t>DPS Gain</t>
        </is>
      </c>
      <c r="I4" s="8" t="inlineStr">
        <is>
          <t>% Gain</t>
        </is>
      </c>
    </row>
    <row r="5">
      <c r="A5" t="inlineStr">
        <is>
          <t>Flat LUK</t>
        </is>
      </c>
      <c r="B5">
        <f>IFERROR(1/(I5-100),"n/a")</f>
        <v/>
      </c>
      <c r="C5" t="inlineStr">
        <is>
          <t>flat</t>
        </is>
      </c>
      <c r="D5">
        <f>Inputs!$B$11</f>
        <v/>
      </c>
      <c r="E5">
        <f>(Inputs!$B$11+1)</f>
        <v/>
      </c>
      <c r="F5">
        <f>Summary!$B$3</f>
        <v/>
      </c>
      <c r="G5">
        <f>B78</f>
        <v/>
      </c>
      <c r="H5">
        <f>G5-F5</f>
        <v/>
      </c>
      <c r="I5">
        <f>IF(F5=0,0,G5/F5*100)</f>
        <v/>
      </c>
    </row>
    <row r="6">
      <c r="A6" t="inlineStr">
        <is>
          <t>LUK %</t>
        </is>
      </c>
      <c r="B6">
        <f>IFERROR(1/(I6-100),"n/a")</f>
        <v/>
      </c>
      <c r="C6" t="inlineStr">
        <is>
          <t>pct</t>
        </is>
      </c>
      <c r="D6">
        <f>Inputs!$B$12</f>
        <v/>
      </c>
      <c r="E6">
        <f>(Inputs!$B$12+1)</f>
        <v/>
      </c>
      <c r="F6">
        <f>Summary!$B$3</f>
        <v/>
      </c>
      <c r="G6">
        <f>B125</f>
        <v/>
      </c>
      <c r="H6">
        <f>G6-F6</f>
        <v/>
      </c>
      <c r="I6">
        <f>IF(F6=0,0,G6/F6*100)</f>
        <v/>
      </c>
    </row>
    <row r="7">
      <c r="A7" t="inlineStr">
        <is>
          <t>DEX</t>
        </is>
      </c>
      <c r="B7">
        <f>IFERROR(1/(I7-100),"n/a")</f>
        <v/>
      </c>
      <c r="C7" t="inlineStr">
        <is>
          <t>flat</t>
        </is>
      </c>
      <c r="D7">
        <f>Inputs!$B$13</f>
        <v/>
      </c>
      <c r="E7">
        <f>(Inputs!$B$13+1)</f>
        <v/>
      </c>
      <c r="F7">
        <f>Summary!$B$3</f>
        <v/>
      </c>
      <c r="G7">
        <f>B172</f>
        <v/>
      </c>
      <c r="H7">
        <f>G7-F7</f>
        <v/>
      </c>
      <c r="I7">
        <f>IF(F7=0,0,G7/F7*100)</f>
        <v/>
      </c>
    </row>
    <row r="8">
      <c r="A8" t="inlineStr">
        <is>
          <t>DAMAGE %</t>
        </is>
      </c>
      <c r="B8">
        <f>IFERROR(1/(I8-100),"n/a")</f>
        <v/>
      </c>
      <c r="C8" t="inlineStr">
        <is>
          <t>pct</t>
        </is>
      </c>
      <c r="D8">
        <f>Inputs!$B$14</f>
        <v/>
      </c>
      <c r="E8">
        <f>(Inputs!$B$14+1)</f>
        <v/>
      </c>
      <c r="F8">
        <f>Summary!$B$3</f>
        <v/>
      </c>
      <c r="G8">
        <f>B219</f>
        <v/>
      </c>
      <c r="H8">
        <f>G8-F8</f>
        <v/>
      </c>
      <c r="I8">
        <f>IF(F8=0,0,G8/F8*100)</f>
        <v/>
      </c>
    </row>
    <row r="9">
      <c r="A9" t="inlineStr">
        <is>
          <t>DAMAGE_AMP %</t>
        </is>
      </c>
      <c r="B9">
        <f>IFERROR(1/(I9-100),"n/a")</f>
        <v/>
      </c>
      <c r="C9" t="inlineStr">
        <is>
          <t>pct</t>
        </is>
      </c>
      <c r="D9">
        <f>Inputs!$B$15</f>
        <v/>
      </c>
      <c r="E9">
        <f>(Inputs!$B$15+1)</f>
        <v/>
      </c>
      <c r="F9">
        <f>Summary!$B$3</f>
        <v/>
      </c>
      <c r="G9">
        <f>B266</f>
        <v/>
      </c>
      <c r="H9">
        <f>G9-F9</f>
        <v/>
      </c>
      <c r="I9">
        <f>IF(F9=0,0,G9/F9*100)</f>
        <v/>
      </c>
    </row>
    <row r="10">
      <c r="A10" t="inlineStr">
        <is>
          <t>BOSS_DAMAGE %</t>
        </is>
      </c>
      <c r="B10">
        <f>IFERROR(1/(I10-100),"n/a")</f>
        <v/>
      </c>
      <c r="C10" t="inlineStr">
        <is>
          <t>pct</t>
        </is>
      </c>
      <c r="D10">
        <f>Inputs!$B$19</f>
        <v/>
      </c>
      <c r="E10">
        <f>(Inputs!$B$19+1)</f>
        <v/>
      </c>
      <c r="F10">
        <f>Summary!$B$3</f>
        <v/>
      </c>
      <c r="G10">
        <f>B313</f>
        <v/>
      </c>
      <c r="H10">
        <f>G10-F10</f>
        <v/>
      </c>
      <c r="I10">
        <f>IF(F10=0,0,G10/F10*100)</f>
        <v/>
      </c>
    </row>
    <row r="11">
      <c r="A11" t="inlineStr">
        <is>
          <t>NORMAL_DAMAGE %</t>
        </is>
      </c>
      <c r="B11">
        <f>IFERROR(1/(I11-100),"n/a")</f>
        <v/>
      </c>
      <c r="C11" t="inlineStr">
        <is>
          <t>pct</t>
        </is>
      </c>
      <c r="D11">
        <f>Inputs!$B$20</f>
        <v/>
      </c>
      <c r="E11">
        <f>(Inputs!$B$20+1)</f>
        <v/>
      </c>
      <c r="F11">
        <f>Summary!$B$3</f>
        <v/>
      </c>
      <c r="G11">
        <f>B360</f>
        <v/>
      </c>
      <c r="H11">
        <f>G11-F11</f>
        <v/>
      </c>
      <c r="I11">
        <f>IF(F11=0,0,G11/F11*100)</f>
        <v/>
      </c>
    </row>
    <row r="12">
      <c r="A12" t="inlineStr">
        <is>
          <t>FINAL_DAMAGE % (multiplicative source)</t>
        </is>
      </c>
      <c r="B12">
        <f>IFERROR(1/(I12-100),"n/a")</f>
        <v/>
      </c>
      <c r="C12" t="inlineStr">
        <is>
          <t>mult</t>
        </is>
      </c>
      <c r="D12">
        <f>Inputs!$B$23</f>
        <v/>
      </c>
      <c r="E12">
        <f>((((1+Inputs!$B$23/100)*(1.01))-1)*100)</f>
        <v/>
      </c>
      <c r="F12">
        <f>Summary!$B$3</f>
        <v/>
      </c>
      <c r="G12">
        <f>B407</f>
        <v/>
      </c>
      <c r="H12">
        <f>G12-F12</f>
        <v/>
      </c>
      <c r="I12">
        <f>IF(F12=0,0,G12/F12*100)</f>
        <v/>
      </c>
    </row>
    <row r="13">
      <c r="A13" t="inlineStr">
        <is>
          <t>MIN_DAMAGE %</t>
        </is>
      </c>
      <c r="B13">
        <f>IFERROR(1/(I13-100),"n/a")</f>
        <v/>
      </c>
      <c r="C13" t="inlineStr">
        <is>
          <t>pct</t>
        </is>
      </c>
      <c r="D13">
        <f>Inputs!$B$21</f>
        <v/>
      </c>
      <c r="E13">
        <f>(Inputs!$B$21+1)</f>
        <v/>
      </c>
      <c r="F13">
        <f>Summary!$B$3</f>
        <v/>
      </c>
      <c r="G13">
        <f>B454</f>
        <v/>
      </c>
      <c r="H13">
        <f>G13-F13</f>
        <v/>
      </c>
      <c r="I13">
        <f>IF(F13=0,0,G13/F13*100)</f>
        <v/>
      </c>
    </row>
    <row r="14">
      <c r="A14" t="inlineStr">
        <is>
          <t>MAX_DAMAGE %</t>
        </is>
      </c>
      <c r="B14">
        <f>IFERROR(1/(I14-100),"n/a")</f>
        <v/>
      </c>
      <c r="C14" t="inlineStr">
        <is>
          <t>pct</t>
        </is>
      </c>
      <c r="D14">
        <f>Inputs!$B$22</f>
        <v/>
      </c>
      <c r="E14">
        <f>(Inputs!$B$22+1)</f>
        <v/>
      </c>
      <c r="F14">
        <f>Summary!$B$3</f>
        <v/>
      </c>
      <c r="G14">
        <f>B501</f>
        <v/>
      </c>
      <c r="H14">
        <f>G14-F14</f>
        <v/>
      </c>
      <c r="I14">
        <f>IF(F14=0,0,G14/F14*100)</f>
        <v/>
      </c>
    </row>
    <row r="15">
      <c r="A15" t="inlineStr">
        <is>
          <t>CRIT_RATE %</t>
        </is>
      </c>
      <c r="B15">
        <f>IFERROR(1/(I15-100),"n/a")</f>
        <v/>
      </c>
      <c r="C15" t="inlineStr">
        <is>
          <t>pct</t>
        </is>
      </c>
      <c r="D15">
        <f>Inputs!$B$8</f>
        <v/>
      </c>
      <c r="E15">
        <f>(Inputs!$B$8+1)</f>
        <v/>
      </c>
      <c r="F15">
        <f>Summary!$B$3</f>
        <v/>
      </c>
      <c r="G15">
        <f>B548</f>
        <v/>
      </c>
      <c r="H15">
        <f>G15-F15</f>
        <v/>
      </c>
      <c r="I15">
        <f>IF(F15=0,0,G15/F15*100)</f>
        <v/>
      </c>
    </row>
    <row r="16">
      <c r="A16" t="inlineStr">
        <is>
          <t>CRIT_DAMAGE %</t>
        </is>
      </c>
      <c r="B16">
        <f>IFERROR(1/(I16-100),"n/a")</f>
        <v/>
      </c>
      <c r="C16" t="inlineStr">
        <is>
          <t>pct</t>
        </is>
      </c>
      <c r="D16">
        <f>Inputs!$B$9</f>
        <v/>
      </c>
      <c r="E16">
        <f>(Inputs!$B$9+1)</f>
        <v/>
      </c>
      <c r="F16">
        <f>Summary!$B$3</f>
        <v/>
      </c>
      <c r="G16">
        <f>B595</f>
        <v/>
      </c>
      <c r="H16">
        <f>G16-F16</f>
        <v/>
      </c>
      <c r="I16">
        <f>IF(F16=0,0,G16/F16*100)</f>
        <v/>
      </c>
    </row>
    <row r="17">
      <c r="A17" t="inlineStr">
        <is>
          <t>ATTACK_SPEED % (diminishing returns, factor 150)</t>
        </is>
      </c>
      <c r="B17">
        <f>IFERROR(1/(I17-100),"n/a")</f>
        <v/>
      </c>
      <c r="C17" t="inlineStr">
        <is>
          <t>dr150</t>
        </is>
      </c>
      <c r="D17">
        <f>Inputs!$B$10</f>
        <v/>
      </c>
      <c r="E17">
        <f>((1-(1-Inputs!$B$10/150)*(1-1/150))*150)</f>
        <v/>
      </c>
      <c r="F17">
        <f>Summary!$B$3</f>
        <v/>
      </c>
      <c r="G17">
        <f>B642</f>
        <v/>
      </c>
      <c r="H17">
        <f>G17-F17</f>
        <v/>
      </c>
      <c r="I17">
        <f>IF(F17=0,0,G17/F17*100)</f>
        <v/>
      </c>
    </row>
    <row r="18">
      <c r="A18" t="inlineStr">
        <is>
          <t>DEF_PEN % (diminishing returns, factor 100)</t>
        </is>
      </c>
      <c r="B18">
        <f>IFERROR(1/(I18-100),"n/a")</f>
        <v/>
      </c>
      <c r="C18" t="inlineStr">
        <is>
          <t>dr100</t>
        </is>
      </c>
      <c r="D18">
        <f>Inputs!$B$18</f>
        <v/>
      </c>
      <c r="E18">
        <f>((1-(1-Inputs!$B$18/100)*(1-1/100))*100)</f>
        <v/>
      </c>
      <c r="F18">
        <f>Summary!$B$3</f>
        <v/>
      </c>
      <c r="G18">
        <f>B689</f>
        <v/>
      </c>
      <c r="H18">
        <f>G18-F18</f>
        <v/>
      </c>
      <c r="I18">
        <f>IF(F18=0,0,G18/F18*100)</f>
        <v/>
      </c>
    </row>
    <row r="19">
      <c r="A19" t="inlineStr">
        <is>
          <t>BASIC_ATTACK_DAMAGE %</t>
        </is>
      </c>
      <c r="B19">
        <f>IFERROR(1/(I19-100),"n/a")</f>
        <v/>
      </c>
      <c r="C19" t="inlineStr">
        <is>
          <t>pct</t>
        </is>
      </c>
      <c r="D19">
        <f>Inputs!$B$16</f>
        <v/>
      </c>
      <c r="E19">
        <f>(Inputs!$B$16+1)</f>
        <v/>
      </c>
      <c r="F19">
        <f>Summary!$B$3</f>
        <v/>
      </c>
      <c r="G19">
        <f>B736</f>
        <v/>
      </c>
      <c r="H19">
        <f>G19-F19</f>
        <v/>
      </c>
      <c r="I19">
        <f>IF(F19=0,0,G19/F19*100)</f>
        <v/>
      </c>
    </row>
    <row r="20">
      <c r="A20" t="inlineStr">
        <is>
          <t>SKILL_DAMAGE %</t>
        </is>
      </c>
      <c r="B20">
        <f>IFERROR(1/(I20-100),"n/a")</f>
        <v/>
      </c>
      <c r="C20" t="inlineStr">
        <is>
          <t>pct</t>
        </is>
      </c>
      <c r="D20">
        <f>Inputs!$B$17</f>
        <v/>
      </c>
      <c r="E20">
        <f>(Inputs!$B$17+1)</f>
        <v/>
      </c>
      <c r="F20">
        <f>Summary!$B$3</f>
        <v/>
      </c>
      <c r="G20">
        <f>B783</f>
        <v/>
      </c>
      <c r="H20">
        <f>G20-F20</f>
        <v/>
      </c>
      <c r="I20">
        <f>IF(F20=0,0,G20/F20*100)</f>
        <v/>
      </c>
    </row>
    <row r="21">
      <c r="A21" t="inlineStr">
        <is>
          <t>Skill Level Bonus — 1st Job</t>
        </is>
      </c>
      <c r="B21">
        <f>IFERROR(1/(I21-100),"n/a")</f>
        <v/>
      </c>
      <c r="C21" t="inlineStr">
        <is>
          <t>level</t>
        </is>
      </c>
      <c r="D21">
        <f>Inputs!$B$24</f>
        <v/>
      </c>
      <c r="E21">
        <f>(Inputs!$B$24+1)</f>
        <v/>
      </c>
      <c r="F21">
        <f>Summary!$B$3</f>
        <v/>
      </c>
      <c r="G21">
        <f>B830</f>
        <v/>
      </c>
      <c r="H21">
        <f>G21-F21</f>
        <v/>
      </c>
      <c r="I21">
        <f>IF(F21=0,0,G21/F21*100)</f>
        <v/>
      </c>
    </row>
    <row r="22">
      <c r="A22" t="inlineStr">
        <is>
          <t>Skill Level Bonus — 2nd Job</t>
        </is>
      </c>
      <c r="B22">
        <f>IFERROR(1/(I22-100),"n/a")</f>
        <v/>
      </c>
      <c r="C22" t="inlineStr">
        <is>
          <t>level</t>
        </is>
      </c>
      <c r="D22">
        <f>Inputs!$B$25</f>
        <v/>
      </c>
      <c r="E22">
        <f>(Inputs!$B$25+1)</f>
        <v/>
      </c>
      <c r="F22">
        <f>Summary!$B$3</f>
        <v/>
      </c>
      <c r="G22">
        <f>B877</f>
        <v/>
      </c>
      <c r="H22">
        <f>G22-F22</f>
        <v/>
      </c>
      <c r="I22">
        <f>IF(F22=0,0,G22/F22*100)</f>
        <v/>
      </c>
    </row>
    <row r="23">
      <c r="A23" t="inlineStr">
        <is>
          <t>Skill Level Bonus — 3rd Job</t>
        </is>
      </c>
      <c r="B23">
        <f>IFERROR(1/(I23-100),"n/a")</f>
        <v/>
      </c>
      <c r="C23" t="inlineStr">
        <is>
          <t>level</t>
        </is>
      </c>
      <c r="D23">
        <f>Inputs!$B$26</f>
        <v/>
      </c>
      <c r="E23">
        <f>(Inputs!$B$26+1)</f>
        <v/>
      </c>
      <c r="F23">
        <f>Summary!$B$3</f>
        <v/>
      </c>
      <c r="G23">
        <f>B924</f>
        <v/>
      </c>
      <c r="H23">
        <f>G23-F23</f>
        <v/>
      </c>
      <c r="I23">
        <f>IF(F23=0,0,G23/F23*100)</f>
        <v/>
      </c>
    </row>
    <row r="24">
      <c r="A24" t="inlineStr">
        <is>
          <t>Skill Level Bonus — 4th Job</t>
        </is>
      </c>
      <c r="B24">
        <f>IFERROR(1/(I24-100),"n/a")</f>
        <v/>
      </c>
      <c r="C24" t="inlineStr">
        <is>
          <t>level</t>
        </is>
      </c>
      <c r="D24">
        <f>Inputs!$B$27</f>
        <v/>
      </c>
      <c r="E24">
        <f>(Inputs!$B$27+1)</f>
        <v/>
      </c>
      <c r="F24">
        <f>Summary!$B$3</f>
        <v/>
      </c>
      <c r="G24">
        <f>B971</f>
        <v/>
      </c>
      <c r="H24">
        <f>G24-F24</f>
        <v/>
      </c>
      <c r="I24">
        <f>IF(F24=0,0,G24/F24*100)</f>
        <v/>
      </c>
    </row>
    <row r="25">
      <c r="A25" t="inlineStr">
        <is>
          <t>Skill Level Bonus — All Skills</t>
        </is>
      </c>
      <c r="B25">
        <f>IFERROR(1/(I25-100),"n/a")</f>
        <v/>
      </c>
      <c r="C25" t="inlineStr">
        <is>
          <t>level</t>
        </is>
      </c>
      <c r="D25">
        <f>Inputs!$B$28</f>
        <v/>
      </c>
      <c r="E25">
        <f>(Inputs!$B$28+1)</f>
        <v/>
      </c>
      <c r="F25">
        <f>Summary!$B$3</f>
        <v/>
      </c>
      <c r="G25">
        <f>B1018</f>
        <v/>
      </c>
      <c r="H25">
        <f>G25-F25</f>
        <v/>
      </c>
      <c r="I25">
        <f>IF(F25=0,0,G25/F25*100)</f>
        <v/>
      </c>
    </row>
    <row r="26">
      <c r="A26" t="inlineStr">
        <is>
          <t>Flat ATTACK</t>
        </is>
      </c>
      <c r="B26">
        <f>IFERROR(1/(I26-100),"n/a")</f>
        <v/>
      </c>
      <c r="C26" t="inlineStr">
        <is>
          <t>flat</t>
        </is>
      </c>
      <c r="D26">
        <f>Inputs!$B$5</f>
        <v/>
      </c>
      <c r="E26">
        <f>(Inputs!$B$5+1)</f>
        <v/>
      </c>
      <c r="F26">
        <f>Summary!$B$3</f>
        <v/>
      </c>
      <c r="G26">
        <f>B1065</f>
        <v/>
      </c>
      <c r="H26">
        <f>G26-F26</f>
        <v/>
      </c>
      <c r="I26">
        <f>IF(F26=0,0,G26/F26*100)</f>
        <v/>
      </c>
    </row>
    <row r="27">
      <c r="A27" t="inlineStr">
        <is>
          <t>ATTACK %</t>
        </is>
      </c>
      <c r="B27">
        <f>IFERROR(1/(I27-100),"n/a")</f>
        <v/>
      </c>
      <c r="C27" t="inlineStr">
        <is>
          <t>pct</t>
        </is>
      </c>
      <c r="D27">
        <f>Inputs!$B$6</f>
        <v/>
      </c>
      <c r="E27">
        <f>(Inputs!$B$6+1)</f>
        <v/>
      </c>
      <c r="F27">
        <f>Summary!$B$3</f>
        <v/>
      </c>
      <c r="G27">
        <f>B1112</f>
        <v/>
      </c>
      <c r="H27">
        <f>G27-F27</f>
        <v/>
      </c>
      <c r="I27">
        <f>IF(F27=0,0,G27/F27*100)</f>
        <v/>
      </c>
    </row>
    <row r="28">
      <c r="A28" t="inlineStr">
        <is>
          <t>Skill Cooldown Decrease (seconds)</t>
        </is>
      </c>
      <c r="B28">
        <f>IFERROR(1/(I28-100),"n/a")</f>
        <v/>
      </c>
      <c r="C28" t="inlineStr">
        <is>
          <t>flat</t>
        </is>
      </c>
      <c r="D28">
        <f>Inputs!$B$31</f>
        <v/>
      </c>
      <c r="E28">
        <f>(Inputs!$B$31+1)</f>
        <v/>
      </c>
      <c r="F28">
        <f>Summary!$B$3</f>
        <v/>
      </c>
      <c r="G28">
        <f>B1159</f>
        <v/>
      </c>
      <c r="H28">
        <f>G28-F28</f>
        <v/>
      </c>
      <c r="I28">
        <f>IF(F28=0,0,G28/F28*100)</f>
        <v/>
      </c>
    </row>
    <row r="29">
      <c r="A29" t="inlineStr">
        <is>
          <t>Basic Attack Target Increase (flat)</t>
        </is>
      </c>
      <c r="B29">
        <f>IFERROR(1/(I29-100),"n/a")</f>
        <v/>
      </c>
      <c r="C29" t="inlineStr">
        <is>
          <t>flat</t>
        </is>
      </c>
      <c r="D29">
        <f>Inputs!$B$32</f>
        <v/>
      </c>
      <c r="E29">
        <f>(Inputs!$B$32+1)</f>
        <v/>
      </c>
      <c r="F29">
        <f>Summary!$B$3</f>
        <v/>
      </c>
      <c r="G29">
        <f>B1206</f>
        <v/>
      </c>
      <c r="H29">
        <f>G29-F29</f>
        <v/>
      </c>
      <c r="I29">
        <f>IF(F29=0,0,G29/F29*100)</f>
        <v/>
      </c>
    </row>
    <row r="30">
      <c r="A30" t="inlineStr">
        <is>
          <t>Buff Duration Increase %</t>
        </is>
      </c>
      <c r="B30">
        <f>IFERROR(1/(I30-100),"n/a")</f>
        <v/>
      </c>
      <c r="C30" t="inlineStr">
        <is>
          <t>pct</t>
        </is>
      </c>
      <c r="D30">
        <f>Inputs!$B$33</f>
        <v/>
      </c>
      <c r="E30">
        <f>(Inputs!$B$33+1)</f>
        <v/>
      </c>
      <c r="F30">
        <f>Summary!$B$3</f>
        <v/>
      </c>
      <c r="G30">
        <f>B1253</f>
        <v/>
      </c>
      <c r="H30">
        <f>G30-F30</f>
        <v/>
      </c>
      <c r="I30">
        <f>IF(F30=0,0,G30/F30*100)</f>
        <v/>
      </c>
    </row>
    <row r="31">
      <c r="A31" t="inlineStr">
        <is>
          <t>Incoming Hit Rate (hits/sec, Shadow Shifter only)</t>
        </is>
      </c>
      <c r="B31">
        <f>IFERROR(1/(I31-100),"n/a")</f>
        <v/>
      </c>
      <c r="C31" t="inlineStr">
        <is>
          <t>flat</t>
        </is>
      </c>
      <c r="D31">
        <f>Inputs!$B$38</f>
        <v/>
      </c>
      <c r="E31">
        <f>(Inputs!$B$38+1)</f>
        <v/>
      </c>
      <c r="F31">
        <f>Summary!$B$3</f>
        <v/>
      </c>
      <c r="G31">
        <f>B1300</f>
        <v/>
      </c>
      <c r="H31">
        <f>G31-F31</f>
        <v/>
      </c>
      <c r="I31">
        <f>IF(F31=0,0,G31/F31*100)</f>
        <v/>
      </c>
    </row>
    <row r="34">
      <c r="A34" s="5" t="inlineStr">
        <is>
          <t>Stat: Flat LUK</t>
        </is>
      </c>
    </row>
    <row r="35">
      <c r="A35" s="8" t="inlineStr">
        <is>
          <t>Key</t>
        </is>
      </c>
      <c r="B35" s="8" t="inlineStr">
        <is>
          <t>Name</t>
        </is>
      </c>
      <c r="C35" s="8" t="inlineStr">
        <is>
          <t>Unlocked</t>
        </is>
      </c>
      <c r="D35" s="8" t="inlineStr">
        <is>
          <t>InputLevel</t>
        </is>
      </c>
      <c r="E35" s="8" t="inlineStr">
        <is>
          <t>Factor</t>
        </is>
      </c>
      <c r="F35" s="8" t="inlineStr">
        <is>
          <t>CoefficientPercent</t>
        </is>
      </c>
      <c r="G35" s="8" t="inlineStr">
        <is>
          <t>EffectiveHits</t>
        </is>
      </c>
      <c r="H35" s="8" t="inlineStr">
        <is>
          <t>ProcProbability</t>
        </is>
      </c>
      <c r="I35" s="8" t="inlineStr">
        <is>
          <t>MapleHeroMultiplier</t>
        </is>
      </c>
      <c r="J35" s="8" t="inlineStr">
        <is>
          <t>BaseDamage</t>
        </is>
      </c>
      <c r="K35" s="8" t="inlineStr">
        <is>
          <t>BaseHitDamage</t>
        </is>
      </c>
      <c r="L35" s="8" t="inlineStr">
        <is>
          <t>NonCritAvg</t>
        </is>
      </c>
      <c r="M35" s="8" t="inlineStr">
        <is>
          <t>CritAvg</t>
        </is>
      </c>
      <c r="N35" s="8" t="inlineStr">
        <is>
          <t>ExpectedDamage(perHit)</t>
        </is>
      </c>
      <c r="O35" s="8" t="inlineStr">
        <is>
          <t>DPS</t>
        </is>
      </c>
      <c r="P35" s="8" t="inlineStr">
        <is>
          <t>% of Total</t>
        </is>
      </c>
      <c r="Q35" s="8" t="inlineStr">
        <is>
          <t>InvCooldown</t>
        </is>
      </c>
      <c r="R35" s="8" t="inlineStr">
        <is>
          <t>CastsInFight</t>
        </is>
      </c>
      <c r="S35" s="8" t="inlineStr">
        <is>
          <t>HitRate(perSec)</t>
        </is>
      </c>
      <c r="U35" t="inlineStr">
        <is>
          <t>helpers</t>
        </is>
      </c>
    </row>
    <row r="36">
      <c r="A36">
        <f>Skills!A2</f>
        <v/>
      </c>
      <c r="B36">
        <f>Skills!B2</f>
        <v/>
      </c>
      <c r="C36">
        <f>Inputs!$B$3&gt;=100</f>
        <v/>
      </c>
      <c r="D36" t="inlineStr"/>
      <c r="E36" t="inlineStr"/>
      <c r="F36">
        <f>U40+Skills!O2</f>
        <v/>
      </c>
      <c r="G36">
        <f>Calc!G2</f>
        <v/>
      </c>
      <c r="H36">
        <f>Calc!H2</f>
        <v/>
      </c>
      <c r="I36">
        <f>IF(Skills!AA2&lt;&gt;"",1+(Skills!AA2/10)*(U37/1000)/100,1)</f>
        <v/>
      </c>
      <c r="J36">
        <f>(Inputs!$B$5*(1+Inputs!$B$6/100))*(F36/100)</f>
        <v/>
      </c>
      <c r="K36">
        <f>J36*(1+(((Inputs!$B$11+1)*(1+Inputs!$B$12/100))*0.01+Inputs!$B$13*0.0025)/100)*(1+Inputs!$B$14/100)*(1+IF(Inputs!$B$4="pvp",0,(1-Summary!$B$55)*(Inputs!$B$19+((C61=TRUE)*(F61-Calc!F27))+Skills!P2+B75)+Summary!$B$55*(Inputs!$B$20+Skills!Q2+B75))/100)*(1+Inputs!$B$15/100)*(5000/(6000+Inputs!$B$7*(1-Inputs!$B$18/100)))*(1+(Inputs!$B$23+((C64=TRUE)*(F64-Calc!F30)))/100)*(1+Skills!R2/100)*(1+(IF(Skills!A2="SHOWDOWN",Inputs!$B$16+((C57=TRUE)*(F57-Calc!F23)),Inputs!$B$17+((C63=TRUE)*(F63-Calc!F29))))/100)*(((1+(((C55=TRUE)*F55*IF(AND(Inputs!$B$4&lt;&gt;"pvp",Inputs!$B$35&gt;0),(((S55-1)*(Skills!Y21*(1+Inputs!$B$33/100))+MIN((Skills!Y21*(1+Inputs!$B$33/100)),MAX(0,Inputs!$B$35-((S55-1)*Skills!D21))))/Inputs!$B$35),IF(Inputs!$B$4="pvp",MIN((Skills!Y21*(1+Inputs!$B$33/100)),15)/15,(Skills!Y21*(1+Inputs!$B$33/100))/Skills!D21)))+((C62=TRUE)*(F62-Calc!F28))+((C52=TRUE)*(F52-Calc!F18)))/100)*(1+((C49=TRUE)*F49*IF(AND(Inputs!$B$4&lt;&gt;"pvp",Inputs!$B$35&gt;0),(((S49-1)*(Skills!Y15*(1+Inputs!$B$33/100))+MIN((Skills!Y15*(1+Inputs!$B$33/100)),MAX(0,Inputs!$B$35-((S49-1)*Skills!D15))))/Inputs!$B$35),IF(Inputs!$B$4="pvp",MIN((Skills!Y15*(1+Inputs!$B$33/100)),15)/15,(Skills!Y15*(1+Inputs!$B$33/100))/Skills!D15)))/100)*(1+((C40=TRUE)*F40*B68)/100))*B76*I36)</f>
        <v/>
      </c>
      <c r="L36">
        <f>K36*(MIN(Inputs!$B$21+((C58=TRUE)*(F58-Calc!F24)),Inputs!$B$22)/100+Inputs!$B$22/100)/2</f>
        <v/>
      </c>
      <c r="M36">
        <f>L36*(1+(Inputs!$B$9+((C60=TRUE)*(F60-Calc!F26))+B77)/100)</f>
        <v/>
      </c>
      <c r="N36">
        <f>L36*(1-MIN((Inputs!$B$8+((C59=TRUE)*(F59-Calc!F25))+B74),100)/100)+M36*(MIN((Inputs!$B$8+((C59=TRUE)*(F59-Calc!F25))+B74),100)/100)</f>
        <v/>
      </c>
      <c r="O36">
        <f>IF(C36,Skills!G2*N36*B72*IF(Inputs!$B$4="pvp",1,(1-Summary!$B$55)*(1)+Summary!$B$55*(MIN((6+Inputs!$B$32),Inputs!$B$37))),0)</f>
        <v/>
      </c>
      <c r="P36">
        <f>IF(B78=0,0,O36/B78)</f>
        <v/>
      </c>
      <c r="Q36" t="n">
        <v>0</v>
      </c>
      <c r="R36" t="n">
        <v>0</v>
      </c>
      <c r="S36">
        <f>IFERROR(O36/N36,0)</f>
        <v/>
      </c>
      <c r="U36">
        <f>MAX(0,(Inputs!$B$3-100)*3)+Inputs!$B$27+Inputs!$B$28</f>
        <v/>
      </c>
    </row>
    <row r="37">
      <c r="A37">
        <f>Skills!A3</f>
        <v/>
      </c>
      <c r="B37">
        <f>Skills!B3</f>
        <v/>
      </c>
      <c r="C37">
        <f>Inputs!$B$3&gt;=35</f>
        <v/>
      </c>
      <c r="D37">
        <f>IF(Skills!C3=1,60+Inputs!$B$24+Inputs!$B$28,IF(Skills!C3=2,90+Inputs!$B$25+Inputs!$B$28,IF(Skills!C3=3,120+Inputs!$B$26+Inputs!$B$28,MAX(0,(Inputs!$B$3-100)*3)+Inputs!$B$27+Inputs!$B$28)))</f>
        <v/>
      </c>
      <c r="E37">
        <f>INDEX(FactorTable!$B$2:$Y$301, MATCH(ROUND(MIN(300,MAX(1,D37)),0), FactorTable!$A$2:$A$301,0), Skills!M3+1)</f>
        <v/>
      </c>
      <c r="F37">
        <f>IF(Skills!N3=TRUE,(Skills!L3/10)*(E37/1000),Skills!L3/10)+Skills!O3</f>
        <v/>
      </c>
      <c r="G37">
        <f>Calc!G3</f>
        <v/>
      </c>
      <c r="H37">
        <f>Calc!H3</f>
        <v/>
      </c>
      <c r="I37">
        <f>IF(Skills!AA3&lt;&gt;"",1+(Skills!AA3/10)*(U37/1000)/100,1)</f>
        <v/>
      </c>
      <c r="J37">
        <f>(Inputs!$B$5*(1+Inputs!$B$6/100))*(F37/100)</f>
        <v/>
      </c>
      <c r="K37">
        <f>J37*(1+(((Inputs!$B$11+1)*(1+Inputs!$B$12/100))*0.01+Inputs!$B$13*0.0025)/100)*(1+Inputs!$B$14/100)*(1+IF(Inputs!$B$4="pvp",0,(1-Summary!$B$55)*(Inputs!$B$19+((C61=TRUE)*(F61-Calc!F27))+Skills!P3+B75)+Summary!$B$55*(Inputs!$B$20+Skills!Q3+B75))/100)*(1+Inputs!$B$15/100)*(5000/(6000+Inputs!$B$7*(1-Inputs!$B$18/100)))*(1+(Inputs!$B$23+((C64=TRUE)*(F64-Calc!F30)))/100)*(1+Skills!R3/100)*(1+(IF(Skills!A3="SHOWDOWN",Inputs!$B$16+((C57=TRUE)*(F57-Calc!F23)),Inputs!$B$17+((C63=TRUE)*(F63-Calc!F29))))/100)*(((1+(((C55=TRUE)*F55*IF(AND(Inputs!$B$4&lt;&gt;"pvp",Inputs!$B$35&gt;0),(((S55-1)*(Skills!Y21*(1+Inputs!$B$33/100))+MIN((Skills!Y21*(1+Inputs!$B$33/100)),MAX(0,Inputs!$B$35-((S55-1)*Skills!D21))))/Inputs!$B$35),IF(Inputs!$B$4="pvp",MIN((Skills!Y21*(1+Inputs!$B$33/100)),15)/15,(Skills!Y21*(1+Inputs!$B$33/100))/Skills!D21)))+((C62=TRUE)*(F62-Calc!F28))+((C52=TRUE)*(F52-Calc!F18)))/100)*(1+((C49=TRUE)*F49*IF(AND(Inputs!$B$4&lt;&gt;"pvp",Inputs!$B$35&gt;0),(((S49-1)*(Skills!Y15*(1+Inputs!$B$33/100))+MIN((Skills!Y15*(1+Inputs!$B$33/100)),MAX(0,Inputs!$B$35-((S49-1)*Skills!D15))))/Inputs!$B$35),IF(Inputs!$B$4="pvp",MIN((Skills!Y15*(1+Inputs!$B$33/100)),15)/15,(Skills!Y15*(1+Inputs!$B$33/100))/Skills!D15)))/100)*(1+((C40=TRUE)*F40*B68)/100))*B76*I37)</f>
        <v/>
      </c>
      <c r="L37">
        <f>K37*(MIN(Inputs!$B$21+((C58=TRUE)*(F58-Calc!F24)),Inputs!$B$22)/100+Inputs!$B$22/100)/2</f>
        <v/>
      </c>
      <c r="M37">
        <f>L37*(1+(Inputs!$B$9+((C60=TRUE)*(F60-Calc!F26))+B77)/100)</f>
        <v/>
      </c>
      <c r="N37">
        <f>L37*(1-MIN((Inputs!$B$8+((C59=TRUE)*(F59-Calc!F25))+B74),100)/100)+M37*(MIN((Inputs!$B$8+((C59=TRUE)*(F59-Calc!F25))+B74),100)/100)</f>
        <v/>
      </c>
      <c r="O37">
        <f>IF(C37,H37*N37*IF(AND(Inputs!$B$4&lt;&gt;"pvp",Inputs!$B$35&gt;0),((Skills!G3*((R37-1)*IF(Skills!H3&gt;0,Skills!I3/Skills!H3,1)+IF(Skills!H3&gt;0,MIN(Skills!I3,MAX(0,Inputs!$B$35-((R37-1)*IF(Inputs!$B$4="pvp",15,MAX(0.1,Skills!D3-IF(Skills!E3=TRUE,Inputs!$B$31,0))))))/Skills!H3,1)))/Inputs!$B$35),G37*Q37)*IF(Inputs!$B$4="pvp",1,(1-Summary!$B$55)*(1)+Summary!$B$55*(MIN(Skills!W3,Inputs!$B$37))),0)</f>
        <v/>
      </c>
      <c r="P37">
        <f>IF(B78=0,0,O37/B78)</f>
        <v/>
      </c>
      <c r="Q37">
        <f>IFERROR(1/IF(Inputs!$B$4="pvp",15,MAX(0.1,Skills!D3-IF(Skills!E3=TRUE,Inputs!$B$31,0))),0)</f>
        <v/>
      </c>
      <c r="R37">
        <f>IF(AND(Inputs!$B$4&lt;&gt;"pvp",Inputs!$B$35&gt;0),(INT(Inputs!$B$35/IF(Inputs!$B$4="pvp",15,MAX(0.1,Skills!D3-IF(Skills!E3=TRUE,Inputs!$B$31,0))))+1),0)</f>
        <v/>
      </c>
      <c r="S37">
        <f>IFERROR(O37/N37,0)</f>
        <v/>
      </c>
      <c r="U37">
        <f>INDEX(FactorTable!$B$2:$Y$301, MATCH(ROUND(MIN(300,MAX(1,U36)),0), FactorTable!$A$2:$A$301,0), 24)</f>
        <v/>
      </c>
    </row>
    <row r="38">
      <c r="A38">
        <f>Skills!A4</f>
        <v/>
      </c>
      <c r="B38">
        <f>Skills!B4</f>
        <v/>
      </c>
      <c r="C38">
        <f>Inputs!$B$3&gt;=40</f>
        <v/>
      </c>
      <c r="D38">
        <f>IF(Skills!C4=1,60+Inputs!$B$24+Inputs!$B$28,IF(Skills!C4=2,90+Inputs!$B$25+Inputs!$B$28,IF(Skills!C4=3,120+Inputs!$B$26+Inputs!$B$28,MAX(0,(Inputs!$B$3-100)*3)+Inputs!$B$27+Inputs!$B$28)))</f>
        <v/>
      </c>
      <c r="E38">
        <f>INDEX(FactorTable!$B$2:$Y$301, MATCH(ROUND(MIN(300,MAX(1,D38)),0), FactorTable!$A$2:$A$301,0), Skills!M4+1)</f>
        <v/>
      </c>
      <c r="F38">
        <f>IF(Skills!N4=TRUE,(Skills!L4/10)*(E38/1000),Skills!L4/10)+Skills!O4</f>
        <v/>
      </c>
      <c r="G38">
        <f>Calc!G4</f>
        <v/>
      </c>
      <c r="H38">
        <f>Calc!H4</f>
        <v/>
      </c>
      <c r="I38">
        <f>IF(Skills!AA4&lt;&gt;"",1+(Skills!AA4/10)*(U37/1000)/100,1)</f>
        <v/>
      </c>
      <c r="J38">
        <f>(Inputs!$B$5*(1+Inputs!$B$6/100))*(F38/100)</f>
        <v/>
      </c>
      <c r="K38">
        <f>J38*(1+(((Inputs!$B$11+1)*(1+Inputs!$B$12/100))*0.01+Inputs!$B$13*0.0025)/100)*(1+Inputs!$B$14/100)*(1+IF(Inputs!$B$4="pvp",0,(1-Summary!$B$55)*(Inputs!$B$19+((C61=TRUE)*(F61-Calc!F27))+Skills!P4+B75)+Summary!$B$55*(Inputs!$B$20+Skills!Q4+B75))/100)*(1+Inputs!$B$15/100)*(5000/(6000+Inputs!$B$7*(1-Inputs!$B$18/100)))*(1+(Inputs!$B$23+((C64=TRUE)*(F64-Calc!F30)))/100)*(1+Skills!R4/100)*(1+(IF(Skills!A4="SHOWDOWN",Inputs!$B$16+((C57=TRUE)*(F57-Calc!F23)),Inputs!$B$17+((C63=TRUE)*(F63-Calc!F29))))/100)*(((1+(((C55=TRUE)*F55*IF(AND(Inputs!$B$4&lt;&gt;"pvp",Inputs!$B$35&gt;0),(((S55-1)*(Skills!Y21*(1+Inputs!$B$33/100))+MIN((Skills!Y21*(1+Inputs!$B$33/100)),MAX(0,Inputs!$B$35-((S55-1)*Skills!D21))))/Inputs!$B$35),IF(Inputs!$B$4="pvp",MIN((Skills!Y21*(1+Inputs!$B$33/100)),15)/15,(Skills!Y21*(1+Inputs!$B$33/100))/Skills!D21)))+((C62=TRUE)*(F62-Calc!F28))+((C52=TRUE)*(F52-Calc!F18)))/100)*(1+((C49=TRUE)*F49*IF(AND(Inputs!$B$4&lt;&gt;"pvp",Inputs!$B$35&gt;0),(((S49-1)*(Skills!Y15*(1+Inputs!$B$33/100))+MIN((Skills!Y15*(1+Inputs!$B$33/100)),MAX(0,Inputs!$B$35-((S49-1)*Skills!D15))))/Inputs!$B$35),IF(Inputs!$B$4="pvp",MIN((Skills!Y15*(1+Inputs!$B$33/100)),15)/15,(Skills!Y15*(1+Inputs!$B$33/100))/Skills!D15)))/100)*(1+((C40=TRUE)*F40*B68)/100))*B76*I38)</f>
        <v/>
      </c>
      <c r="L38">
        <f>K38*(MIN(Inputs!$B$21+((C58=TRUE)*(F58-Calc!F24)),Inputs!$B$22)/100+Inputs!$B$22/100)/2</f>
        <v/>
      </c>
      <c r="M38">
        <f>L38*(1+(Inputs!$B$9+((C60=TRUE)*(F60-Calc!F26))+B77)/100)</f>
        <v/>
      </c>
      <c r="N38">
        <f>L38*(1-MIN((Inputs!$B$8+((C59=TRUE)*(F59-Calc!F25))+B74),100)/100)+M38*(MIN((Inputs!$B$8+((C59=TRUE)*(F59-Calc!F25))+B74),100)/100)</f>
        <v/>
      </c>
      <c r="O38">
        <f>IF(C38,H38*N38*IF(AND(Inputs!$B$4&lt;&gt;"pvp",Inputs!$B$35&gt;0),((Skills!G4*((R38-1)*IF(Skills!H4&gt;0,Skills!I4/Skills!H4,1)+IF(Skills!H4&gt;0,MIN(Skills!I4,MAX(0,Inputs!$B$35-((R38-1)*IF(Inputs!$B$4="pvp",15,MAX(0.1,Skills!D4-IF(Skills!E4=TRUE,Inputs!$B$31,0))))))/Skills!H4,1)))/Inputs!$B$35),G38*Q38)*IF(Inputs!$B$4="pvp",1,(1-Summary!$B$55)*(1)+Summary!$B$55*(MIN(Skills!W4,Inputs!$B$37))),0)</f>
        <v/>
      </c>
      <c r="P38">
        <f>IF(B78=0,0,O38/B78)</f>
        <v/>
      </c>
      <c r="Q38">
        <f>IFERROR(1/IF(Inputs!$B$4="pvp",15,MAX(0.1,Skills!D4-IF(Skills!E4=TRUE,Inputs!$B$31,0))),0)</f>
        <v/>
      </c>
      <c r="R38">
        <f>IF(AND(Inputs!$B$4&lt;&gt;"pvp",Inputs!$B$35&gt;0),(INT(Inputs!$B$35/IF(Inputs!$B$4="pvp",15,MAX(0.1,Skills!D4-IF(Skills!E4=TRUE,Inputs!$B$31,0))))+1),0)</f>
        <v/>
      </c>
      <c r="S38">
        <f>IFERROR(O38/N38,0)</f>
        <v/>
      </c>
      <c r="U38">
        <f>MAX(0,(Inputs!$B$3-100)*3)+Inputs!$B$27+Inputs!$B$28</f>
        <v/>
      </c>
    </row>
    <row r="39">
      <c r="A39">
        <f>Skills!A5</f>
        <v/>
      </c>
      <c r="B39">
        <f>Skills!B5</f>
        <v/>
      </c>
      <c r="C39">
        <f>Inputs!$B$3&gt;=63</f>
        <v/>
      </c>
      <c r="D39">
        <f>IF(Skills!C5=1,60+Inputs!$B$24+Inputs!$B$28,IF(Skills!C5=2,90+Inputs!$B$25+Inputs!$B$28,IF(Skills!C5=3,120+Inputs!$B$26+Inputs!$B$28,MAX(0,(Inputs!$B$3-100)*3)+Inputs!$B$27+Inputs!$B$28)))</f>
        <v/>
      </c>
      <c r="E39">
        <f>INDEX(FactorTable!$B$2:$Y$301, MATCH(ROUND(MIN(300,MAX(1,D39)),0), FactorTable!$A$2:$A$301,0), Skills!M5+1)</f>
        <v/>
      </c>
      <c r="F39">
        <f>IF(Skills!N5=TRUE,(Skills!L5/10)*(E39/1000),Skills!L5/10)+Skills!O5</f>
        <v/>
      </c>
      <c r="G39">
        <f>Calc!G5</f>
        <v/>
      </c>
      <c r="H39">
        <f>Calc!H5</f>
        <v/>
      </c>
      <c r="I39">
        <f>IF(Skills!AA5&lt;&gt;"",1+(Skills!AA5/10)*(U37/1000)/100,1)</f>
        <v/>
      </c>
      <c r="J39">
        <f>(Inputs!$B$5*(1+Inputs!$B$6/100))*(F39/100)</f>
        <v/>
      </c>
      <c r="K39">
        <f>J39*(1+(((Inputs!$B$11+1)*(1+Inputs!$B$12/100))*0.01+Inputs!$B$13*0.0025)/100)*(1+Inputs!$B$14/100)*(1+IF(Inputs!$B$4="pvp",0,(1-Summary!$B$55)*(Inputs!$B$19+((C61=TRUE)*(F61-Calc!F27))+Skills!P5+B75)+Summary!$B$55*(Inputs!$B$20+Skills!Q5+B75))/100)*(1+Inputs!$B$15/100)*(5000/(6000+Inputs!$B$7*(1-Inputs!$B$18/100)))*(1+(Inputs!$B$23+((C64=TRUE)*(F64-Calc!F30)))/100)*(1+Skills!R5/100)*(1+(IF(Skills!A5="SHOWDOWN",Inputs!$B$16+((C57=TRUE)*(F57-Calc!F23)),Inputs!$B$17+((C63=TRUE)*(F63-Calc!F29))))/100)*(((1+(((C55=TRUE)*F55*IF(AND(Inputs!$B$4&lt;&gt;"pvp",Inputs!$B$35&gt;0),(((S55-1)*(Skills!Y21*(1+Inputs!$B$33/100))+MIN((Skills!Y21*(1+Inputs!$B$33/100)),MAX(0,Inputs!$B$35-((S55-1)*Skills!D21))))/Inputs!$B$35),IF(Inputs!$B$4="pvp",MIN((Skills!Y21*(1+Inputs!$B$33/100)),15)/15,(Skills!Y21*(1+Inputs!$B$33/100))/Skills!D21)))+((C62=TRUE)*(F62-Calc!F28))+((C52=TRUE)*(F52-Calc!F18)))/100)*(1+((C49=TRUE)*F49*IF(AND(Inputs!$B$4&lt;&gt;"pvp",Inputs!$B$35&gt;0),(((S49-1)*(Skills!Y15*(1+Inputs!$B$33/100))+MIN((Skills!Y15*(1+Inputs!$B$33/100)),MAX(0,Inputs!$B$35-((S49-1)*Skills!D15))))/Inputs!$B$35),IF(Inputs!$B$4="pvp",MIN((Skills!Y15*(1+Inputs!$B$33/100)),15)/15,(Skills!Y15*(1+Inputs!$B$33/100))/Skills!D15)))/100)*(1+((C40=TRUE)*F40*B68)/100))*B76*I39)</f>
        <v/>
      </c>
      <c r="L39">
        <f>K39*(MIN(Inputs!$B$21+((C58=TRUE)*(F58-Calc!F24)),Inputs!$B$22)/100+Inputs!$B$22/100)/2</f>
        <v/>
      </c>
      <c r="M39">
        <f>L39*(1+(Inputs!$B$9+((C60=TRUE)*(F60-Calc!F26))+B77)/100)</f>
        <v/>
      </c>
      <c r="N39">
        <f>L39*(1-MIN((Inputs!$B$8+((C59=TRUE)*(F59-Calc!F25))+B74),100)/100)+M39*(MIN((Inputs!$B$8+((C59=TRUE)*(F59-Calc!F25))+B74),100)/100)</f>
        <v/>
      </c>
      <c r="O39">
        <f>IF(C39,H39*N39*IF(AND(Inputs!$B$4&lt;&gt;"pvp",Inputs!$B$35&gt;0),((Skills!G5*((R39-1)*IF(Skills!H5&gt;0,Skills!I5/Skills!H5,1)+IF(Skills!H5&gt;0,MIN(Skills!I5,MAX(0,Inputs!$B$35-((R39-1)*IF(Inputs!$B$4="pvp",15,MAX(0.1,Skills!D5-IF(Skills!E5=TRUE,Inputs!$B$31,0))))))/Skills!H5,1)))/Inputs!$B$35),G39*Q39)*IF(Inputs!$B$4="pvp",1,(1-Summary!$B$55)*(1)+Summary!$B$55*(MIN(Skills!W5,Inputs!$B$37))),0)</f>
        <v/>
      </c>
      <c r="P39">
        <f>IF(B78=0,0,O39/B78)</f>
        <v/>
      </c>
      <c r="Q39">
        <f>IFERROR(1/IF(Inputs!$B$4="pvp",15,MAX(0.1,Skills!D5-IF(Skills!E5=TRUE,Inputs!$B$31,0))),0)</f>
        <v/>
      </c>
      <c r="R39">
        <f>IF(AND(Inputs!$B$4&lt;&gt;"pvp",Inputs!$B$35&gt;0),(INT(Inputs!$B$35/IF(Inputs!$B$4="pvp",15,MAX(0.1,Skills!D5-IF(Skills!E5=TRUE,Inputs!$B$31,0))))+1),0)</f>
        <v/>
      </c>
      <c r="S39">
        <f>IFERROR(O39/N39,0)</f>
        <v/>
      </c>
      <c r="U39">
        <f>INDEX(FactorTable!$B$2:$Y$301, MATCH(ROUND(MIN(300,MAX(1,U38)),0), FactorTable!$A$2:$A$301,0), 22)</f>
        <v/>
      </c>
    </row>
    <row r="40">
      <c r="A40">
        <f>Skills!A6</f>
        <v/>
      </c>
      <c r="B40">
        <f>Skills!B6</f>
        <v/>
      </c>
      <c r="C40">
        <f>Inputs!$B$3&gt;=66</f>
        <v/>
      </c>
      <c r="D40">
        <f>IF(Skills!C6=1,60+Inputs!$B$24+Inputs!$B$28,IF(Skills!C6=2,90+Inputs!$B$25+Inputs!$B$28,IF(Skills!C6=3,120+Inputs!$B$26+Inputs!$B$28,MAX(0,(Inputs!$B$3-100)*3)+Inputs!$B$27+Inputs!$B$28)))</f>
        <v/>
      </c>
      <c r="E40">
        <f>INDEX(FactorTable!$B$2:$Y$301, MATCH(ROUND(MIN(300,MAX(1,D40)),0), FactorTable!$A$2:$A$301,0), Skills!M6+1)</f>
        <v/>
      </c>
      <c r="F40">
        <f>IF(Skills!N6=TRUE,(Skills!L6/10)*(E40/1000),Skills!L6/10)+Skills!O6</f>
        <v/>
      </c>
      <c r="G40">
        <f>Calc!G6</f>
        <v/>
      </c>
      <c r="H40">
        <f>Calc!H6</f>
        <v/>
      </c>
      <c r="I40">
        <f>IF(Skills!AA6&lt;&gt;"",1+(Skills!AA6/10)*(U37/1000)/100,1)</f>
        <v/>
      </c>
      <c r="J40" t="inlineStr"/>
      <c r="K40" t="inlineStr"/>
      <c r="L40" t="inlineStr"/>
      <c r="M40" t="inlineStr"/>
      <c r="N40" t="inlineStr"/>
      <c r="O40" t="n">
        <v>0</v>
      </c>
      <c r="P40">
        <f>IF(B78=0,0,O40/B78)</f>
        <v/>
      </c>
      <c r="Q40" t="n">
        <v>0</v>
      </c>
      <c r="R40" t="n">
        <v>0</v>
      </c>
      <c r="S40">
        <f>IFERROR(O40/N40,0)</f>
        <v/>
      </c>
      <c r="U40">
        <f>290*U39/1000</f>
        <v/>
      </c>
    </row>
    <row r="41">
      <c r="A41">
        <f>Skills!A7</f>
        <v/>
      </c>
      <c r="B41">
        <f>Skills!B7</f>
        <v/>
      </c>
      <c r="C41">
        <f>Inputs!$B$3&gt;=66</f>
        <v/>
      </c>
      <c r="D41">
        <f>IF(Skills!C7=1,60+Inputs!$B$24+Inputs!$B$28,IF(Skills!C7=2,90+Inputs!$B$25+Inputs!$B$28,IF(Skills!C7=3,120+Inputs!$B$26+Inputs!$B$28,MAX(0,(Inputs!$B$3-100)*3)+Inputs!$B$27+Inputs!$B$28)))</f>
        <v/>
      </c>
      <c r="E41">
        <f>INDEX(FactorTable!$B$2:$Y$301, MATCH(ROUND(MIN(300,MAX(1,D41)),0), FactorTable!$A$2:$A$301,0), Skills!M7+1)</f>
        <v/>
      </c>
      <c r="F41">
        <f>IF(Skills!N7=TRUE,(Skills!L7/10)*(E41/1000),Skills!L7/10)+Skills!O7</f>
        <v/>
      </c>
      <c r="G41">
        <f>Calc!G7</f>
        <v/>
      </c>
      <c r="H41">
        <f>Calc!H7</f>
        <v/>
      </c>
      <c r="I41">
        <f>IF(Skills!AA7&lt;&gt;"",1+(Skills!AA7/10)*(U37/1000)/100,1)</f>
        <v/>
      </c>
      <c r="J41" t="inlineStr"/>
      <c r="K41" t="inlineStr"/>
      <c r="L41" t="inlineStr"/>
      <c r="M41" t="inlineStr"/>
      <c r="N41" t="inlineStr"/>
      <c r="O41" t="n">
        <v>0</v>
      </c>
      <c r="P41">
        <f>IF(B78=0,0,O41/B78)</f>
        <v/>
      </c>
      <c r="Q41" t="n">
        <v>0</v>
      </c>
      <c r="R41" t="n">
        <v>0</v>
      </c>
      <c r="S41">
        <f>IFERROR(O41/N41,0)</f>
        <v/>
      </c>
    </row>
    <row r="42">
      <c r="A42">
        <f>Skills!A8</f>
        <v/>
      </c>
      <c r="B42">
        <f>Skills!B8</f>
        <v/>
      </c>
      <c r="C42">
        <f>Inputs!$B$3&gt;=69</f>
        <v/>
      </c>
      <c r="D42">
        <f>IF(Skills!C8=1,60+Inputs!$B$24+Inputs!$B$28,IF(Skills!C8=2,90+Inputs!$B$25+Inputs!$B$28,IF(Skills!C8=3,120+Inputs!$B$26+Inputs!$B$28,MAX(0,(Inputs!$B$3-100)*3)+Inputs!$B$27+Inputs!$B$28)))</f>
        <v/>
      </c>
      <c r="E42">
        <f>INDEX(FactorTable!$B$2:$Y$301, MATCH(ROUND(MIN(300,MAX(1,D42)),0), FactorTable!$A$2:$A$301,0), Skills!M8+1)</f>
        <v/>
      </c>
      <c r="F42">
        <f>IF(Skills!N8=TRUE,(Skills!L8/10)*(E42/1000),Skills!L8/10)+Skills!O8</f>
        <v/>
      </c>
      <c r="G42">
        <f>Calc!G8</f>
        <v/>
      </c>
      <c r="H42">
        <f>Calc!H8</f>
        <v/>
      </c>
      <c r="I42">
        <f>IF(Skills!AA8&lt;&gt;"",1+(Skills!AA8/10)*(U37/1000)/100,1)</f>
        <v/>
      </c>
      <c r="J42">
        <f>(Inputs!$B$5*(1+Inputs!$B$6/100))*(F42/100)</f>
        <v/>
      </c>
      <c r="K42">
        <f>J42*(1+(((Inputs!$B$11+1)*(1+Inputs!$B$12/100))*0.01+Inputs!$B$13*0.0025)/100)*(1+Inputs!$B$14/100)*(1+IF(Inputs!$B$4="pvp",0,(1-Summary!$B$55)*(Inputs!$B$19+((C61=TRUE)*(F61-Calc!F27))+Skills!P8+B75)+Summary!$B$55*(Inputs!$B$20+Skills!Q8+B75))/100)*(1+Inputs!$B$15/100)*(5000/(6000+Inputs!$B$7*(1-Inputs!$B$18/100)))*(1+(Inputs!$B$23+((C64=TRUE)*(F64-Calc!F30)))/100)*(1+Skills!R8/100)*(1+(IF(Skills!A8="SHOWDOWN",Inputs!$B$16+((C57=TRUE)*(F57-Calc!F23)),Inputs!$B$17+((C63=TRUE)*(F63-Calc!F29))))/100)*(((1+(((C55=TRUE)*F55*IF(AND(Inputs!$B$4&lt;&gt;"pvp",Inputs!$B$35&gt;0),(((S55-1)*(Skills!Y21*(1+Inputs!$B$33/100))+MIN((Skills!Y21*(1+Inputs!$B$33/100)),MAX(0,Inputs!$B$35-((S55-1)*Skills!D21))))/Inputs!$B$35),IF(Inputs!$B$4="pvp",MIN((Skills!Y21*(1+Inputs!$B$33/100)),15)/15,(Skills!Y21*(1+Inputs!$B$33/100))/Skills!D21)))+((C62=TRUE)*(F62-Calc!F28))+((C52=TRUE)*(F52-Calc!F18)))/100)*(1+((C49=TRUE)*F49*IF(AND(Inputs!$B$4&lt;&gt;"pvp",Inputs!$B$35&gt;0),(((S49-1)*(Skills!Y15*(1+Inputs!$B$33/100))+MIN((Skills!Y15*(1+Inputs!$B$33/100)),MAX(0,Inputs!$B$35-((S49-1)*Skills!D15))))/Inputs!$B$35),IF(Inputs!$B$4="pvp",MIN((Skills!Y15*(1+Inputs!$B$33/100)),15)/15,(Skills!Y15*(1+Inputs!$B$33/100))/Skills!D15)))/100)*(1+((C40=TRUE)*F40*B68)/100))*B76*I42)</f>
        <v/>
      </c>
      <c r="L42">
        <f>K42*(MIN(Inputs!$B$21+((C58=TRUE)*(F58-Calc!F24)),Inputs!$B$22)/100+Inputs!$B$22/100)/2</f>
        <v/>
      </c>
      <c r="M42">
        <f>L42*(1+(Inputs!$B$9+((C60=TRUE)*(F60-Calc!F26))+B77)/100)</f>
        <v/>
      </c>
      <c r="N42">
        <f>L42*(1-MIN((Inputs!$B$8+((C59=TRUE)*(F59-Calc!F25))+B74),100)/100)+M42*(MIN((Inputs!$B$8+((C59=TRUE)*(F59-Calc!F25))+B74),100)/100)</f>
        <v/>
      </c>
      <c r="O42">
        <f>IF(C42,H42*N42*IF(AND(Inputs!$B$4&lt;&gt;"pvp",Inputs!$B$35&gt;0),((Skills!G8*((R42-1)*IF(Skills!H8&gt;0,Skills!I8/Skills!H8,1)+IF(Skills!H8&gt;0,MIN(Skills!I8,MAX(0,Inputs!$B$35-((R42-1)*IF(Inputs!$B$4="pvp",15,MAX(0.1,Skills!D8-IF(Skills!E8=TRUE,Inputs!$B$31,0))))))/Skills!H8,1)))/Inputs!$B$35),G42*Q42)*IF(Inputs!$B$4="pvp",1,(1-Summary!$B$55)*(1)+Summary!$B$55*(MIN(Skills!W8,Inputs!$B$37))),0)</f>
        <v/>
      </c>
      <c r="P42">
        <f>IF(B78=0,0,O42/B78)</f>
        <v/>
      </c>
      <c r="Q42">
        <f>IFERROR(1/IF(Inputs!$B$4="pvp",15,MAX(0.1,Skills!D8-IF(Skills!E8=TRUE,Inputs!$B$31,0))),0)</f>
        <v/>
      </c>
      <c r="R42">
        <f>IF(AND(Inputs!$B$4&lt;&gt;"pvp",Inputs!$B$35&gt;0),(INT(Inputs!$B$35/IF(Inputs!$B$4="pvp",15,MAX(0.1,Skills!D8-IF(Skills!E8=TRUE,Inputs!$B$31,0))))+1),0)</f>
        <v/>
      </c>
      <c r="S42">
        <f>IFERROR(O42/N42,0)</f>
        <v/>
      </c>
    </row>
    <row r="43">
      <c r="A43">
        <f>Skills!A9</f>
        <v/>
      </c>
      <c r="B43">
        <f>Skills!B9</f>
        <v/>
      </c>
      <c r="C43">
        <f>Inputs!$B$3&gt;=72</f>
        <v/>
      </c>
      <c r="D43">
        <f>IF(Skills!C9=1,60+Inputs!$B$24+Inputs!$B$28,IF(Skills!C9=2,90+Inputs!$B$25+Inputs!$B$28,IF(Skills!C9=3,120+Inputs!$B$26+Inputs!$B$28,MAX(0,(Inputs!$B$3-100)*3)+Inputs!$B$27+Inputs!$B$28)))</f>
        <v/>
      </c>
      <c r="E43">
        <f>INDEX(FactorTable!$B$2:$Y$301, MATCH(ROUND(MIN(300,MAX(1,D43)),0), FactorTable!$A$2:$A$301,0), Skills!M9+1)</f>
        <v/>
      </c>
      <c r="F43">
        <f>IF(Skills!N9=TRUE,(Skills!L9/10)*(E43/1000),Skills!L9/10)+Skills!O9</f>
        <v/>
      </c>
      <c r="G43">
        <f>Calc!G9</f>
        <v/>
      </c>
      <c r="H43">
        <f>Calc!H9</f>
        <v/>
      </c>
      <c r="I43">
        <f>IF(Skills!AA9&lt;&gt;"",1+(Skills!AA9/10)*(U37/1000)/100,1)</f>
        <v/>
      </c>
      <c r="J43">
        <f>(Inputs!$B$5*(1+Inputs!$B$6/100))*(F43/100)</f>
        <v/>
      </c>
      <c r="K43">
        <f>J43*(1+(((Inputs!$B$11+1)*(1+Inputs!$B$12/100))*0.01+Inputs!$B$13*0.0025)/100)*(1+Inputs!$B$14/100)*(1+IF(Inputs!$B$4="pvp",0,(1-Summary!$B$55)*(Inputs!$B$19+((C61=TRUE)*(F61-Calc!F27))+Skills!P9+B75)+Summary!$B$55*(Inputs!$B$20+Skills!Q9+B75))/100)*(1+Inputs!$B$15/100)*(5000/(6000+Inputs!$B$7*(1-Inputs!$B$18/100)))*(1+(Inputs!$B$23+((C64=TRUE)*(F64-Calc!F30)))/100)*(1+Skills!R9/100)*(1+(IF(Skills!A9="SHOWDOWN",Inputs!$B$16+((C57=TRUE)*(F57-Calc!F23)),Inputs!$B$17+((C63=TRUE)*(F63-Calc!F29))))/100)*(((1+(((C55=TRUE)*F55*IF(AND(Inputs!$B$4&lt;&gt;"pvp",Inputs!$B$35&gt;0),(((S55-1)*(Skills!Y21*(1+Inputs!$B$33/100))+MIN((Skills!Y21*(1+Inputs!$B$33/100)),MAX(0,Inputs!$B$35-((S55-1)*Skills!D21))))/Inputs!$B$35),IF(Inputs!$B$4="pvp",MIN((Skills!Y21*(1+Inputs!$B$33/100)),15)/15,(Skills!Y21*(1+Inputs!$B$33/100))/Skills!D21)))+((C62=TRUE)*(F62-Calc!F28))+((C52=TRUE)*(F52-Calc!F18)))/100)*(1+((C49=TRUE)*F49*IF(AND(Inputs!$B$4&lt;&gt;"pvp",Inputs!$B$35&gt;0),(((S49-1)*(Skills!Y15*(1+Inputs!$B$33/100))+MIN((Skills!Y15*(1+Inputs!$B$33/100)),MAX(0,Inputs!$B$35-((S49-1)*Skills!D15))))/Inputs!$B$35),IF(Inputs!$B$4="pvp",MIN((Skills!Y15*(1+Inputs!$B$33/100)),15)/15,(Skills!Y15*(1+Inputs!$B$33/100))/Skills!D15)))/100)*(1+((C40=TRUE)*F40*B68)/100))*B76*I43)</f>
        <v/>
      </c>
      <c r="L43">
        <f>K43*(MIN(Inputs!$B$21+((C58=TRUE)*(F58-Calc!F24)),Inputs!$B$22)/100+Inputs!$B$22/100)/2</f>
        <v/>
      </c>
      <c r="M43">
        <f>L43*(1+(Inputs!$B$9+((C60=TRUE)*(F60-Calc!F26))+B77)/100)</f>
        <v/>
      </c>
      <c r="N43">
        <f>L43*(1-MIN((Inputs!$B$8+((C59=TRUE)*(F59-Calc!F25))+B74),100)/100)+M43*(MIN((Inputs!$B$8+((C59=TRUE)*(F59-Calc!F25))+B74),100)/100)</f>
        <v/>
      </c>
      <c r="O43">
        <f>IF(C43,H43*N43*IF(AND(Inputs!$B$4&lt;&gt;"pvp",Inputs!$B$35&gt;0),((Skills!G9*((R43-1)*IF(Skills!H9&gt;0,Skills!I9/Skills!H9,1)+IF(Skills!H9&gt;0,MIN(Skills!I9,MAX(0,Inputs!$B$35-((R43-1)*IF(Inputs!$B$4="pvp",15,MAX(0.1,Skills!D9-IF(Skills!E9=TRUE,Inputs!$B$31,0))))))/Skills!H9,1)))/Inputs!$B$35),G43*Q43)*IF(Inputs!$B$4="pvp",1,(1-Summary!$B$55)*(1)+Summary!$B$55*(MIN(Skills!W9,Inputs!$B$37))),0)</f>
        <v/>
      </c>
      <c r="P43">
        <f>IF(B78=0,0,O43/B78)</f>
        <v/>
      </c>
      <c r="Q43">
        <f>IFERROR(1/IF(Inputs!$B$4="pvp",15,MAX(0.1,Skills!D9-IF(Skills!E9=TRUE,Inputs!$B$31,0))),0)</f>
        <v/>
      </c>
      <c r="R43">
        <f>IF(AND(Inputs!$B$4&lt;&gt;"pvp",Inputs!$B$35&gt;0),(INT(Inputs!$B$35/IF(Inputs!$B$4="pvp",15,MAX(0.1,Skills!D9-IF(Skills!E9=TRUE,Inputs!$B$31,0))))+1),0)</f>
        <v/>
      </c>
      <c r="S43">
        <f>IFERROR(O43/N43,0)</f>
        <v/>
      </c>
    </row>
    <row r="44">
      <c r="A44">
        <f>Skills!A10</f>
        <v/>
      </c>
      <c r="B44">
        <f>Skills!B10</f>
        <v/>
      </c>
      <c r="C44">
        <f>Inputs!$B$3&gt;=117</f>
        <v/>
      </c>
      <c r="D44">
        <f>IF(Skills!C10=1,60+Inputs!$B$24+Inputs!$B$28,IF(Skills!C10=2,90+Inputs!$B$25+Inputs!$B$28,IF(Skills!C10=3,120+Inputs!$B$26+Inputs!$B$28,MAX(0,(Inputs!$B$3-100)*3)+Inputs!$B$27+Inputs!$B$28)))</f>
        <v/>
      </c>
      <c r="E44">
        <f>INDEX(FactorTable!$B$2:$Y$301, MATCH(ROUND(MIN(300,MAX(1,D44)),0), FactorTable!$A$2:$A$301,0), Skills!M10+1)</f>
        <v/>
      </c>
      <c r="F44">
        <f>IF(Skills!N10=TRUE,(Skills!L10/10)*(E44/1000),Skills!L10/10)+Skills!O10</f>
        <v/>
      </c>
      <c r="G44">
        <f>Calc!G10</f>
        <v/>
      </c>
      <c r="H44">
        <f>Calc!H10</f>
        <v/>
      </c>
      <c r="I44">
        <f>IF(Skills!AA10&lt;&gt;"",1+(Skills!AA10/10)*(U37/1000)/100,1)</f>
        <v/>
      </c>
      <c r="J44">
        <f>(Inputs!$B$5*(1+Inputs!$B$6/100))*(F44/100)</f>
        <v/>
      </c>
      <c r="K44">
        <f>J44*(1+(((Inputs!$B$11+1)*(1+Inputs!$B$12/100))*0.01+Inputs!$B$13*0.0025)/100)*(1+Inputs!$B$14/100)*(1+IF(Inputs!$B$4="pvp",0,(1-Summary!$B$55)*(Inputs!$B$19+((C61=TRUE)*(F61-Calc!F27))+Skills!P10+B75)+Summary!$B$55*(Inputs!$B$20+Skills!Q10+B75))/100)*(1+Inputs!$B$15/100)*(5000/(6000+Inputs!$B$7*(1-Inputs!$B$18/100)))*(1+(Inputs!$B$23+((C64=TRUE)*(F64-Calc!F30)))/100)*(1+Skills!R10/100)*(1+(IF(Skills!A10="SHOWDOWN",Inputs!$B$16+((C57=TRUE)*(F57-Calc!F23)),Inputs!$B$17+((C63=TRUE)*(F63-Calc!F29))))/100)*(((1+(((C55=TRUE)*F55*IF(AND(Inputs!$B$4&lt;&gt;"pvp",Inputs!$B$35&gt;0),(((S55-1)*(Skills!Y21*(1+Inputs!$B$33/100))+MIN((Skills!Y21*(1+Inputs!$B$33/100)),MAX(0,Inputs!$B$35-((S55-1)*Skills!D21))))/Inputs!$B$35),IF(Inputs!$B$4="pvp",MIN((Skills!Y21*(1+Inputs!$B$33/100)),15)/15,(Skills!Y21*(1+Inputs!$B$33/100))/Skills!D21)))+((C62=TRUE)*(F62-Calc!F28))+((C52=TRUE)*(F52-Calc!F18)))/100)*(1+((C49=TRUE)*F49*IF(AND(Inputs!$B$4&lt;&gt;"pvp",Inputs!$B$35&gt;0),(((S49-1)*(Skills!Y15*(1+Inputs!$B$33/100))+MIN((Skills!Y15*(1+Inputs!$B$33/100)),MAX(0,Inputs!$B$35-((S49-1)*Skills!D15))))/Inputs!$B$35),IF(Inputs!$B$4="pvp",MIN((Skills!Y15*(1+Inputs!$B$33/100)),15)/15,(Skills!Y15*(1+Inputs!$B$33/100))/Skills!D15)))/100)*(1+((C40=TRUE)*F40*B68)/100))*B76*I44)</f>
        <v/>
      </c>
      <c r="L44">
        <f>K44*(MIN(Inputs!$B$21+((C58=TRUE)*(F58-Calc!F24)),Inputs!$B$22)/100+Inputs!$B$22/100)/2</f>
        <v/>
      </c>
      <c r="M44">
        <f>L44*(1+(Inputs!$B$9+((C60=TRUE)*(F60-Calc!F26))+B77)/100)</f>
        <v/>
      </c>
      <c r="N44">
        <f>L44*(1-MIN((Inputs!$B$8+((C59=TRUE)*(F59-Calc!F25))+B74),100)/100)+M44*(MIN((Inputs!$B$8+((C59=TRUE)*(F59-Calc!F25))+B74),100)/100)</f>
        <v/>
      </c>
      <c r="O44">
        <f>IF(C44,0.2*SUMPRODUCT((Skills!Z2:Z31=TRUE)*(C36:C65=TRUE)*S36:S65)*N44,0)</f>
        <v/>
      </c>
      <c r="P44">
        <f>IF(B78=0,0,O44/B78)</f>
        <v/>
      </c>
      <c r="Q44" t="n">
        <v>0</v>
      </c>
      <c r="R44" t="n">
        <v>0</v>
      </c>
      <c r="S44" t="n">
        <v>0</v>
      </c>
    </row>
    <row r="45">
      <c r="A45">
        <f>Skills!A11</f>
        <v/>
      </c>
      <c r="B45">
        <f>Skills!B11</f>
        <v/>
      </c>
      <c r="C45">
        <f>Inputs!$B$3&gt;=60</f>
        <v/>
      </c>
      <c r="D45">
        <f>IF(Skills!C11=1,60+Inputs!$B$24+Inputs!$B$28,IF(Skills!C11=2,90+Inputs!$B$25+Inputs!$B$28,IF(Skills!C11=3,120+Inputs!$B$26+Inputs!$B$28,MAX(0,(Inputs!$B$3-100)*3)+Inputs!$B$27+Inputs!$B$28)))</f>
        <v/>
      </c>
      <c r="E45">
        <f>INDEX(FactorTable!$B$2:$Y$301, MATCH(ROUND(MIN(300,MAX(1,D45)),0), FactorTable!$A$2:$A$301,0), Skills!M11+1)</f>
        <v/>
      </c>
      <c r="F45">
        <f>IF(Skills!N11=TRUE,(Skills!L11/10)*(E45/1000),Skills!L11/10)+Skills!O11</f>
        <v/>
      </c>
      <c r="G45">
        <f>Calc!G11</f>
        <v/>
      </c>
      <c r="H45">
        <f>Calc!H11</f>
        <v/>
      </c>
      <c r="I45">
        <f>IF(Skills!AA11&lt;&gt;"",1+(Skills!AA11/10)*(U37/1000)/100,1)</f>
        <v/>
      </c>
      <c r="J45" t="inlineStr"/>
      <c r="K45" t="inlineStr"/>
      <c r="L45" t="inlineStr"/>
      <c r="M45" t="inlineStr"/>
      <c r="N45" t="inlineStr"/>
      <c r="O45" t="n">
        <v>0</v>
      </c>
      <c r="P45">
        <f>IF(B78=0,0,O45/B78)</f>
        <v/>
      </c>
      <c r="Q45" t="n">
        <v>0</v>
      </c>
      <c r="R45" t="n">
        <v>0</v>
      </c>
      <c r="S45">
        <f>IFERROR(O45/N45,0)</f>
        <v/>
      </c>
    </row>
    <row r="46">
      <c r="A46">
        <f>Skills!A12</f>
        <v/>
      </c>
      <c r="B46">
        <f>Skills!B12</f>
        <v/>
      </c>
      <c r="C46">
        <f>Inputs!$B$3&gt;=103</f>
        <v/>
      </c>
      <c r="D46">
        <f>IF(Skills!C12=1,60+Inputs!$B$24+Inputs!$B$28,IF(Skills!C12=2,90+Inputs!$B$25+Inputs!$B$28,IF(Skills!C12=3,120+Inputs!$B$26+Inputs!$B$28,MAX(0,(Inputs!$B$3-100)*3)+Inputs!$B$27+Inputs!$B$28)))</f>
        <v/>
      </c>
      <c r="E46">
        <f>INDEX(FactorTable!$B$2:$Y$301, MATCH(ROUND(MIN(300,MAX(1,D46)),0), FactorTable!$A$2:$A$301,0), Skills!M12+1)</f>
        <v/>
      </c>
      <c r="F46">
        <f>IF(Skills!N12=TRUE,(Skills!L12/10)*(E46/1000),Skills!L12/10)+Skills!O12</f>
        <v/>
      </c>
      <c r="G46">
        <f>Calc!G12</f>
        <v/>
      </c>
      <c r="H46">
        <f>Calc!H12</f>
        <v/>
      </c>
      <c r="I46">
        <f>IF(Skills!AA12&lt;&gt;"",1+(Skills!AA12/10)*(U37/1000)/100,1)</f>
        <v/>
      </c>
      <c r="J46">
        <f>(Inputs!$B$5*(1+Inputs!$B$6/100))*(F46/100)</f>
        <v/>
      </c>
      <c r="K46">
        <f>J46*(1+(((Inputs!$B$11+1)*(1+Inputs!$B$12/100))*0.01+Inputs!$B$13*0.0025)/100)*(1+Inputs!$B$14/100)*(1+IF(Inputs!$B$4="pvp",0,(1-Summary!$B$55)*(Inputs!$B$19+((C61=TRUE)*(F61-Calc!F27))+Skills!P12+B75)+Summary!$B$55*(Inputs!$B$20+Skills!Q12+B75))/100)*(1+Inputs!$B$15/100)*(5000/(6000+Inputs!$B$7*(1-Inputs!$B$18/100)))*(1+(Inputs!$B$23+((C64=TRUE)*(F64-Calc!F30)))/100)*(1+Skills!R12/100)*(1+(IF(Skills!A12="SHOWDOWN",Inputs!$B$16+((C57=TRUE)*(F57-Calc!F23)),Inputs!$B$17+((C63=TRUE)*(F63-Calc!F29))))/100)*(((1+(((C55=TRUE)*F55*IF(AND(Inputs!$B$4&lt;&gt;"pvp",Inputs!$B$35&gt;0),(((S55-1)*(Skills!Y21*(1+Inputs!$B$33/100))+MIN((Skills!Y21*(1+Inputs!$B$33/100)),MAX(0,Inputs!$B$35-((S55-1)*Skills!D21))))/Inputs!$B$35),IF(Inputs!$B$4="pvp",MIN((Skills!Y21*(1+Inputs!$B$33/100)),15)/15,(Skills!Y21*(1+Inputs!$B$33/100))/Skills!D21)))+((C62=TRUE)*(F62-Calc!F28))+((C52=TRUE)*(F52-Calc!F18)))/100)*(1+((C49=TRUE)*F49*IF(AND(Inputs!$B$4&lt;&gt;"pvp",Inputs!$B$35&gt;0),(((S49-1)*(Skills!Y15*(1+Inputs!$B$33/100))+MIN((Skills!Y15*(1+Inputs!$B$33/100)),MAX(0,Inputs!$B$35-((S49-1)*Skills!D15))))/Inputs!$B$35),IF(Inputs!$B$4="pvp",MIN((Skills!Y15*(1+Inputs!$B$33/100)),15)/15,(Skills!Y15*(1+Inputs!$B$33/100))/Skills!D15)))/100)*(1+((C40=TRUE)*F40*B68)/100))*B76*I46)</f>
        <v/>
      </c>
      <c r="L46">
        <f>K46*(MIN(Inputs!$B$21+((C58=TRUE)*(F58-Calc!F24)),Inputs!$B$22)/100+Inputs!$B$22/100)/2</f>
        <v/>
      </c>
      <c r="M46">
        <f>L46*(1+(Inputs!$B$9+((C60=TRUE)*(F60-Calc!F26))+B77)/100)</f>
        <v/>
      </c>
      <c r="N46">
        <f>L46*(1-MIN((Inputs!$B$8+((C59=TRUE)*(F59-Calc!F25))+B74),100)/100)+M46*(MIN((Inputs!$B$8+((C59=TRUE)*(F59-Calc!F25))+B74),100)/100)</f>
        <v/>
      </c>
      <c r="O46">
        <f>IF(C46,H46*N46*IF(AND(Inputs!$B$4&lt;&gt;"pvp",Inputs!$B$35&gt;0),((Skills!G12*((R46-1)*IF(Skills!H12&gt;0,Skills!I12/Skills!H12,1)+IF(Skills!H12&gt;0,MIN(Skills!I12,MAX(0,Inputs!$B$35-((R46-1)*IF(Inputs!$B$4="pvp",15,MAX(0.1,Skills!D12-IF(Skills!E12=TRUE,Inputs!$B$31,0))))))/Skills!H12,1)))/Inputs!$B$35),G46*Q46)*IF(Inputs!$B$4="pvp",1,(1-Summary!$B$55)*(1)+Summary!$B$55*(MIN(Skills!W12,Inputs!$B$37))),0)</f>
        <v/>
      </c>
      <c r="P46">
        <f>IF(B78=0,0,O46/B78)</f>
        <v/>
      </c>
      <c r="Q46">
        <f>IFERROR(1/IF(Inputs!$B$4="pvp",15,MAX(0.1,Skills!D12-IF(Skills!E12=TRUE,Inputs!$B$31,0))),0)</f>
        <v/>
      </c>
      <c r="R46">
        <f>IF(AND(Inputs!$B$4&lt;&gt;"pvp",Inputs!$B$35&gt;0),(INT(Inputs!$B$35/IF(Inputs!$B$4="pvp",15,MAX(0.1,Skills!D12-IF(Skills!E12=TRUE,Inputs!$B$31,0))))+1),0)</f>
        <v/>
      </c>
      <c r="S46">
        <f>IFERROR(O46/N46,0)</f>
        <v/>
      </c>
    </row>
    <row r="47">
      <c r="A47">
        <f>Skills!A13</f>
        <v/>
      </c>
      <c r="B47">
        <f>Skills!B13</f>
        <v/>
      </c>
      <c r="C47">
        <f>Inputs!$B$3&gt;=105</f>
        <v/>
      </c>
      <c r="D47">
        <f>IF(Skills!C13=1,60+Inputs!$B$24+Inputs!$B$28,IF(Skills!C13=2,90+Inputs!$B$25+Inputs!$B$28,IF(Skills!C13=3,120+Inputs!$B$26+Inputs!$B$28,MAX(0,(Inputs!$B$3-100)*3)+Inputs!$B$27+Inputs!$B$28)))</f>
        <v/>
      </c>
      <c r="E47">
        <f>INDEX(FactorTable!$B$2:$Y$301, MATCH(ROUND(MIN(300,MAX(1,D47)),0), FactorTable!$A$2:$A$301,0), Skills!M13+1)</f>
        <v/>
      </c>
      <c r="F47">
        <f>IF(Skills!N13=TRUE,(Skills!L13/10)*(E47/1000),Skills!L13/10)+Skills!O13</f>
        <v/>
      </c>
      <c r="G47">
        <f>Calc!G13</f>
        <v/>
      </c>
      <c r="H47">
        <f>Calc!H13</f>
        <v/>
      </c>
      <c r="I47">
        <f>IF(Skills!AA13&lt;&gt;"",1+(Skills!AA13/10)*(U37/1000)/100,1)</f>
        <v/>
      </c>
      <c r="J47">
        <f>(Inputs!$B$5*(1+Inputs!$B$6/100))*(F47/100)</f>
        <v/>
      </c>
      <c r="K47">
        <f>J47*(1+(((Inputs!$B$11+1)*(1+Inputs!$B$12/100))*0.01+Inputs!$B$13*0.0025)/100)*(1+Inputs!$B$14/100)*(1+IF(Inputs!$B$4="pvp",0,(1-Summary!$B$55)*(Inputs!$B$19+((C61=TRUE)*(F61-Calc!F27))+Skills!P13+B75)+Summary!$B$55*(Inputs!$B$20+Skills!Q13+B75))/100)*(1+Inputs!$B$15/100)*(5000/(6000+Inputs!$B$7*(1-Inputs!$B$18/100)))*(1+(Inputs!$B$23+((C64=TRUE)*(F64-Calc!F30)))/100)*(1+Skills!R13/100)*(1+(IF(Skills!A13="SHOWDOWN",Inputs!$B$16+((C57=TRUE)*(F57-Calc!F23)),Inputs!$B$17+((C63=TRUE)*(F63-Calc!F29))))/100)*(((1+(((C55=TRUE)*F55*IF(AND(Inputs!$B$4&lt;&gt;"pvp",Inputs!$B$35&gt;0),(((S55-1)*(Skills!Y21*(1+Inputs!$B$33/100))+MIN((Skills!Y21*(1+Inputs!$B$33/100)),MAX(0,Inputs!$B$35-((S55-1)*Skills!D21))))/Inputs!$B$35),IF(Inputs!$B$4="pvp",MIN((Skills!Y21*(1+Inputs!$B$33/100)),15)/15,(Skills!Y21*(1+Inputs!$B$33/100))/Skills!D21)))+((C62=TRUE)*(F62-Calc!F28))+((C52=TRUE)*(F52-Calc!F18)))/100)*(1+((C49=TRUE)*F49*IF(AND(Inputs!$B$4&lt;&gt;"pvp",Inputs!$B$35&gt;0),(((S49-1)*(Skills!Y15*(1+Inputs!$B$33/100))+MIN((Skills!Y15*(1+Inputs!$B$33/100)),MAX(0,Inputs!$B$35-((S49-1)*Skills!D15))))/Inputs!$B$35),IF(Inputs!$B$4="pvp",MIN((Skills!Y15*(1+Inputs!$B$33/100)),15)/15,(Skills!Y15*(1+Inputs!$B$33/100))/Skills!D15)))/100)*(1+((C40=TRUE)*F40*B68)/100))*B76*I47)</f>
        <v/>
      </c>
      <c r="L47">
        <f>K47*(MIN(Inputs!$B$21+((C58=TRUE)*(F58-Calc!F24)),Inputs!$B$22)/100+Inputs!$B$22/100)/2</f>
        <v/>
      </c>
      <c r="M47">
        <f>L47*(1+(Inputs!$B$9+((C60=TRUE)*(F60-Calc!F26))+B77)/100)</f>
        <v/>
      </c>
      <c r="N47">
        <f>L47*(1-MIN((Inputs!$B$8+((C59=TRUE)*(F59-Calc!F25))+B74),100)/100)+M47*(MIN((Inputs!$B$8+((C59=TRUE)*(F59-Calc!F25))+B74),100)/100)</f>
        <v/>
      </c>
      <c r="O47">
        <f>IF(C47,H47*N47*IF(AND(Inputs!$B$4&lt;&gt;"pvp",Inputs!$B$35&gt;0),((Skills!G13*((R47-1)*IF(Skills!H13&gt;0,Skills!I13/Skills!H13,1)+IF(Skills!H13&gt;0,MIN(Skills!I13,MAX(0,Inputs!$B$35-((R47-1)*IF(Inputs!$B$4="pvp",15,MAX(0.1,Skills!D13-IF(Skills!E13=TRUE,Inputs!$B$31,0))))))/Skills!H13,1)))/Inputs!$B$35),G47*Q47)*IF(Inputs!$B$4="pvp",1,(1-Summary!$B$55)*(1)+Summary!$B$55*(MIN(Skills!W13,Inputs!$B$37))),0)</f>
        <v/>
      </c>
      <c r="P47">
        <f>IF(B78=0,0,O47/B78)</f>
        <v/>
      </c>
      <c r="Q47">
        <f>IFERROR(1/IF(Inputs!$B$4="pvp",15,MAX(0.1,Skills!D13-IF(Skills!E13=TRUE,Inputs!$B$31,0))),0)</f>
        <v/>
      </c>
      <c r="R47">
        <f>IF(AND(Inputs!$B$4&lt;&gt;"pvp",Inputs!$B$35&gt;0),(INT(Inputs!$B$35/IF(Inputs!$B$4="pvp",15,MAX(0.1,Skills!D13-IF(Skills!E13=TRUE,Inputs!$B$31,0))))+1),0)</f>
        <v/>
      </c>
      <c r="S47">
        <f>IFERROR(O47/N47,0)</f>
        <v/>
      </c>
    </row>
    <row r="48">
      <c r="A48">
        <f>Skills!A14</f>
        <v/>
      </c>
      <c r="B48">
        <f>Skills!B14</f>
        <v/>
      </c>
      <c r="C48">
        <f>Inputs!$B$3&gt;=105</f>
        <v/>
      </c>
      <c r="D48">
        <f>IF(Skills!C14=1,60+Inputs!$B$24+Inputs!$B$28,IF(Skills!C14=2,90+Inputs!$B$25+Inputs!$B$28,IF(Skills!C14=3,120+Inputs!$B$26+Inputs!$B$28,MAX(0,(Inputs!$B$3-100)*3)+Inputs!$B$27+Inputs!$B$28)))</f>
        <v/>
      </c>
      <c r="E48">
        <f>INDEX(FactorTable!$B$2:$Y$301, MATCH(ROUND(MIN(300,MAX(1,D48)),0), FactorTable!$A$2:$A$301,0), Skills!M14+1)</f>
        <v/>
      </c>
      <c r="F48">
        <f>IF(Skills!N14=TRUE,(Skills!L14/10)*(E48/1000),Skills!L14/10)+Skills!O14</f>
        <v/>
      </c>
      <c r="G48">
        <f>Calc!G14</f>
        <v/>
      </c>
      <c r="H48">
        <f>Calc!H14</f>
        <v/>
      </c>
      <c r="I48">
        <f>IF(Skills!AA14&lt;&gt;"",1+(Skills!AA14/10)*(U37/1000)/100,1)</f>
        <v/>
      </c>
      <c r="J48">
        <f>(Inputs!$B$5*(1+Inputs!$B$6/100))*(F48/100)</f>
        <v/>
      </c>
      <c r="K48">
        <f>J48*(1+(((Inputs!$B$11+1)*(1+Inputs!$B$12/100))*0.01+Inputs!$B$13*0.0025)/100)*(1+Inputs!$B$14/100)*(1+IF(Inputs!$B$4="pvp",0,(1-Summary!$B$55)*(Inputs!$B$19+((C61=TRUE)*(F61-Calc!F27))+Skills!P14+B75)+Summary!$B$55*(Inputs!$B$20+Skills!Q14+B75))/100)*(1+Inputs!$B$15/100)*(5000/(6000+Inputs!$B$7*(1-Inputs!$B$18/100)))*(1+(Inputs!$B$23+((C64=TRUE)*(F64-Calc!F30)))/100)*(1+Skills!R14/100)*(1+(IF(Skills!A14="SHOWDOWN",Inputs!$B$16+((C57=TRUE)*(F57-Calc!F23)),Inputs!$B$17+((C63=TRUE)*(F63-Calc!F29))))/100)*(((1+(((C55=TRUE)*F55*IF(AND(Inputs!$B$4&lt;&gt;"pvp",Inputs!$B$35&gt;0),(((S55-1)*(Skills!Y21*(1+Inputs!$B$33/100))+MIN((Skills!Y21*(1+Inputs!$B$33/100)),MAX(0,Inputs!$B$35-((S55-1)*Skills!D21))))/Inputs!$B$35),IF(Inputs!$B$4="pvp",MIN((Skills!Y21*(1+Inputs!$B$33/100)),15)/15,(Skills!Y21*(1+Inputs!$B$33/100))/Skills!D21)))+((C62=TRUE)*(F62-Calc!F28))+((C52=TRUE)*(F52-Calc!F18)))/100)*(1+((C49=TRUE)*F49*IF(AND(Inputs!$B$4&lt;&gt;"pvp",Inputs!$B$35&gt;0),(((S49-1)*(Skills!Y15*(1+Inputs!$B$33/100))+MIN((Skills!Y15*(1+Inputs!$B$33/100)),MAX(0,Inputs!$B$35-((S49-1)*Skills!D15))))/Inputs!$B$35),IF(Inputs!$B$4="pvp",MIN((Skills!Y15*(1+Inputs!$B$33/100)),15)/15,(Skills!Y15*(1+Inputs!$B$33/100))/Skills!D15)))/100)*(1+((C40=TRUE)*F40*B68)/100))*B76*I48)</f>
        <v/>
      </c>
      <c r="L48">
        <f>K48*(MIN(Inputs!$B$21+((C58=TRUE)*(F58-Calc!F24)),Inputs!$B$22)/100+Inputs!$B$22/100)/2</f>
        <v/>
      </c>
      <c r="M48">
        <f>L48*(1+(Inputs!$B$9+((C60=TRUE)*(F60-Calc!F26))+B77)/100)</f>
        <v/>
      </c>
      <c r="N48">
        <f>L48*(1-MIN((Inputs!$B$8+((C59=TRUE)*(F59-Calc!F25))+B74),100)/100)+M48*(MIN((Inputs!$B$8+((C59=TRUE)*(F59-Calc!F25))+B74),100)/100)</f>
        <v/>
      </c>
      <c r="O48">
        <f>IF(C48,H48*N48*IF(AND(Inputs!$B$4&lt;&gt;"pvp",Inputs!$B$35&gt;0),((Skills!G14*((R48-1)*IF(Skills!H14&gt;0,Skills!I14/Skills!H14,1)+IF(Skills!H14&gt;0,MIN(Skills!I14,MAX(0,Inputs!$B$35-((R48-1)*IF(Inputs!$B$4="pvp",15,MAX(0.1,Skills!D14-IF(Skills!E14=TRUE,Inputs!$B$31,0))))))/Skills!H14,1)))/Inputs!$B$35),G48*Q48)*IF(Inputs!$B$4="pvp",1,(1-Summary!$B$55)*(1)+Summary!$B$55*(MIN(Skills!W14,Inputs!$B$37))),0)</f>
        <v/>
      </c>
      <c r="P48">
        <f>IF(B78=0,0,O48/B78)</f>
        <v/>
      </c>
      <c r="Q48">
        <f>IFERROR(1/IF(Inputs!$B$4="pvp",15,MAX(0.1,Skills!D14-IF(Skills!E14=TRUE,Inputs!$B$31,0))),0)</f>
        <v/>
      </c>
      <c r="R48">
        <f>IF(AND(Inputs!$B$4&lt;&gt;"pvp",Inputs!$B$35&gt;0),(INT(Inputs!$B$35/IF(Inputs!$B$4="pvp",15,MAX(0.1,Skills!D14-IF(Skills!E14=TRUE,Inputs!$B$31,0))))+1),0)</f>
        <v/>
      </c>
      <c r="S48">
        <f>IFERROR(O48/N48,0)</f>
        <v/>
      </c>
    </row>
    <row r="49">
      <c r="A49">
        <f>Skills!A15</f>
        <v/>
      </c>
      <c r="B49">
        <f>Skills!B15</f>
        <v/>
      </c>
      <c r="C49">
        <f>Inputs!$B$3&gt;=110</f>
        <v/>
      </c>
      <c r="D49">
        <f>IF(Skills!C15=1,60+Inputs!$B$24+Inputs!$B$28,IF(Skills!C15=2,90+Inputs!$B$25+Inputs!$B$28,IF(Skills!C15=3,120+Inputs!$B$26+Inputs!$B$28,MAX(0,(Inputs!$B$3-100)*3)+Inputs!$B$27+Inputs!$B$28)))</f>
        <v/>
      </c>
      <c r="E49">
        <f>INDEX(FactorTable!$B$2:$Y$301, MATCH(ROUND(MIN(300,MAX(1,D49)),0), FactorTable!$A$2:$A$301,0), Skills!M15+1)</f>
        <v/>
      </c>
      <c r="F49">
        <f>IF(Skills!N15=TRUE,(Skills!L15/10)*(E49/1000),Skills!L15/10)+Skills!O15</f>
        <v/>
      </c>
      <c r="G49">
        <f>Calc!G15</f>
        <v/>
      </c>
      <c r="H49">
        <f>Calc!H15</f>
        <v/>
      </c>
      <c r="I49">
        <f>IF(Skills!AA15&lt;&gt;"",1+(Skills!AA15/10)*(U37/1000)/100,1)</f>
        <v/>
      </c>
      <c r="J49" t="inlineStr"/>
      <c r="K49" t="inlineStr"/>
      <c r="L49" t="inlineStr"/>
      <c r="M49" t="inlineStr"/>
      <c r="N49" t="inlineStr"/>
      <c r="O49" t="n">
        <v>0</v>
      </c>
      <c r="P49">
        <f>IF(B78=0,0,O49/B78)</f>
        <v/>
      </c>
      <c r="Q49">
        <f>IFERROR(1/IF(Inputs!$B$4="pvp",15,MAX(0.1,Skills!D15-IF(Skills!E15=TRUE,Inputs!$B$31,0))),0)</f>
        <v/>
      </c>
      <c r="R49">
        <f>IF(AND(Inputs!$B$4&lt;&gt;"pvp",Inputs!$B$35&gt;0),(INT(Inputs!$B$35/IF(Inputs!$B$4="pvp",15,MAX(0.1,Skills!D15-IF(Skills!E15=TRUE,Inputs!$B$31,0))))+1),0)</f>
        <v/>
      </c>
      <c r="S49">
        <f>IFERROR(O49/N49,0)</f>
        <v/>
      </c>
    </row>
    <row r="50">
      <c r="A50">
        <f>Skills!A16</f>
        <v/>
      </c>
      <c r="B50">
        <f>Skills!B16</f>
        <v/>
      </c>
      <c r="C50">
        <f>Inputs!$B$3&gt;=110</f>
        <v/>
      </c>
      <c r="D50">
        <f>IF(Skills!C16=1,60+Inputs!$B$24+Inputs!$B$28,IF(Skills!C16=2,90+Inputs!$B$25+Inputs!$B$28,IF(Skills!C16=3,120+Inputs!$B$26+Inputs!$B$28,MAX(0,(Inputs!$B$3-100)*3)+Inputs!$B$27+Inputs!$B$28)))</f>
        <v/>
      </c>
      <c r="E50">
        <f>INDEX(FactorTable!$B$2:$Y$301, MATCH(ROUND(MIN(300,MAX(1,D50)),0), FactorTable!$A$2:$A$301,0), Skills!M16+1)</f>
        <v/>
      </c>
      <c r="F50">
        <f>IF(Skills!N16=TRUE,(Skills!L16/10)*(E50/1000),Skills!L16/10)+Skills!O16</f>
        <v/>
      </c>
      <c r="G50">
        <f>Calc!G16</f>
        <v/>
      </c>
      <c r="H50">
        <f>Calc!H16</f>
        <v/>
      </c>
      <c r="I50">
        <f>IF(Skills!AA16&lt;&gt;"",1+(Skills!AA16/10)*(U37/1000)/100,1)</f>
        <v/>
      </c>
      <c r="J50" t="inlineStr"/>
      <c r="K50" t="inlineStr"/>
      <c r="L50" t="inlineStr"/>
      <c r="M50" t="inlineStr"/>
      <c r="N50" t="inlineStr"/>
      <c r="O50" t="n">
        <v>0</v>
      </c>
      <c r="P50">
        <f>IF(B78=0,0,O50/B78)</f>
        <v/>
      </c>
      <c r="Q50">
        <f>IFERROR(1/IF(Inputs!$B$4="pvp",15,MAX(0.1,Skills!D16-IF(Skills!E16=TRUE,Inputs!$B$31,0))),0)</f>
        <v/>
      </c>
      <c r="R50">
        <f>IF(AND(Inputs!$B$4&lt;&gt;"pvp",Inputs!$B$35&gt;0),(INT(Inputs!$B$35/IF(Inputs!$B$4="pvp",15,MAX(0.1,Skills!D16-IF(Skills!E16=TRUE,Inputs!$B$31,0))))+1),0)</f>
        <v/>
      </c>
      <c r="S50">
        <f>IFERROR(O50/N50,0)</f>
        <v/>
      </c>
    </row>
    <row r="51">
      <c r="A51">
        <f>Skills!A17</f>
        <v/>
      </c>
      <c r="B51">
        <f>Skills!B17</f>
        <v/>
      </c>
      <c r="C51">
        <f>Inputs!$B$3&gt;=115</f>
        <v/>
      </c>
      <c r="D51">
        <f>IF(Skills!C17=1,60+Inputs!$B$24+Inputs!$B$28,IF(Skills!C17=2,90+Inputs!$B$25+Inputs!$B$28,IF(Skills!C17=3,120+Inputs!$B$26+Inputs!$B$28,MAX(0,(Inputs!$B$3-100)*3)+Inputs!$B$27+Inputs!$B$28)))</f>
        <v/>
      </c>
      <c r="E51">
        <f>INDEX(FactorTable!$B$2:$Y$301, MATCH(ROUND(MIN(300,MAX(1,D51)),0), FactorTable!$A$2:$A$301,0), Skills!M17+1)</f>
        <v/>
      </c>
      <c r="F51">
        <f>IF(Skills!N17=TRUE,(Skills!L17/10)*(E51/1000),Skills!L17/10)+Skills!O17</f>
        <v/>
      </c>
      <c r="G51">
        <f>Calc!G17</f>
        <v/>
      </c>
      <c r="H51">
        <f>Calc!H17</f>
        <v/>
      </c>
      <c r="I51">
        <f>IF(Skills!AA17&lt;&gt;"",1+(Skills!AA17/10)*(U37/1000)/100,1)</f>
        <v/>
      </c>
      <c r="J51">
        <f>(Inputs!$B$5*(1+Inputs!$B$6/100))*(F51/100)</f>
        <v/>
      </c>
      <c r="K51">
        <f>J51*(1+(((Inputs!$B$11+1)*(1+Inputs!$B$12/100))*0.01+Inputs!$B$13*0.0025)/100)*(1+Inputs!$B$14/100)*(1+IF(Inputs!$B$4="pvp",0,(1-Summary!$B$55)*(Inputs!$B$19+((C61=TRUE)*(F61-Calc!F27))+Skills!P17+B75)+Summary!$B$55*(Inputs!$B$20+Skills!Q17+B75))/100)*(1+Inputs!$B$15/100)*(5000/(6000+Inputs!$B$7*(1-Inputs!$B$18/100)))*(1+(Inputs!$B$23+((C64=TRUE)*(F64-Calc!F30)))/100)*(1+Skills!R17/100)*(1+(IF(Skills!A17="SHOWDOWN",Inputs!$B$16+((C57=TRUE)*(F57-Calc!F23)),Inputs!$B$17+((C63=TRUE)*(F63-Calc!F29))))/100)*(((1+(((C55=TRUE)*F55*IF(AND(Inputs!$B$4&lt;&gt;"pvp",Inputs!$B$35&gt;0),(((S55-1)*(Skills!Y21*(1+Inputs!$B$33/100))+MIN((Skills!Y21*(1+Inputs!$B$33/100)),MAX(0,Inputs!$B$35-((S55-1)*Skills!D21))))/Inputs!$B$35),IF(Inputs!$B$4="pvp",MIN((Skills!Y21*(1+Inputs!$B$33/100)),15)/15,(Skills!Y21*(1+Inputs!$B$33/100))/Skills!D21)))+((C62=TRUE)*(F62-Calc!F28))+((C52=TRUE)*(F52-Calc!F18)))/100)*(1+((C49=TRUE)*F49*IF(AND(Inputs!$B$4&lt;&gt;"pvp",Inputs!$B$35&gt;0),(((S49-1)*(Skills!Y15*(1+Inputs!$B$33/100))+MIN((Skills!Y15*(1+Inputs!$B$33/100)),MAX(0,Inputs!$B$35-((S49-1)*Skills!D15))))/Inputs!$B$35),IF(Inputs!$B$4="pvp",MIN((Skills!Y15*(1+Inputs!$B$33/100)),15)/15,(Skills!Y15*(1+Inputs!$B$33/100))/Skills!D15)))/100)*(1+((C40=TRUE)*F40*B68)/100))*B76*I51)</f>
        <v/>
      </c>
      <c r="L51">
        <f>K51*(MIN(Inputs!$B$21+((C58=TRUE)*(F58-Calc!F24)),Inputs!$B$22)/100+Inputs!$B$22/100)/2</f>
        <v/>
      </c>
      <c r="M51">
        <f>L51*(1+(Inputs!$B$9+((C60=TRUE)*(F60-Calc!F26))+B77)/100)</f>
        <v/>
      </c>
      <c r="N51">
        <f>L51*(1-MIN((Inputs!$B$8+((C59=TRUE)*(F59-Calc!F25))+B74),100)/100)+M51*(MIN((Inputs!$B$8+((C59=TRUE)*(F59-Calc!F25))+B74),100)/100)</f>
        <v/>
      </c>
      <c r="O51">
        <f>IF(C51,Inputs!$B$38*0.2*N51,0)</f>
        <v/>
      </c>
      <c r="P51">
        <f>IF(B78=0,0,O51/B78)</f>
        <v/>
      </c>
      <c r="Q51" t="n">
        <v>0</v>
      </c>
      <c r="R51" t="n">
        <v>0</v>
      </c>
      <c r="S51">
        <f>IFERROR(O51/N51,0)</f>
        <v/>
      </c>
    </row>
    <row r="52">
      <c r="A52">
        <f>Skills!A18</f>
        <v/>
      </c>
      <c r="B52">
        <f>Skills!B18</f>
        <v/>
      </c>
      <c r="C52">
        <f>Inputs!$B$3&gt;=115</f>
        <v/>
      </c>
      <c r="D52">
        <f>IF(Skills!C18=1,60+Inputs!$B$24+Inputs!$B$28,IF(Skills!C18=2,90+Inputs!$B$25+Inputs!$B$28,IF(Skills!C18=3,120+Inputs!$B$26+Inputs!$B$28,MAX(0,(Inputs!$B$3-100)*3)+Inputs!$B$27+Inputs!$B$28)))</f>
        <v/>
      </c>
      <c r="E52">
        <f>INDEX(FactorTable!$B$2:$Y$301, MATCH(ROUND(MIN(300,MAX(1,D52)),0), FactorTable!$A$2:$A$301,0), Skills!M18+1)</f>
        <v/>
      </c>
      <c r="F52">
        <f>IF(Skills!N18=TRUE,(Skills!L18/10)*(E52/1000),Skills!L18/10)+Skills!O18</f>
        <v/>
      </c>
      <c r="G52">
        <f>Calc!G18</f>
        <v/>
      </c>
      <c r="H52">
        <f>Calc!H18</f>
        <v/>
      </c>
      <c r="I52">
        <f>IF(Skills!AA18&lt;&gt;"",1+(Skills!AA18/10)*(U37/1000)/100,1)</f>
        <v/>
      </c>
      <c r="J52" t="inlineStr"/>
      <c r="K52" t="inlineStr"/>
      <c r="L52" t="inlineStr"/>
      <c r="M52" t="inlineStr"/>
      <c r="N52" t="inlineStr"/>
      <c r="O52" t="n">
        <v>0</v>
      </c>
      <c r="P52">
        <f>IF(B78=0,0,O52/B78)</f>
        <v/>
      </c>
      <c r="Q52" t="n">
        <v>0</v>
      </c>
      <c r="R52" t="n">
        <v>0</v>
      </c>
      <c r="S52">
        <f>IFERROR(O52/N52,0)</f>
        <v/>
      </c>
    </row>
    <row r="53">
      <c r="A53">
        <f>Skills!A19</f>
        <v/>
      </c>
      <c r="B53">
        <f>Skills!B19</f>
        <v/>
      </c>
      <c r="C53">
        <f>TRUE</f>
        <v/>
      </c>
      <c r="D53">
        <f>IF(Skills!C19=1,60+Inputs!$B$24+Inputs!$B$28,IF(Skills!C19=2,90+Inputs!$B$25+Inputs!$B$28,IF(Skills!C19=3,120+Inputs!$B$26+Inputs!$B$28,MAX(0,(Inputs!$B$3-100)*3)+Inputs!$B$27+Inputs!$B$28)))</f>
        <v/>
      </c>
      <c r="E53">
        <f>INDEX(FactorTable!$B$2:$Y$301, MATCH(ROUND(MIN(300,MAX(1,D53)),0), FactorTable!$A$2:$A$301,0), Skills!M19+1)</f>
        <v/>
      </c>
      <c r="F53">
        <f>IF(Skills!N19=TRUE,(Skills!L19/10)*(E53/1000),Skills!L19/10)+Skills!O19</f>
        <v/>
      </c>
      <c r="G53">
        <f>Calc!G19</f>
        <v/>
      </c>
      <c r="H53">
        <f>Calc!H19</f>
        <v/>
      </c>
      <c r="I53">
        <f>IF(Skills!AA19&lt;&gt;"",1+(Skills!AA19/10)*(U37/1000)/100,1)</f>
        <v/>
      </c>
      <c r="J53" t="inlineStr"/>
      <c r="K53" t="inlineStr"/>
      <c r="L53" t="inlineStr"/>
      <c r="M53" t="inlineStr"/>
      <c r="N53" t="inlineStr"/>
      <c r="O53" t="n">
        <v>0</v>
      </c>
      <c r="P53">
        <f>IF(B78=0,0,O53/B78)</f>
        <v/>
      </c>
      <c r="Q53">
        <f>IFERROR(1/IF(Inputs!$B$4="pvp",15,MAX(0.1,Skills!D19-IF(Skills!E19=TRUE,Inputs!$B$31,0))),0)</f>
        <v/>
      </c>
      <c r="R53">
        <f>IF(AND(Inputs!$B$4&lt;&gt;"pvp",Inputs!$B$35&gt;0),(INT(Inputs!$B$35/IF(Inputs!$B$4="pvp",15,MAX(0.1,Skills!D19-IF(Skills!E19=TRUE,Inputs!$B$31,0))))+1),0)</f>
        <v/>
      </c>
      <c r="S53">
        <f>IFERROR(O53/N53,0)</f>
        <v/>
      </c>
    </row>
    <row r="54">
      <c r="A54">
        <f>Skills!A20</f>
        <v/>
      </c>
      <c r="B54">
        <f>Skills!B20</f>
        <v/>
      </c>
      <c r="C54">
        <f>Inputs!$B$3&gt;=15</f>
        <v/>
      </c>
      <c r="D54">
        <f>IF(Skills!C20=1,60+Inputs!$B$24+Inputs!$B$28,IF(Skills!C20=2,90+Inputs!$B$25+Inputs!$B$28,IF(Skills!C20=3,120+Inputs!$B$26+Inputs!$B$28,MAX(0,(Inputs!$B$3-100)*3)+Inputs!$B$27+Inputs!$B$28)))</f>
        <v/>
      </c>
      <c r="E54">
        <f>INDEX(FactorTable!$B$2:$Y$301, MATCH(ROUND(MIN(300,MAX(1,D54)),0), FactorTable!$A$2:$A$301,0), Skills!M20+1)</f>
        <v/>
      </c>
      <c r="F54">
        <f>IF(Skills!N20=TRUE,(Skills!L20/10)*(E54/1000),Skills!L20/10)+Skills!O20</f>
        <v/>
      </c>
      <c r="G54">
        <f>Calc!G20</f>
        <v/>
      </c>
      <c r="H54">
        <f>Calc!H20</f>
        <v/>
      </c>
      <c r="I54">
        <f>IF(Skills!AA20&lt;&gt;"",1+(Skills!AA20/10)*(U37/1000)/100,1)</f>
        <v/>
      </c>
      <c r="J54" t="inlineStr"/>
      <c r="K54" t="inlineStr"/>
      <c r="L54" t="inlineStr"/>
      <c r="M54" t="inlineStr"/>
      <c r="N54" t="inlineStr"/>
      <c r="O54" t="n">
        <v>0</v>
      </c>
      <c r="P54">
        <f>IF(B78=0,0,O54/B78)</f>
        <v/>
      </c>
      <c r="Q54">
        <f>IFERROR(1/IF(Inputs!$B$4="pvp",15,MAX(0.1,Skills!D20-IF(Skills!E20=TRUE,Inputs!$B$31,0))),0)</f>
        <v/>
      </c>
      <c r="R54">
        <f>IF(AND(Inputs!$B$4&lt;&gt;"pvp",Inputs!$B$35&gt;0),(INT(Inputs!$B$35/IF(Inputs!$B$4="pvp",15,MAX(0.1,Skills!D20-IF(Skills!E20=TRUE,Inputs!$B$31,0))))+1),0)</f>
        <v/>
      </c>
      <c r="S54">
        <f>IFERROR(O54/N54,0)</f>
        <v/>
      </c>
    </row>
    <row r="55">
      <c r="A55">
        <f>Skills!A21</f>
        <v/>
      </c>
      <c r="B55">
        <f>Skills!B21</f>
        <v/>
      </c>
      <c r="C55">
        <f>Inputs!$B$3&gt;=15</f>
        <v/>
      </c>
      <c r="D55">
        <f>IF(Skills!C21=1,60+Inputs!$B$24+Inputs!$B$28,IF(Skills!C21=2,90+Inputs!$B$25+Inputs!$B$28,IF(Skills!C21=3,120+Inputs!$B$26+Inputs!$B$28,MAX(0,(Inputs!$B$3-100)*3)+Inputs!$B$27+Inputs!$B$28)))</f>
        <v/>
      </c>
      <c r="E55">
        <f>INDEX(FactorTable!$B$2:$Y$301, MATCH(ROUND(MIN(300,MAX(1,D55)),0), FactorTable!$A$2:$A$301,0), Skills!M21+1)</f>
        <v/>
      </c>
      <c r="F55">
        <f>IF(Skills!N21=TRUE,(Skills!L21/10)*(E55/1000),Skills!L21/10)+Skills!O21</f>
        <v/>
      </c>
      <c r="G55">
        <f>Calc!G21</f>
        <v/>
      </c>
      <c r="H55">
        <f>Calc!H21</f>
        <v/>
      </c>
      <c r="I55">
        <f>IF(Skills!AA21&lt;&gt;"",1+(Skills!AA21/10)*(U37/1000)/100,1)</f>
        <v/>
      </c>
      <c r="J55" t="inlineStr"/>
      <c r="K55" t="inlineStr"/>
      <c r="L55" t="inlineStr"/>
      <c r="M55" t="inlineStr"/>
      <c r="N55" t="inlineStr"/>
      <c r="O55" t="n">
        <v>0</v>
      </c>
      <c r="P55">
        <f>IF(B78=0,0,O55/B78)</f>
        <v/>
      </c>
      <c r="Q55">
        <f>IFERROR(1/IF(Inputs!$B$4="pvp",15,MAX(0.1,Skills!D21-IF(Skills!E21=TRUE,Inputs!$B$31,0))),0)</f>
        <v/>
      </c>
      <c r="R55">
        <f>IF(AND(Inputs!$B$4&lt;&gt;"pvp",Inputs!$B$35&gt;0),(INT(Inputs!$B$35/IF(Inputs!$B$4="pvp",15,MAX(0.1,Skills!D21-IF(Skills!E21=TRUE,Inputs!$B$31,0))))+1),0)</f>
        <v/>
      </c>
      <c r="S55">
        <f>IFERROR(O55/N55,0)</f>
        <v/>
      </c>
    </row>
    <row r="56">
      <c r="A56">
        <f>Skills!A22</f>
        <v/>
      </c>
      <c r="B56">
        <f>Skills!B22</f>
        <v/>
      </c>
      <c r="C56">
        <f>Inputs!$B$3&gt;=33</f>
        <v/>
      </c>
      <c r="D56">
        <f>IF(Skills!C22=1,60+Inputs!$B$24+Inputs!$B$28,IF(Skills!C22=2,90+Inputs!$B$25+Inputs!$B$28,IF(Skills!C22=3,120+Inputs!$B$26+Inputs!$B$28,MAX(0,(Inputs!$B$3-100)*3)+Inputs!$B$27+Inputs!$B$28)))</f>
        <v/>
      </c>
      <c r="E56">
        <f>INDEX(FactorTable!$B$2:$Y$301, MATCH(ROUND(MIN(300,MAX(1,D56)),0), FactorTable!$A$2:$A$301,0), Skills!M22+1)</f>
        <v/>
      </c>
      <c r="F56">
        <f>IF(Skills!N22=TRUE,(Skills!L22/10)*(E56/1000),Skills!L22/10)+Skills!O22</f>
        <v/>
      </c>
      <c r="G56">
        <f>Calc!G22</f>
        <v/>
      </c>
      <c r="H56">
        <f>Calc!H22</f>
        <v/>
      </c>
      <c r="I56">
        <f>IF(Skills!AA22&lt;&gt;"",1+(Skills!AA22/10)*(U37/1000)/100,1)</f>
        <v/>
      </c>
      <c r="J56" t="inlineStr"/>
      <c r="K56" t="inlineStr"/>
      <c r="L56" t="inlineStr"/>
      <c r="M56" t="inlineStr"/>
      <c r="N56" t="inlineStr"/>
      <c r="O56" t="n">
        <v>0</v>
      </c>
      <c r="P56">
        <f>IF(B78=0,0,O56/B78)</f>
        <v/>
      </c>
      <c r="Q56" t="n">
        <v>0</v>
      </c>
      <c r="R56" t="n">
        <v>0</v>
      </c>
      <c r="S56">
        <f>IFERROR(O56/N56,0)</f>
        <v/>
      </c>
    </row>
    <row r="57">
      <c r="A57">
        <f>Skills!A23</f>
        <v/>
      </c>
      <c r="B57">
        <f>Skills!B23</f>
        <v/>
      </c>
      <c r="C57">
        <f>Inputs!$B$3&gt;=38</f>
        <v/>
      </c>
      <c r="D57">
        <f>IF(Skills!C23=1,60+Inputs!$B$24+Inputs!$B$28,IF(Skills!C23=2,90+Inputs!$B$25+Inputs!$B$28,IF(Skills!C23=3,120+Inputs!$B$26+Inputs!$B$28,MAX(0,(Inputs!$B$3-100)*3)+Inputs!$B$27+Inputs!$B$28)))</f>
        <v/>
      </c>
      <c r="E57">
        <f>INDEX(FactorTable!$B$2:$Y$301, MATCH(ROUND(MIN(300,MAX(1,D57)),0), FactorTable!$A$2:$A$301,0), Skills!M23+1)</f>
        <v/>
      </c>
      <c r="F57">
        <f>IF(Skills!N23=TRUE,(Skills!L23/10)*(E57/1000),Skills!L23/10)+Skills!O23</f>
        <v/>
      </c>
      <c r="G57">
        <f>Calc!G23</f>
        <v/>
      </c>
      <c r="H57">
        <f>Calc!H23</f>
        <v/>
      </c>
      <c r="I57">
        <f>IF(Skills!AA23&lt;&gt;"",1+(Skills!AA23/10)*(U37/1000)/100,1)</f>
        <v/>
      </c>
      <c r="J57" t="inlineStr"/>
      <c r="K57" t="inlineStr"/>
      <c r="L57" t="inlineStr"/>
      <c r="M57" t="inlineStr"/>
      <c r="N57" t="inlineStr"/>
      <c r="O57" t="n">
        <v>0</v>
      </c>
      <c r="P57">
        <f>IF(B78=0,0,O57/B78)</f>
        <v/>
      </c>
      <c r="Q57" t="n">
        <v>0</v>
      </c>
      <c r="R57" t="n">
        <v>0</v>
      </c>
      <c r="S57">
        <f>IFERROR(O57/N57,0)</f>
        <v/>
      </c>
    </row>
    <row r="58">
      <c r="A58">
        <f>Skills!A24</f>
        <v/>
      </c>
      <c r="B58">
        <f>Skills!B24</f>
        <v/>
      </c>
      <c r="C58">
        <f>Inputs!$B$3&gt;=40</f>
        <v/>
      </c>
      <c r="D58">
        <f>IF(Skills!C24=1,60+Inputs!$B$24+Inputs!$B$28,IF(Skills!C24=2,90+Inputs!$B$25+Inputs!$B$28,IF(Skills!C24=3,120+Inputs!$B$26+Inputs!$B$28,MAX(0,(Inputs!$B$3-100)*3)+Inputs!$B$27+Inputs!$B$28)))</f>
        <v/>
      </c>
      <c r="E58">
        <f>INDEX(FactorTable!$B$2:$Y$301, MATCH(ROUND(MIN(300,MAX(1,D58)),0), FactorTable!$A$2:$A$301,0), Skills!M24+1)</f>
        <v/>
      </c>
      <c r="F58">
        <f>IF(Skills!N24=TRUE,(Skills!L24/10)*(E58/1000),Skills!L24/10)+Skills!O24</f>
        <v/>
      </c>
      <c r="G58">
        <f>Calc!G24</f>
        <v/>
      </c>
      <c r="H58">
        <f>Calc!H24</f>
        <v/>
      </c>
      <c r="I58">
        <f>IF(Skills!AA24&lt;&gt;"",1+(Skills!AA24/10)*(U37/1000)/100,1)</f>
        <v/>
      </c>
      <c r="J58" t="inlineStr"/>
      <c r="K58" t="inlineStr"/>
      <c r="L58" t="inlineStr"/>
      <c r="M58" t="inlineStr"/>
      <c r="N58" t="inlineStr"/>
      <c r="O58" t="n">
        <v>0</v>
      </c>
      <c r="P58">
        <f>IF(B78=0,0,O58/B78)</f>
        <v/>
      </c>
      <c r="Q58" t="n">
        <v>0</v>
      </c>
      <c r="R58" t="n">
        <v>0</v>
      </c>
      <c r="S58">
        <f>IFERROR(O58/N58,0)</f>
        <v/>
      </c>
    </row>
    <row r="59">
      <c r="A59">
        <f>Skills!A25</f>
        <v/>
      </c>
      <c r="B59">
        <f>Skills!B25</f>
        <v/>
      </c>
      <c r="C59">
        <f>Inputs!$B$3&gt;=45</f>
        <v/>
      </c>
      <c r="D59">
        <f>IF(Skills!C25=1,60+Inputs!$B$24+Inputs!$B$28,IF(Skills!C25=2,90+Inputs!$B$25+Inputs!$B$28,IF(Skills!C25=3,120+Inputs!$B$26+Inputs!$B$28,MAX(0,(Inputs!$B$3-100)*3)+Inputs!$B$27+Inputs!$B$28)))</f>
        <v/>
      </c>
      <c r="E59">
        <f>INDEX(FactorTable!$B$2:$Y$301, MATCH(ROUND(MIN(300,MAX(1,D59)),0), FactorTable!$A$2:$A$301,0), Skills!M25+1)</f>
        <v/>
      </c>
      <c r="F59">
        <f>IF(Skills!N25=TRUE,(Skills!L25/10)*(E59/1000),Skills!L25/10)+Skills!O25</f>
        <v/>
      </c>
      <c r="G59">
        <f>Calc!G25</f>
        <v/>
      </c>
      <c r="H59">
        <f>Calc!H25</f>
        <v/>
      </c>
      <c r="I59">
        <f>IF(Skills!AA25&lt;&gt;"",1+(Skills!AA25/10)*(U37/1000)/100,1)</f>
        <v/>
      </c>
      <c r="J59" t="inlineStr"/>
      <c r="K59" t="inlineStr"/>
      <c r="L59" t="inlineStr"/>
      <c r="M59" t="inlineStr"/>
      <c r="N59" t="inlineStr"/>
      <c r="O59" t="n">
        <v>0</v>
      </c>
      <c r="P59">
        <f>IF(B78=0,0,O59/B78)</f>
        <v/>
      </c>
      <c r="Q59" t="n">
        <v>0</v>
      </c>
      <c r="R59" t="n">
        <v>0</v>
      </c>
      <c r="S59">
        <f>IFERROR(O59/N59,0)</f>
        <v/>
      </c>
    </row>
    <row r="60">
      <c r="A60">
        <f>Skills!A26</f>
        <v/>
      </c>
      <c r="B60">
        <f>Skills!B26</f>
        <v/>
      </c>
      <c r="C60">
        <f>Inputs!$B$3&gt;=45</f>
        <v/>
      </c>
      <c r="D60">
        <f>IF(Skills!C26=1,60+Inputs!$B$24+Inputs!$B$28,IF(Skills!C26=2,90+Inputs!$B$25+Inputs!$B$28,IF(Skills!C26=3,120+Inputs!$B$26+Inputs!$B$28,MAX(0,(Inputs!$B$3-100)*3)+Inputs!$B$27+Inputs!$B$28)))</f>
        <v/>
      </c>
      <c r="E60">
        <f>INDEX(FactorTable!$B$2:$Y$301, MATCH(ROUND(MIN(300,MAX(1,D60)),0), FactorTable!$A$2:$A$301,0), Skills!M26+1)</f>
        <v/>
      </c>
      <c r="F60">
        <f>IF(Skills!N26=TRUE,(Skills!L26/10)*(E60/1000),Skills!L26/10)+Skills!O26</f>
        <v/>
      </c>
      <c r="G60">
        <f>Calc!G26</f>
        <v/>
      </c>
      <c r="H60">
        <f>Calc!H26</f>
        <v/>
      </c>
      <c r="I60">
        <f>IF(Skills!AA26&lt;&gt;"",1+(Skills!AA26/10)*(U37/1000)/100,1)</f>
        <v/>
      </c>
      <c r="J60" t="inlineStr"/>
      <c r="K60" t="inlineStr"/>
      <c r="L60" t="inlineStr"/>
      <c r="M60" t="inlineStr"/>
      <c r="N60" t="inlineStr"/>
      <c r="O60" t="n">
        <v>0</v>
      </c>
      <c r="P60">
        <f>IF(B78=0,0,O60/B78)</f>
        <v/>
      </c>
      <c r="Q60" t="n">
        <v>0</v>
      </c>
      <c r="R60" t="n">
        <v>0</v>
      </c>
      <c r="S60">
        <f>IFERROR(O60/N60,0)</f>
        <v/>
      </c>
    </row>
    <row r="61">
      <c r="A61">
        <f>Skills!A27</f>
        <v/>
      </c>
      <c r="B61">
        <f>Skills!B27</f>
        <v/>
      </c>
      <c r="C61">
        <f>Inputs!$B$3&gt;=72</f>
        <v/>
      </c>
      <c r="D61">
        <f>IF(Skills!C27=1,60+Inputs!$B$24+Inputs!$B$28,IF(Skills!C27=2,90+Inputs!$B$25+Inputs!$B$28,IF(Skills!C27=3,120+Inputs!$B$26+Inputs!$B$28,MAX(0,(Inputs!$B$3-100)*3)+Inputs!$B$27+Inputs!$B$28)))</f>
        <v/>
      </c>
      <c r="E61">
        <f>INDEX(FactorTable!$B$2:$Y$301, MATCH(ROUND(MIN(300,MAX(1,D61)),0), FactorTable!$A$2:$A$301,0), Skills!M27+1)</f>
        <v/>
      </c>
      <c r="F61">
        <f>IF(Skills!N27=TRUE,(Skills!L27/10)*(E61/1000),Skills!L27/10)+Skills!O27</f>
        <v/>
      </c>
      <c r="G61">
        <f>Calc!G27</f>
        <v/>
      </c>
      <c r="H61">
        <f>Calc!H27</f>
        <v/>
      </c>
      <c r="I61">
        <f>IF(Skills!AA27&lt;&gt;"",1+(Skills!AA27/10)*(U37/1000)/100,1)</f>
        <v/>
      </c>
      <c r="J61" t="inlineStr"/>
      <c r="K61" t="inlineStr"/>
      <c r="L61" t="inlineStr"/>
      <c r="M61" t="inlineStr"/>
      <c r="N61" t="inlineStr"/>
      <c r="O61" t="n">
        <v>0</v>
      </c>
      <c r="P61">
        <f>IF(B78=0,0,O61/B78)</f>
        <v/>
      </c>
      <c r="Q61" t="n">
        <v>0</v>
      </c>
      <c r="R61" t="n">
        <v>0</v>
      </c>
      <c r="S61">
        <f>IFERROR(O61/N61,0)</f>
        <v/>
      </c>
    </row>
    <row r="62">
      <c r="A62">
        <f>Skills!A28</f>
        <v/>
      </c>
      <c r="B62">
        <f>Skills!B28</f>
        <v/>
      </c>
      <c r="C62">
        <f>Inputs!$B$3&gt;=75</f>
        <v/>
      </c>
      <c r="D62">
        <f>IF(Skills!C28=1,60+Inputs!$B$24+Inputs!$B$28,IF(Skills!C28=2,90+Inputs!$B$25+Inputs!$B$28,IF(Skills!C28=3,120+Inputs!$B$26+Inputs!$B$28,MAX(0,(Inputs!$B$3-100)*3)+Inputs!$B$27+Inputs!$B$28)))</f>
        <v/>
      </c>
      <c r="E62">
        <f>INDEX(FactorTable!$B$2:$Y$301, MATCH(ROUND(MIN(300,MAX(1,D62)),0), FactorTable!$A$2:$A$301,0), Skills!M28+1)</f>
        <v/>
      </c>
      <c r="F62">
        <f>IF(Skills!N28=TRUE,(Skills!L28/10)*(E62/1000),Skills!L28/10)+Skills!O28</f>
        <v/>
      </c>
      <c r="G62">
        <f>Calc!G28</f>
        <v/>
      </c>
      <c r="H62">
        <f>Calc!H28</f>
        <v/>
      </c>
      <c r="I62">
        <f>IF(Skills!AA28&lt;&gt;"",1+(Skills!AA28/10)*(U37/1000)/100,1)</f>
        <v/>
      </c>
      <c r="J62" t="inlineStr"/>
      <c r="K62" t="inlineStr"/>
      <c r="L62" t="inlineStr"/>
      <c r="M62" t="inlineStr"/>
      <c r="N62" t="inlineStr"/>
      <c r="O62" t="n">
        <v>0</v>
      </c>
      <c r="P62">
        <f>IF(B78=0,0,O62/B78)</f>
        <v/>
      </c>
      <c r="Q62" t="n">
        <v>0</v>
      </c>
      <c r="R62" t="n">
        <v>0</v>
      </c>
      <c r="S62">
        <f>IFERROR(O62/N62,0)</f>
        <v/>
      </c>
    </row>
    <row r="63">
      <c r="A63">
        <f>Skills!A29</f>
        <v/>
      </c>
      <c r="B63">
        <f>Skills!B29</f>
        <v/>
      </c>
      <c r="C63">
        <f>Inputs!$B$3&gt;=120</f>
        <v/>
      </c>
      <c r="D63">
        <f>IF(Skills!C29=1,60+Inputs!$B$24+Inputs!$B$28,IF(Skills!C29=2,90+Inputs!$B$25+Inputs!$B$28,IF(Skills!C29=3,120+Inputs!$B$26+Inputs!$B$28,MAX(0,(Inputs!$B$3-100)*3)+Inputs!$B$27+Inputs!$B$28)))</f>
        <v/>
      </c>
      <c r="E63">
        <f>INDEX(FactorTable!$B$2:$Y$301, MATCH(ROUND(MIN(300,MAX(1,D63)),0), FactorTable!$A$2:$A$301,0), Skills!M29+1)</f>
        <v/>
      </c>
      <c r="F63">
        <f>IF(Skills!N29=TRUE,(Skills!L29/10)*(E63/1000),Skills!L29/10)+Skills!O29</f>
        <v/>
      </c>
      <c r="G63">
        <f>Calc!G29</f>
        <v/>
      </c>
      <c r="H63">
        <f>Calc!H29</f>
        <v/>
      </c>
      <c r="I63">
        <f>IF(Skills!AA29&lt;&gt;"",1+(Skills!AA29/10)*(U37/1000)/100,1)</f>
        <v/>
      </c>
      <c r="J63" t="inlineStr"/>
      <c r="K63" t="inlineStr"/>
      <c r="L63" t="inlineStr"/>
      <c r="M63" t="inlineStr"/>
      <c r="N63" t="inlineStr"/>
      <c r="O63" t="n">
        <v>0</v>
      </c>
      <c r="P63">
        <f>IF(B78=0,0,O63/B78)</f>
        <v/>
      </c>
      <c r="Q63" t="n">
        <v>0</v>
      </c>
      <c r="R63" t="n">
        <v>0</v>
      </c>
      <c r="S63">
        <f>IFERROR(O63/N63,0)</f>
        <v/>
      </c>
    </row>
    <row r="64">
      <c r="A64">
        <f>Skills!A30</f>
        <v/>
      </c>
      <c r="B64">
        <f>Skills!B30</f>
        <v/>
      </c>
      <c r="C64">
        <f>Inputs!$B$3&gt;=125</f>
        <v/>
      </c>
      <c r="D64">
        <f>IF(Skills!C30=1,60+Inputs!$B$24+Inputs!$B$28,IF(Skills!C30=2,90+Inputs!$B$25+Inputs!$B$28,IF(Skills!C30=3,120+Inputs!$B$26+Inputs!$B$28,MAX(0,(Inputs!$B$3-100)*3)+Inputs!$B$27+Inputs!$B$28)))</f>
        <v/>
      </c>
      <c r="E64">
        <f>INDEX(FactorTable!$B$2:$Y$301, MATCH(ROUND(MIN(300,MAX(1,D64)),0), FactorTable!$A$2:$A$301,0), Skills!M30+1)</f>
        <v/>
      </c>
      <c r="F64">
        <f>IF(Skills!N30=TRUE,(Skills!L30/10)*(E64/1000),Skills!L30/10)+Skills!O30</f>
        <v/>
      </c>
      <c r="G64">
        <f>Calc!G30</f>
        <v/>
      </c>
      <c r="H64">
        <f>Calc!H30</f>
        <v/>
      </c>
      <c r="I64">
        <f>IF(Skills!AA30&lt;&gt;"",1+(Skills!AA30/10)*(U37/1000)/100,1)</f>
        <v/>
      </c>
      <c r="J64" t="inlineStr"/>
      <c r="K64" t="inlineStr"/>
      <c r="L64" t="inlineStr"/>
      <c r="M64" t="inlineStr"/>
      <c r="N64" t="inlineStr"/>
      <c r="O64" t="n">
        <v>0</v>
      </c>
      <c r="P64">
        <f>IF(B78=0,0,O64/B78)</f>
        <v/>
      </c>
      <c r="Q64" t="n">
        <v>0</v>
      </c>
      <c r="R64" t="n">
        <v>0</v>
      </c>
      <c r="S64">
        <f>IFERROR(O64/N64,0)</f>
        <v/>
      </c>
    </row>
    <row r="65">
      <c r="A65">
        <f>Skills!A31</f>
        <v/>
      </c>
      <c r="B65">
        <f>Skills!B31</f>
        <v/>
      </c>
      <c r="C65">
        <f>Inputs!$B$3&gt;=107</f>
        <v/>
      </c>
      <c r="D65">
        <f>IF(Skills!C31=1,60+Inputs!$B$24+Inputs!$B$28,IF(Skills!C31=2,90+Inputs!$B$25+Inputs!$B$28,IF(Skills!C31=3,120+Inputs!$B$26+Inputs!$B$28,MAX(0,(Inputs!$B$3-100)*3)+Inputs!$B$27+Inputs!$B$28)))</f>
        <v/>
      </c>
      <c r="E65">
        <f>INDEX(FactorTable!$B$2:$Y$301, MATCH(ROUND(MIN(300,MAX(1,D65)),0), FactorTable!$A$2:$A$301,0), Skills!M31+1)</f>
        <v/>
      </c>
      <c r="F65">
        <f>IF(Skills!N31=TRUE,(Skills!L31/10)*(E65/1000),Skills!L31/10)+Skills!O31</f>
        <v/>
      </c>
      <c r="G65">
        <f>Calc!G31</f>
        <v/>
      </c>
      <c r="H65">
        <f>Calc!H31</f>
        <v/>
      </c>
      <c r="I65">
        <f>IF(Skills!AA31&lt;&gt;"",1+(Skills!AA31/10)*(U37/1000)/100,1)</f>
        <v/>
      </c>
      <c r="J65" t="inlineStr"/>
      <c r="K65" t="inlineStr"/>
      <c r="L65" t="inlineStr"/>
      <c r="M65" t="inlineStr"/>
      <c r="N65" t="inlineStr"/>
      <c r="O65" t="n">
        <v>0</v>
      </c>
      <c r="P65">
        <f>IF(B78=0,0,O65/B78)</f>
        <v/>
      </c>
      <c r="Q65" t="n">
        <v>0</v>
      </c>
      <c r="R65" t="n">
        <v>0</v>
      </c>
      <c r="S65">
        <f>IFERROR(O65/N65,0)</f>
        <v/>
      </c>
    </row>
    <row r="67">
      <c r="A67" t="inlineStr">
        <is>
          <t>Actions Per Second (pre-Adrenalin)</t>
        </is>
      </c>
      <c r="B67">
        <f>1+MIN(150,150*(1-(1-(Inputs!$B$10+((C56=TRUE)*(F56-Calc!F22)))/150)*(1-((C53=TRUE)*F53*IF(AND(Inputs!$B$4&lt;&gt;"pvp",Inputs!$B$35&gt;0),(((S53-1)*(Skills!Y19*(1+Inputs!$B$33/100))+MIN((Skills!Y19*(1+Inputs!$B$33/100)),MAX(0,Inputs!$B$35-((S53-1)*Skills!D19))))/Inputs!$B$35),IF(Inputs!$B$4="pvp",MIN((Skills!Y19*(1+Inputs!$B$33/100)),15)/15,(Skills!Y19*(1+Inputs!$B$33/100))/Skills!D19)))/150)))/100</f>
        <v/>
      </c>
    </row>
    <row r="68">
      <c r="A68" t="inlineStr">
        <is>
          <t>Alchemic Adrenaline Uptime</t>
        </is>
      </c>
      <c r="B68">
        <f>(Skills!Y6*(1+Inputs!$B$33/100))/((Skills!Y6*(1+Inputs!$B$33/100))+(5/B67))</f>
        <v/>
      </c>
    </row>
    <row r="69">
      <c r="A69" t="inlineStr">
        <is>
          <t>Attack Speed Buff Bonus %</t>
        </is>
      </c>
      <c r="B69">
        <f>((C53=TRUE)*F53*IF(AND(Inputs!$B$4&lt;&gt;"pvp",Inputs!$B$35&gt;0),(((S53-1)*(Skills!Y19*(1+Inputs!$B$33/100))+MIN((Skills!Y19*(1+Inputs!$B$33/100)),MAX(0,Inputs!$B$35-((S53-1)*Skills!D19))))/Inputs!$B$35),IF(Inputs!$B$4="pvp",MIN((Skills!Y19*(1+Inputs!$B$33/100)),15)/15,(Skills!Y19*(1+Inputs!$B$33/100))/Skills!D19)))+((C41=TRUE)*F41*B68)</f>
        <v/>
      </c>
    </row>
    <row r="70">
      <c r="A70" t="inlineStr">
        <is>
          <t>Actions Per Second (final)</t>
        </is>
      </c>
      <c r="B70">
        <f>1+MIN(150,150*(1-(1-(Inputs!$B$10+((C56=TRUE)*(F56-Calc!F22)))/150)*(1-B69/150)))/100</f>
        <v/>
      </c>
    </row>
    <row r="71">
      <c r="A71" t="inlineStr">
        <is>
          <t>Skill + Buff Cast Rate</t>
        </is>
      </c>
      <c r="B71">
        <f>IF(AND(Inputs!$B$4&lt;&gt;"pvp",Inputs!$B$35&gt;0),SUMPRODUCT((Skills!E2:E31=TRUE)*(C36:C65=TRUE)*R36:R65*Skills!F2:F31)/Inputs!$B$35,SUMPRODUCT((Skills!E2:E31=TRUE)*(C36:C65=TRUE)*Q36:Q65*Skills!F2:F31))</f>
        <v/>
      </c>
    </row>
    <row r="72">
      <c r="A72" t="inlineStr">
        <is>
          <t>Showdown Casts Per Second</t>
        </is>
      </c>
      <c r="B72">
        <f>MAX(0,B70-B71)</f>
        <v/>
      </c>
    </row>
    <row r="73">
      <c r="A73" t="inlineStr">
        <is>
          <t>Average Buff Multiplier</t>
        </is>
      </c>
      <c r="B73">
        <f>(1+(((C55=TRUE)*F55*IF(AND(Inputs!$B$4&lt;&gt;"pvp",Inputs!$B$35&gt;0),(((S55-1)*(Skills!Y21*(1+Inputs!$B$33/100))+MIN((Skills!Y21*(1+Inputs!$B$33/100)),MAX(0,Inputs!$B$35-((S55-1)*Skills!D21))))/Inputs!$B$35),IF(Inputs!$B$4="pvp",MIN((Skills!Y21*(1+Inputs!$B$33/100)),15)/15,(Skills!Y21*(1+Inputs!$B$33/100))/Skills!D21)))+((C62=TRUE)*(F62-Calc!F28))+((C52=TRUE)*(F52-Calc!F18)))/100)*(1+((C49=TRUE)*F49*IF(AND(Inputs!$B$4&lt;&gt;"pvp",Inputs!$B$35&gt;0),(((S49-1)*(Skills!Y15*(1+Inputs!$B$33/100))+MIN((Skills!Y15*(1+Inputs!$B$33/100)),MAX(0,Inputs!$B$35-((S49-1)*Skills!D15))))/Inputs!$B$35),IF(Inputs!$B$4="pvp",MIN((Skills!Y15*(1+Inputs!$B$33/100)),15)/15,(Skills!Y15*(1+Inputs!$B$33/100))/Skills!D15)))/100)*(1+((C40=TRUE)*F40*B68)/100)</f>
        <v/>
      </c>
    </row>
    <row r="74">
      <c r="A74" t="inlineStr">
        <is>
          <t>Global Crit Rate Bonus %</t>
        </is>
      </c>
      <c r="B74">
        <f>IF(Inputs!$B$3&gt;=47,8,0)+((C54=TRUE)*F54*IF(AND(Inputs!$B$4&lt;&gt;"pvp",Inputs!$B$35&gt;0),(((S54-1)*(Skills!Y20*(1+Inputs!$B$33/100))+MIN((Skills!Y20*(1+Inputs!$B$33/100)),MAX(0,Inputs!$B$35-((S54-1)*Skills!D20))))/Inputs!$B$35),IF(Inputs!$B$4="pvp",MIN((Skills!Y20*(1+Inputs!$B$33/100)),15)/15,(Skills!Y20*(1+Inputs!$B$33/100))/Skills!D20)))</f>
        <v/>
      </c>
    </row>
    <row r="75">
      <c r="A75" t="inlineStr">
        <is>
          <t>Global Monster Damage-Taken Bonus %</t>
        </is>
      </c>
      <c r="B75">
        <f>IF(Inputs!$B$3&gt;=82,15,0)+((C50=TRUE)*F50*IF(AND(Inputs!$B$4&lt;&gt;"pvp",Inputs!$B$35&gt;0),(((S50-1)*(Skills!Y16*(1+Inputs!$B$33/100))+MIN((Skills!Y16*(1+Inputs!$B$33/100)),MAX(0,Inputs!$B$35-((S50-1)*Skills!D16))))/Inputs!$B$35),IF(Inputs!$B$4="pvp",MIN((Skills!Y16*(1+Inputs!$B$33/100)),15)/15,(Skills!Y16*(1+Inputs!$B$33/100))/Skills!D16)))</f>
        <v/>
      </c>
    </row>
    <row r="76">
      <c r="A76" t="inlineStr">
        <is>
          <t>Shadow Partner Average Multiplier</t>
        </is>
      </c>
      <c r="B76">
        <f>1+((C45=TRUE)*F45*I45*Skills!J11/100)/100</f>
        <v/>
      </c>
    </row>
    <row r="77">
      <c r="A77" t="inlineStr">
        <is>
          <t>Global Critical Damage Bonus % (Frailty Curse Mastery Lv.111)</t>
        </is>
      </c>
      <c r="B77">
        <f>IF(Inputs!$B$3&gt;=111,30,0)*IF(AND(Inputs!$B$4&lt;&gt;"pvp",Inputs!$B$35&gt;0),(((S50-1)*(Skills!Y16*(1+Inputs!$B$33/100))+MIN((Skills!Y16*(1+Inputs!$B$33/100)),MAX(0,Inputs!$B$35-((S50-1)*Skills!D16))))/Inputs!$B$35),IF(Inputs!$B$4="pvp",MIN((Skills!Y16*(1+Inputs!$B$33/100)),15)/15,(Skills!Y16*(1+Inputs!$B$33/100))/Skills!D16))</f>
        <v/>
      </c>
    </row>
    <row r="78">
      <c r="A78" s="5" t="inlineStr">
        <is>
          <t>TOTAL DPS</t>
        </is>
      </c>
      <c r="B78" s="5">
        <f>SUM(O36:O65)</f>
        <v/>
      </c>
    </row>
    <row r="81">
      <c r="A81" s="5" t="inlineStr">
        <is>
          <t>Stat: LUK %</t>
        </is>
      </c>
    </row>
    <row r="82">
      <c r="A82" s="8" t="inlineStr">
        <is>
          <t>Key</t>
        </is>
      </c>
      <c r="B82" s="8" t="inlineStr">
        <is>
          <t>Name</t>
        </is>
      </c>
      <c r="C82" s="8" t="inlineStr">
        <is>
          <t>Unlocked</t>
        </is>
      </c>
      <c r="D82" s="8" t="inlineStr">
        <is>
          <t>InputLevel</t>
        </is>
      </c>
      <c r="E82" s="8" t="inlineStr">
        <is>
          <t>Factor</t>
        </is>
      </c>
      <c r="F82" s="8" t="inlineStr">
        <is>
          <t>CoefficientPercent</t>
        </is>
      </c>
      <c r="G82" s="8" t="inlineStr">
        <is>
          <t>EffectiveHits</t>
        </is>
      </c>
      <c r="H82" s="8" t="inlineStr">
        <is>
          <t>ProcProbability</t>
        </is>
      </c>
      <c r="I82" s="8" t="inlineStr">
        <is>
          <t>MapleHeroMultiplier</t>
        </is>
      </c>
      <c r="J82" s="8" t="inlineStr">
        <is>
          <t>BaseDamage</t>
        </is>
      </c>
      <c r="K82" s="8" t="inlineStr">
        <is>
          <t>BaseHitDamage</t>
        </is>
      </c>
      <c r="L82" s="8" t="inlineStr">
        <is>
          <t>NonCritAvg</t>
        </is>
      </c>
      <c r="M82" s="8" t="inlineStr">
        <is>
          <t>CritAvg</t>
        </is>
      </c>
      <c r="N82" s="8" t="inlineStr">
        <is>
          <t>ExpectedDamage(perHit)</t>
        </is>
      </c>
      <c r="O82" s="8" t="inlineStr">
        <is>
          <t>DPS</t>
        </is>
      </c>
      <c r="P82" s="8" t="inlineStr">
        <is>
          <t>% of Total</t>
        </is>
      </c>
      <c r="Q82" s="8" t="inlineStr">
        <is>
          <t>InvCooldown</t>
        </is>
      </c>
      <c r="R82" s="8" t="inlineStr">
        <is>
          <t>CastsInFight</t>
        </is>
      </c>
      <c r="S82" s="8" t="inlineStr">
        <is>
          <t>HitRate(perSec)</t>
        </is>
      </c>
      <c r="U82" t="inlineStr">
        <is>
          <t>helpers</t>
        </is>
      </c>
    </row>
    <row r="83">
      <c r="A83">
        <f>Skills!A2</f>
        <v/>
      </c>
      <c r="B83">
        <f>Skills!B2</f>
        <v/>
      </c>
      <c r="C83">
        <f>Inputs!$B$3&gt;=100</f>
        <v/>
      </c>
      <c r="D83" t="inlineStr"/>
      <c r="E83" t="inlineStr"/>
      <c r="F83">
        <f>U87+Skills!O2</f>
        <v/>
      </c>
      <c r="G83">
        <f>Calc!G2</f>
        <v/>
      </c>
      <c r="H83">
        <f>Calc!H2</f>
        <v/>
      </c>
      <c r="I83">
        <f>IF(Skills!AA2&lt;&gt;"",1+(Skills!AA2/10)*(U84/1000)/100,1)</f>
        <v/>
      </c>
      <c r="J83">
        <f>(Inputs!$B$5*(1+Inputs!$B$6/100))*(F83/100)</f>
        <v/>
      </c>
      <c r="K83">
        <f>J83*(1+((Inputs!$B$11*(1+(Inputs!$B$12+1)/100))*0.01+Inputs!$B$13*0.0025)/100)*(1+Inputs!$B$14/100)*(1+IF(Inputs!$B$4="pvp",0,(1-Summary!$B$55)*(Inputs!$B$19+((C108=TRUE)*(F108-Calc!F27))+Skills!P2+B122)+Summary!$B$55*(Inputs!$B$20+Skills!Q2+B122))/100)*(1+Inputs!$B$15/100)*(5000/(6000+Inputs!$B$7*(1-Inputs!$B$18/100)))*(1+(Inputs!$B$23+((C111=TRUE)*(F111-Calc!F30)))/100)*(1+Skills!R2/100)*(1+(IF(Skills!A2="SHOWDOWN",Inputs!$B$16+((C104=TRUE)*(F104-Calc!F23)),Inputs!$B$17+((C110=TRUE)*(F110-Calc!F29))))/100)*(((1+(((C102=TRUE)*F102*IF(AND(Inputs!$B$4&lt;&gt;"pvp",Inputs!$B$35&gt;0),(((S102-1)*(Skills!Y21*(1+Inputs!$B$33/100))+MIN((Skills!Y21*(1+Inputs!$B$33/100)),MAX(0,Inputs!$B$35-((S102-1)*Skills!D21))))/Inputs!$B$35),IF(Inputs!$B$4="pvp",MIN((Skills!Y21*(1+Inputs!$B$33/100)),15)/15,(Skills!Y21*(1+Inputs!$B$33/100))/Skills!D21)))+((C109=TRUE)*(F109-Calc!F28))+((C99=TRUE)*(F99-Calc!F18)))/100)*(1+((C96=TRUE)*F96*IF(AND(Inputs!$B$4&lt;&gt;"pvp",Inputs!$B$35&gt;0),(((S96-1)*(Skills!Y15*(1+Inputs!$B$33/100))+MIN((Skills!Y15*(1+Inputs!$B$33/100)),MAX(0,Inputs!$B$35-((S96-1)*Skills!D15))))/Inputs!$B$35),IF(Inputs!$B$4="pvp",MIN((Skills!Y15*(1+Inputs!$B$33/100)),15)/15,(Skills!Y15*(1+Inputs!$B$33/100))/Skills!D15)))/100)*(1+((C87=TRUE)*F87*B115)/100))*B123*I83)</f>
        <v/>
      </c>
      <c r="L83">
        <f>K83*(MIN(Inputs!$B$21+((C105=TRUE)*(F105-Calc!F24)),Inputs!$B$22)/100+Inputs!$B$22/100)/2</f>
        <v/>
      </c>
      <c r="M83">
        <f>L83*(1+(Inputs!$B$9+((C107=TRUE)*(F107-Calc!F26))+B124)/100)</f>
        <v/>
      </c>
      <c r="N83">
        <f>L83*(1-MIN((Inputs!$B$8+((C106=TRUE)*(F106-Calc!F25))+B121),100)/100)+M83*(MIN((Inputs!$B$8+((C106=TRUE)*(F106-Calc!F25))+B121),100)/100)</f>
        <v/>
      </c>
      <c r="O83">
        <f>IF(C83,Skills!G2*N83*B119*IF(Inputs!$B$4="pvp",1,(1-Summary!$B$55)*(1)+Summary!$B$55*(MIN((6+Inputs!$B$32),Inputs!$B$37))),0)</f>
        <v/>
      </c>
      <c r="P83">
        <f>IF(B125=0,0,O83/B125)</f>
        <v/>
      </c>
      <c r="Q83" t="n">
        <v>0</v>
      </c>
      <c r="R83" t="n">
        <v>0</v>
      </c>
      <c r="S83">
        <f>IFERROR(O83/N83,0)</f>
        <v/>
      </c>
      <c r="U83">
        <f>MAX(0,(Inputs!$B$3-100)*3)+Inputs!$B$27+Inputs!$B$28</f>
        <v/>
      </c>
    </row>
    <row r="84">
      <c r="A84">
        <f>Skills!A3</f>
        <v/>
      </c>
      <c r="B84">
        <f>Skills!B3</f>
        <v/>
      </c>
      <c r="C84">
        <f>Inputs!$B$3&gt;=35</f>
        <v/>
      </c>
      <c r="D84">
        <f>IF(Skills!C3=1,60+Inputs!$B$24+Inputs!$B$28,IF(Skills!C3=2,90+Inputs!$B$25+Inputs!$B$28,IF(Skills!C3=3,120+Inputs!$B$26+Inputs!$B$28,MAX(0,(Inputs!$B$3-100)*3)+Inputs!$B$27+Inputs!$B$28)))</f>
        <v/>
      </c>
      <c r="E84">
        <f>INDEX(FactorTable!$B$2:$Y$301, MATCH(ROUND(MIN(300,MAX(1,D84)),0), FactorTable!$A$2:$A$301,0), Skills!M3+1)</f>
        <v/>
      </c>
      <c r="F84">
        <f>IF(Skills!N3=TRUE,(Skills!L3/10)*(E84/1000),Skills!L3/10)+Skills!O3</f>
        <v/>
      </c>
      <c r="G84">
        <f>Calc!G3</f>
        <v/>
      </c>
      <c r="H84">
        <f>Calc!H3</f>
        <v/>
      </c>
      <c r="I84">
        <f>IF(Skills!AA3&lt;&gt;"",1+(Skills!AA3/10)*(U84/1000)/100,1)</f>
        <v/>
      </c>
      <c r="J84">
        <f>(Inputs!$B$5*(1+Inputs!$B$6/100))*(F84/100)</f>
        <v/>
      </c>
      <c r="K84">
        <f>J84*(1+((Inputs!$B$11*(1+(Inputs!$B$12+1)/100))*0.01+Inputs!$B$13*0.0025)/100)*(1+Inputs!$B$14/100)*(1+IF(Inputs!$B$4="pvp",0,(1-Summary!$B$55)*(Inputs!$B$19+((C108=TRUE)*(F108-Calc!F27))+Skills!P3+B122)+Summary!$B$55*(Inputs!$B$20+Skills!Q3+B122))/100)*(1+Inputs!$B$15/100)*(5000/(6000+Inputs!$B$7*(1-Inputs!$B$18/100)))*(1+(Inputs!$B$23+((C111=TRUE)*(F111-Calc!F30)))/100)*(1+Skills!R3/100)*(1+(IF(Skills!A3="SHOWDOWN",Inputs!$B$16+((C104=TRUE)*(F104-Calc!F23)),Inputs!$B$17+((C110=TRUE)*(F110-Calc!F29))))/100)*(((1+(((C102=TRUE)*F102*IF(AND(Inputs!$B$4&lt;&gt;"pvp",Inputs!$B$35&gt;0),(((S102-1)*(Skills!Y21*(1+Inputs!$B$33/100))+MIN((Skills!Y21*(1+Inputs!$B$33/100)),MAX(0,Inputs!$B$35-((S102-1)*Skills!D21))))/Inputs!$B$35),IF(Inputs!$B$4="pvp",MIN((Skills!Y21*(1+Inputs!$B$33/100)),15)/15,(Skills!Y21*(1+Inputs!$B$33/100))/Skills!D21)))+((C109=TRUE)*(F109-Calc!F28))+((C99=TRUE)*(F99-Calc!F18)))/100)*(1+((C96=TRUE)*F96*IF(AND(Inputs!$B$4&lt;&gt;"pvp",Inputs!$B$35&gt;0),(((S96-1)*(Skills!Y15*(1+Inputs!$B$33/100))+MIN((Skills!Y15*(1+Inputs!$B$33/100)),MAX(0,Inputs!$B$35-((S96-1)*Skills!D15))))/Inputs!$B$35),IF(Inputs!$B$4="pvp",MIN((Skills!Y15*(1+Inputs!$B$33/100)),15)/15,(Skills!Y15*(1+Inputs!$B$33/100))/Skills!D15)))/100)*(1+((C87=TRUE)*F87*B115)/100))*B123*I84)</f>
        <v/>
      </c>
      <c r="L84">
        <f>K84*(MIN(Inputs!$B$21+((C105=TRUE)*(F105-Calc!F24)),Inputs!$B$22)/100+Inputs!$B$22/100)/2</f>
        <v/>
      </c>
      <c r="M84">
        <f>L84*(1+(Inputs!$B$9+((C107=TRUE)*(F107-Calc!F26))+B124)/100)</f>
        <v/>
      </c>
      <c r="N84">
        <f>L84*(1-MIN((Inputs!$B$8+((C106=TRUE)*(F106-Calc!F25))+B121),100)/100)+M84*(MIN((Inputs!$B$8+((C106=TRUE)*(F106-Calc!F25))+B121),100)/100)</f>
        <v/>
      </c>
      <c r="O84">
        <f>IF(C84,H84*N84*IF(AND(Inputs!$B$4&lt;&gt;"pvp",Inputs!$B$35&gt;0),((Skills!G3*((R84-1)*IF(Skills!H3&gt;0,Skills!I3/Skills!H3,1)+IF(Skills!H3&gt;0,MIN(Skills!I3,MAX(0,Inputs!$B$35-((R84-1)*IF(Inputs!$B$4="pvp",15,MAX(0.1,Skills!D3-IF(Skills!E3=TRUE,Inputs!$B$31,0))))))/Skills!H3,1)))/Inputs!$B$35),G84*Q84)*IF(Inputs!$B$4="pvp",1,(1-Summary!$B$55)*(1)+Summary!$B$55*(MIN(Skills!W3,Inputs!$B$37))),0)</f>
        <v/>
      </c>
      <c r="P84">
        <f>IF(B125=0,0,O84/B125)</f>
        <v/>
      </c>
      <c r="Q84">
        <f>IFERROR(1/IF(Inputs!$B$4="pvp",15,MAX(0.1,Skills!D3-IF(Skills!E3=TRUE,Inputs!$B$31,0))),0)</f>
        <v/>
      </c>
      <c r="R84">
        <f>IF(AND(Inputs!$B$4&lt;&gt;"pvp",Inputs!$B$35&gt;0),(INT(Inputs!$B$35/IF(Inputs!$B$4="pvp",15,MAX(0.1,Skills!D3-IF(Skills!E3=TRUE,Inputs!$B$31,0))))+1),0)</f>
        <v/>
      </c>
      <c r="S84">
        <f>IFERROR(O84/N84,0)</f>
        <v/>
      </c>
      <c r="U84">
        <f>INDEX(FactorTable!$B$2:$Y$301, MATCH(ROUND(MIN(300,MAX(1,U83)),0), FactorTable!$A$2:$A$301,0), 24)</f>
        <v/>
      </c>
    </row>
    <row r="85">
      <c r="A85">
        <f>Skills!A4</f>
        <v/>
      </c>
      <c r="B85">
        <f>Skills!B4</f>
        <v/>
      </c>
      <c r="C85">
        <f>Inputs!$B$3&gt;=40</f>
        <v/>
      </c>
      <c r="D85">
        <f>IF(Skills!C4=1,60+Inputs!$B$24+Inputs!$B$28,IF(Skills!C4=2,90+Inputs!$B$25+Inputs!$B$28,IF(Skills!C4=3,120+Inputs!$B$26+Inputs!$B$28,MAX(0,(Inputs!$B$3-100)*3)+Inputs!$B$27+Inputs!$B$28)))</f>
        <v/>
      </c>
      <c r="E85">
        <f>INDEX(FactorTable!$B$2:$Y$301, MATCH(ROUND(MIN(300,MAX(1,D85)),0), FactorTable!$A$2:$A$301,0), Skills!M4+1)</f>
        <v/>
      </c>
      <c r="F85">
        <f>IF(Skills!N4=TRUE,(Skills!L4/10)*(E85/1000),Skills!L4/10)+Skills!O4</f>
        <v/>
      </c>
      <c r="G85">
        <f>Calc!G4</f>
        <v/>
      </c>
      <c r="H85">
        <f>Calc!H4</f>
        <v/>
      </c>
      <c r="I85">
        <f>IF(Skills!AA4&lt;&gt;"",1+(Skills!AA4/10)*(U84/1000)/100,1)</f>
        <v/>
      </c>
      <c r="J85">
        <f>(Inputs!$B$5*(1+Inputs!$B$6/100))*(F85/100)</f>
        <v/>
      </c>
      <c r="K85">
        <f>J85*(1+((Inputs!$B$11*(1+(Inputs!$B$12+1)/100))*0.01+Inputs!$B$13*0.0025)/100)*(1+Inputs!$B$14/100)*(1+IF(Inputs!$B$4="pvp",0,(1-Summary!$B$55)*(Inputs!$B$19+((C108=TRUE)*(F108-Calc!F27))+Skills!P4+B122)+Summary!$B$55*(Inputs!$B$20+Skills!Q4+B122))/100)*(1+Inputs!$B$15/100)*(5000/(6000+Inputs!$B$7*(1-Inputs!$B$18/100)))*(1+(Inputs!$B$23+((C111=TRUE)*(F111-Calc!F30)))/100)*(1+Skills!R4/100)*(1+(IF(Skills!A4="SHOWDOWN",Inputs!$B$16+((C104=TRUE)*(F104-Calc!F23)),Inputs!$B$17+((C110=TRUE)*(F110-Calc!F29))))/100)*(((1+(((C102=TRUE)*F102*IF(AND(Inputs!$B$4&lt;&gt;"pvp",Inputs!$B$35&gt;0),(((S102-1)*(Skills!Y21*(1+Inputs!$B$33/100))+MIN((Skills!Y21*(1+Inputs!$B$33/100)),MAX(0,Inputs!$B$35-((S102-1)*Skills!D21))))/Inputs!$B$35),IF(Inputs!$B$4="pvp",MIN((Skills!Y21*(1+Inputs!$B$33/100)),15)/15,(Skills!Y21*(1+Inputs!$B$33/100))/Skills!D21)))+((C109=TRUE)*(F109-Calc!F28))+((C99=TRUE)*(F99-Calc!F18)))/100)*(1+((C96=TRUE)*F96*IF(AND(Inputs!$B$4&lt;&gt;"pvp",Inputs!$B$35&gt;0),(((S96-1)*(Skills!Y15*(1+Inputs!$B$33/100))+MIN((Skills!Y15*(1+Inputs!$B$33/100)),MAX(0,Inputs!$B$35-((S96-1)*Skills!D15))))/Inputs!$B$35),IF(Inputs!$B$4="pvp",MIN((Skills!Y15*(1+Inputs!$B$33/100)),15)/15,(Skills!Y15*(1+Inputs!$B$33/100))/Skills!D15)))/100)*(1+((C87=TRUE)*F87*B115)/100))*B123*I85)</f>
        <v/>
      </c>
      <c r="L85">
        <f>K85*(MIN(Inputs!$B$21+((C105=TRUE)*(F105-Calc!F24)),Inputs!$B$22)/100+Inputs!$B$22/100)/2</f>
        <v/>
      </c>
      <c r="M85">
        <f>L85*(1+(Inputs!$B$9+((C107=TRUE)*(F107-Calc!F26))+B124)/100)</f>
        <v/>
      </c>
      <c r="N85">
        <f>L85*(1-MIN((Inputs!$B$8+((C106=TRUE)*(F106-Calc!F25))+B121),100)/100)+M85*(MIN((Inputs!$B$8+((C106=TRUE)*(F106-Calc!F25))+B121),100)/100)</f>
        <v/>
      </c>
      <c r="O85">
        <f>IF(C85,H85*N85*IF(AND(Inputs!$B$4&lt;&gt;"pvp",Inputs!$B$35&gt;0),((Skills!G4*((R85-1)*IF(Skills!H4&gt;0,Skills!I4/Skills!H4,1)+IF(Skills!H4&gt;0,MIN(Skills!I4,MAX(0,Inputs!$B$35-((R85-1)*IF(Inputs!$B$4="pvp",15,MAX(0.1,Skills!D4-IF(Skills!E4=TRUE,Inputs!$B$31,0))))))/Skills!H4,1)))/Inputs!$B$35),G85*Q85)*IF(Inputs!$B$4="pvp",1,(1-Summary!$B$55)*(1)+Summary!$B$55*(MIN(Skills!W4,Inputs!$B$37))),0)</f>
        <v/>
      </c>
      <c r="P85">
        <f>IF(B125=0,0,O85/B125)</f>
        <v/>
      </c>
      <c r="Q85">
        <f>IFERROR(1/IF(Inputs!$B$4="pvp",15,MAX(0.1,Skills!D4-IF(Skills!E4=TRUE,Inputs!$B$31,0))),0)</f>
        <v/>
      </c>
      <c r="R85">
        <f>IF(AND(Inputs!$B$4&lt;&gt;"pvp",Inputs!$B$35&gt;0),(INT(Inputs!$B$35/IF(Inputs!$B$4="pvp",15,MAX(0.1,Skills!D4-IF(Skills!E4=TRUE,Inputs!$B$31,0))))+1),0)</f>
        <v/>
      </c>
      <c r="S85">
        <f>IFERROR(O85/N85,0)</f>
        <v/>
      </c>
      <c r="U85">
        <f>MAX(0,(Inputs!$B$3-100)*3)+Inputs!$B$27+Inputs!$B$28</f>
        <v/>
      </c>
    </row>
    <row r="86">
      <c r="A86">
        <f>Skills!A5</f>
        <v/>
      </c>
      <c r="B86">
        <f>Skills!B5</f>
        <v/>
      </c>
      <c r="C86">
        <f>Inputs!$B$3&gt;=63</f>
        <v/>
      </c>
      <c r="D86">
        <f>IF(Skills!C5=1,60+Inputs!$B$24+Inputs!$B$28,IF(Skills!C5=2,90+Inputs!$B$25+Inputs!$B$28,IF(Skills!C5=3,120+Inputs!$B$26+Inputs!$B$28,MAX(0,(Inputs!$B$3-100)*3)+Inputs!$B$27+Inputs!$B$28)))</f>
        <v/>
      </c>
      <c r="E86">
        <f>INDEX(FactorTable!$B$2:$Y$301, MATCH(ROUND(MIN(300,MAX(1,D86)),0), FactorTable!$A$2:$A$301,0), Skills!M5+1)</f>
        <v/>
      </c>
      <c r="F86">
        <f>IF(Skills!N5=TRUE,(Skills!L5/10)*(E86/1000),Skills!L5/10)+Skills!O5</f>
        <v/>
      </c>
      <c r="G86">
        <f>Calc!G5</f>
        <v/>
      </c>
      <c r="H86">
        <f>Calc!H5</f>
        <v/>
      </c>
      <c r="I86">
        <f>IF(Skills!AA5&lt;&gt;"",1+(Skills!AA5/10)*(U84/1000)/100,1)</f>
        <v/>
      </c>
      <c r="J86">
        <f>(Inputs!$B$5*(1+Inputs!$B$6/100))*(F86/100)</f>
        <v/>
      </c>
      <c r="K86">
        <f>J86*(1+((Inputs!$B$11*(1+(Inputs!$B$12+1)/100))*0.01+Inputs!$B$13*0.0025)/100)*(1+Inputs!$B$14/100)*(1+IF(Inputs!$B$4="pvp",0,(1-Summary!$B$55)*(Inputs!$B$19+((C108=TRUE)*(F108-Calc!F27))+Skills!P5+B122)+Summary!$B$55*(Inputs!$B$20+Skills!Q5+B122))/100)*(1+Inputs!$B$15/100)*(5000/(6000+Inputs!$B$7*(1-Inputs!$B$18/100)))*(1+(Inputs!$B$23+((C111=TRUE)*(F111-Calc!F30)))/100)*(1+Skills!R5/100)*(1+(IF(Skills!A5="SHOWDOWN",Inputs!$B$16+((C104=TRUE)*(F104-Calc!F23)),Inputs!$B$17+((C110=TRUE)*(F110-Calc!F29))))/100)*(((1+(((C102=TRUE)*F102*IF(AND(Inputs!$B$4&lt;&gt;"pvp",Inputs!$B$35&gt;0),(((S102-1)*(Skills!Y21*(1+Inputs!$B$33/100))+MIN((Skills!Y21*(1+Inputs!$B$33/100)),MAX(0,Inputs!$B$35-((S102-1)*Skills!D21))))/Inputs!$B$35),IF(Inputs!$B$4="pvp",MIN((Skills!Y21*(1+Inputs!$B$33/100)),15)/15,(Skills!Y21*(1+Inputs!$B$33/100))/Skills!D21)))+((C109=TRUE)*(F109-Calc!F28))+((C99=TRUE)*(F99-Calc!F18)))/100)*(1+((C96=TRUE)*F96*IF(AND(Inputs!$B$4&lt;&gt;"pvp",Inputs!$B$35&gt;0),(((S96-1)*(Skills!Y15*(1+Inputs!$B$33/100))+MIN((Skills!Y15*(1+Inputs!$B$33/100)),MAX(0,Inputs!$B$35-((S96-1)*Skills!D15))))/Inputs!$B$35),IF(Inputs!$B$4="pvp",MIN((Skills!Y15*(1+Inputs!$B$33/100)),15)/15,(Skills!Y15*(1+Inputs!$B$33/100))/Skills!D15)))/100)*(1+((C87=TRUE)*F87*B115)/100))*B123*I86)</f>
        <v/>
      </c>
      <c r="L86">
        <f>K86*(MIN(Inputs!$B$21+((C105=TRUE)*(F105-Calc!F24)),Inputs!$B$22)/100+Inputs!$B$22/100)/2</f>
        <v/>
      </c>
      <c r="M86">
        <f>L86*(1+(Inputs!$B$9+((C107=TRUE)*(F107-Calc!F26))+B124)/100)</f>
        <v/>
      </c>
      <c r="N86">
        <f>L86*(1-MIN((Inputs!$B$8+((C106=TRUE)*(F106-Calc!F25))+B121),100)/100)+M86*(MIN((Inputs!$B$8+((C106=TRUE)*(F106-Calc!F25))+B121),100)/100)</f>
        <v/>
      </c>
      <c r="O86">
        <f>IF(C86,H86*N86*IF(AND(Inputs!$B$4&lt;&gt;"pvp",Inputs!$B$35&gt;0),((Skills!G5*((R86-1)*IF(Skills!H5&gt;0,Skills!I5/Skills!H5,1)+IF(Skills!H5&gt;0,MIN(Skills!I5,MAX(0,Inputs!$B$35-((R86-1)*IF(Inputs!$B$4="pvp",15,MAX(0.1,Skills!D5-IF(Skills!E5=TRUE,Inputs!$B$31,0))))))/Skills!H5,1)))/Inputs!$B$35),G86*Q86)*IF(Inputs!$B$4="pvp",1,(1-Summary!$B$55)*(1)+Summary!$B$55*(MIN(Skills!W5,Inputs!$B$37))),0)</f>
        <v/>
      </c>
      <c r="P86">
        <f>IF(B125=0,0,O86/B125)</f>
        <v/>
      </c>
      <c r="Q86">
        <f>IFERROR(1/IF(Inputs!$B$4="pvp",15,MAX(0.1,Skills!D5-IF(Skills!E5=TRUE,Inputs!$B$31,0))),0)</f>
        <v/>
      </c>
      <c r="R86">
        <f>IF(AND(Inputs!$B$4&lt;&gt;"pvp",Inputs!$B$35&gt;0),(INT(Inputs!$B$35/IF(Inputs!$B$4="pvp",15,MAX(0.1,Skills!D5-IF(Skills!E5=TRUE,Inputs!$B$31,0))))+1),0)</f>
        <v/>
      </c>
      <c r="S86">
        <f>IFERROR(O86/N86,0)</f>
        <v/>
      </c>
      <c r="U86">
        <f>INDEX(FactorTable!$B$2:$Y$301, MATCH(ROUND(MIN(300,MAX(1,U85)),0), FactorTable!$A$2:$A$301,0), 22)</f>
        <v/>
      </c>
    </row>
    <row r="87">
      <c r="A87">
        <f>Skills!A6</f>
        <v/>
      </c>
      <c r="B87">
        <f>Skills!B6</f>
        <v/>
      </c>
      <c r="C87">
        <f>Inputs!$B$3&gt;=66</f>
        <v/>
      </c>
      <c r="D87">
        <f>IF(Skills!C6=1,60+Inputs!$B$24+Inputs!$B$28,IF(Skills!C6=2,90+Inputs!$B$25+Inputs!$B$28,IF(Skills!C6=3,120+Inputs!$B$26+Inputs!$B$28,MAX(0,(Inputs!$B$3-100)*3)+Inputs!$B$27+Inputs!$B$28)))</f>
        <v/>
      </c>
      <c r="E87">
        <f>INDEX(FactorTable!$B$2:$Y$301, MATCH(ROUND(MIN(300,MAX(1,D87)),0), FactorTable!$A$2:$A$301,0), Skills!M6+1)</f>
        <v/>
      </c>
      <c r="F87">
        <f>IF(Skills!N6=TRUE,(Skills!L6/10)*(E87/1000),Skills!L6/10)+Skills!O6</f>
        <v/>
      </c>
      <c r="G87">
        <f>Calc!G6</f>
        <v/>
      </c>
      <c r="H87">
        <f>Calc!H6</f>
        <v/>
      </c>
      <c r="I87">
        <f>IF(Skills!AA6&lt;&gt;"",1+(Skills!AA6/10)*(U84/1000)/100,1)</f>
        <v/>
      </c>
      <c r="J87" t="inlineStr"/>
      <c r="K87" t="inlineStr"/>
      <c r="L87" t="inlineStr"/>
      <c r="M87" t="inlineStr"/>
      <c r="N87" t="inlineStr"/>
      <c r="O87" t="n">
        <v>0</v>
      </c>
      <c r="P87">
        <f>IF(B125=0,0,O87/B125)</f>
        <v/>
      </c>
      <c r="Q87" t="n">
        <v>0</v>
      </c>
      <c r="R87" t="n">
        <v>0</v>
      </c>
      <c r="S87">
        <f>IFERROR(O87/N87,0)</f>
        <v/>
      </c>
      <c r="U87">
        <f>290*U86/1000</f>
        <v/>
      </c>
    </row>
    <row r="88">
      <c r="A88">
        <f>Skills!A7</f>
        <v/>
      </c>
      <c r="B88">
        <f>Skills!B7</f>
        <v/>
      </c>
      <c r="C88">
        <f>Inputs!$B$3&gt;=66</f>
        <v/>
      </c>
      <c r="D88">
        <f>IF(Skills!C7=1,60+Inputs!$B$24+Inputs!$B$28,IF(Skills!C7=2,90+Inputs!$B$25+Inputs!$B$28,IF(Skills!C7=3,120+Inputs!$B$26+Inputs!$B$28,MAX(0,(Inputs!$B$3-100)*3)+Inputs!$B$27+Inputs!$B$28)))</f>
        <v/>
      </c>
      <c r="E88">
        <f>INDEX(FactorTable!$B$2:$Y$301, MATCH(ROUND(MIN(300,MAX(1,D88)),0), FactorTable!$A$2:$A$301,0), Skills!M7+1)</f>
        <v/>
      </c>
      <c r="F88">
        <f>IF(Skills!N7=TRUE,(Skills!L7/10)*(E88/1000),Skills!L7/10)+Skills!O7</f>
        <v/>
      </c>
      <c r="G88">
        <f>Calc!G7</f>
        <v/>
      </c>
      <c r="H88">
        <f>Calc!H7</f>
        <v/>
      </c>
      <c r="I88">
        <f>IF(Skills!AA7&lt;&gt;"",1+(Skills!AA7/10)*(U84/1000)/100,1)</f>
        <v/>
      </c>
      <c r="J88" t="inlineStr"/>
      <c r="K88" t="inlineStr"/>
      <c r="L88" t="inlineStr"/>
      <c r="M88" t="inlineStr"/>
      <c r="N88" t="inlineStr"/>
      <c r="O88" t="n">
        <v>0</v>
      </c>
      <c r="P88">
        <f>IF(B125=0,0,O88/B125)</f>
        <v/>
      </c>
      <c r="Q88" t="n">
        <v>0</v>
      </c>
      <c r="R88" t="n">
        <v>0</v>
      </c>
      <c r="S88">
        <f>IFERROR(O88/N88,0)</f>
        <v/>
      </c>
    </row>
    <row r="89">
      <c r="A89">
        <f>Skills!A8</f>
        <v/>
      </c>
      <c r="B89">
        <f>Skills!B8</f>
        <v/>
      </c>
      <c r="C89">
        <f>Inputs!$B$3&gt;=69</f>
        <v/>
      </c>
      <c r="D89">
        <f>IF(Skills!C8=1,60+Inputs!$B$24+Inputs!$B$28,IF(Skills!C8=2,90+Inputs!$B$25+Inputs!$B$28,IF(Skills!C8=3,120+Inputs!$B$26+Inputs!$B$28,MAX(0,(Inputs!$B$3-100)*3)+Inputs!$B$27+Inputs!$B$28)))</f>
        <v/>
      </c>
      <c r="E89">
        <f>INDEX(FactorTable!$B$2:$Y$301, MATCH(ROUND(MIN(300,MAX(1,D89)),0), FactorTable!$A$2:$A$301,0), Skills!M8+1)</f>
        <v/>
      </c>
      <c r="F89">
        <f>IF(Skills!N8=TRUE,(Skills!L8/10)*(E89/1000),Skills!L8/10)+Skills!O8</f>
        <v/>
      </c>
      <c r="G89">
        <f>Calc!G8</f>
        <v/>
      </c>
      <c r="H89">
        <f>Calc!H8</f>
        <v/>
      </c>
      <c r="I89">
        <f>IF(Skills!AA8&lt;&gt;"",1+(Skills!AA8/10)*(U84/1000)/100,1)</f>
        <v/>
      </c>
      <c r="J89">
        <f>(Inputs!$B$5*(1+Inputs!$B$6/100))*(F89/100)</f>
        <v/>
      </c>
      <c r="K89">
        <f>J89*(1+((Inputs!$B$11*(1+(Inputs!$B$12+1)/100))*0.01+Inputs!$B$13*0.0025)/100)*(1+Inputs!$B$14/100)*(1+IF(Inputs!$B$4="pvp",0,(1-Summary!$B$55)*(Inputs!$B$19+((C108=TRUE)*(F108-Calc!F27))+Skills!P8+B122)+Summary!$B$55*(Inputs!$B$20+Skills!Q8+B122))/100)*(1+Inputs!$B$15/100)*(5000/(6000+Inputs!$B$7*(1-Inputs!$B$18/100)))*(1+(Inputs!$B$23+((C111=TRUE)*(F111-Calc!F30)))/100)*(1+Skills!R8/100)*(1+(IF(Skills!A8="SHOWDOWN",Inputs!$B$16+((C104=TRUE)*(F104-Calc!F23)),Inputs!$B$17+((C110=TRUE)*(F110-Calc!F29))))/100)*(((1+(((C102=TRUE)*F102*IF(AND(Inputs!$B$4&lt;&gt;"pvp",Inputs!$B$35&gt;0),(((S102-1)*(Skills!Y21*(1+Inputs!$B$33/100))+MIN((Skills!Y21*(1+Inputs!$B$33/100)),MAX(0,Inputs!$B$35-((S102-1)*Skills!D21))))/Inputs!$B$35),IF(Inputs!$B$4="pvp",MIN((Skills!Y21*(1+Inputs!$B$33/100)),15)/15,(Skills!Y21*(1+Inputs!$B$33/100))/Skills!D21)))+((C109=TRUE)*(F109-Calc!F28))+((C99=TRUE)*(F99-Calc!F18)))/100)*(1+((C96=TRUE)*F96*IF(AND(Inputs!$B$4&lt;&gt;"pvp",Inputs!$B$35&gt;0),(((S96-1)*(Skills!Y15*(1+Inputs!$B$33/100))+MIN((Skills!Y15*(1+Inputs!$B$33/100)),MAX(0,Inputs!$B$35-((S96-1)*Skills!D15))))/Inputs!$B$35),IF(Inputs!$B$4="pvp",MIN((Skills!Y15*(1+Inputs!$B$33/100)),15)/15,(Skills!Y15*(1+Inputs!$B$33/100))/Skills!D15)))/100)*(1+((C87=TRUE)*F87*B115)/100))*B123*I89)</f>
        <v/>
      </c>
      <c r="L89">
        <f>K89*(MIN(Inputs!$B$21+((C105=TRUE)*(F105-Calc!F24)),Inputs!$B$22)/100+Inputs!$B$22/100)/2</f>
        <v/>
      </c>
      <c r="M89">
        <f>L89*(1+(Inputs!$B$9+((C107=TRUE)*(F107-Calc!F26))+B124)/100)</f>
        <v/>
      </c>
      <c r="N89">
        <f>L89*(1-MIN((Inputs!$B$8+((C106=TRUE)*(F106-Calc!F25))+B121),100)/100)+M89*(MIN((Inputs!$B$8+((C106=TRUE)*(F106-Calc!F25))+B121),100)/100)</f>
        <v/>
      </c>
      <c r="O89">
        <f>IF(C89,H89*N89*IF(AND(Inputs!$B$4&lt;&gt;"pvp",Inputs!$B$35&gt;0),((Skills!G8*((R89-1)*IF(Skills!H8&gt;0,Skills!I8/Skills!H8,1)+IF(Skills!H8&gt;0,MIN(Skills!I8,MAX(0,Inputs!$B$35-((R89-1)*IF(Inputs!$B$4="pvp",15,MAX(0.1,Skills!D8-IF(Skills!E8=TRUE,Inputs!$B$31,0))))))/Skills!H8,1)))/Inputs!$B$35),G89*Q89)*IF(Inputs!$B$4="pvp",1,(1-Summary!$B$55)*(1)+Summary!$B$55*(MIN(Skills!W8,Inputs!$B$37))),0)</f>
        <v/>
      </c>
      <c r="P89">
        <f>IF(B125=0,0,O89/B125)</f>
        <v/>
      </c>
      <c r="Q89">
        <f>IFERROR(1/IF(Inputs!$B$4="pvp",15,MAX(0.1,Skills!D8-IF(Skills!E8=TRUE,Inputs!$B$31,0))),0)</f>
        <v/>
      </c>
      <c r="R89">
        <f>IF(AND(Inputs!$B$4&lt;&gt;"pvp",Inputs!$B$35&gt;0),(INT(Inputs!$B$35/IF(Inputs!$B$4="pvp",15,MAX(0.1,Skills!D8-IF(Skills!E8=TRUE,Inputs!$B$31,0))))+1),0)</f>
        <v/>
      </c>
      <c r="S89">
        <f>IFERROR(O89/N89,0)</f>
        <v/>
      </c>
    </row>
    <row r="90">
      <c r="A90">
        <f>Skills!A9</f>
        <v/>
      </c>
      <c r="B90">
        <f>Skills!B9</f>
        <v/>
      </c>
      <c r="C90">
        <f>Inputs!$B$3&gt;=72</f>
        <v/>
      </c>
      <c r="D90">
        <f>IF(Skills!C9=1,60+Inputs!$B$24+Inputs!$B$28,IF(Skills!C9=2,90+Inputs!$B$25+Inputs!$B$28,IF(Skills!C9=3,120+Inputs!$B$26+Inputs!$B$28,MAX(0,(Inputs!$B$3-100)*3)+Inputs!$B$27+Inputs!$B$28)))</f>
        <v/>
      </c>
      <c r="E90">
        <f>INDEX(FactorTable!$B$2:$Y$301, MATCH(ROUND(MIN(300,MAX(1,D90)),0), FactorTable!$A$2:$A$301,0), Skills!M9+1)</f>
        <v/>
      </c>
      <c r="F90">
        <f>IF(Skills!N9=TRUE,(Skills!L9/10)*(E90/1000),Skills!L9/10)+Skills!O9</f>
        <v/>
      </c>
      <c r="G90">
        <f>Calc!G9</f>
        <v/>
      </c>
      <c r="H90">
        <f>Calc!H9</f>
        <v/>
      </c>
      <c r="I90">
        <f>IF(Skills!AA9&lt;&gt;"",1+(Skills!AA9/10)*(U84/1000)/100,1)</f>
        <v/>
      </c>
      <c r="J90">
        <f>(Inputs!$B$5*(1+Inputs!$B$6/100))*(F90/100)</f>
        <v/>
      </c>
      <c r="K90">
        <f>J90*(1+((Inputs!$B$11*(1+(Inputs!$B$12+1)/100))*0.01+Inputs!$B$13*0.0025)/100)*(1+Inputs!$B$14/100)*(1+IF(Inputs!$B$4="pvp",0,(1-Summary!$B$55)*(Inputs!$B$19+((C108=TRUE)*(F108-Calc!F27))+Skills!P9+B122)+Summary!$B$55*(Inputs!$B$20+Skills!Q9+B122))/100)*(1+Inputs!$B$15/100)*(5000/(6000+Inputs!$B$7*(1-Inputs!$B$18/100)))*(1+(Inputs!$B$23+((C111=TRUE)*(F111-Calc!F30)))/100)*(1+Skills!R9/100)*(1+(IF(Skills!A9="SHOWDOWN",Inputs!$B$16+((C104=TRUE)*(F104-Calc!F23)),Inputs!$B$17+((C110=TRUE)*(F110-Calc!F29))))/100)*(((1+(((C102=TRUE)*F102*IF(AND(Inputs!$B$4&lt;&gt;"pvp",Inputs!$B$35&gt;0),(((S102-1)*(Skills!Y21*(1+Inputs!$B$33/100))+MIN((Skills!Y21*(1+Inputs!$B$33/100)),MAX(0,Inputs!$B$35-((S102-1)*Skills!D21))))/Inputs!$B$35),IF(Inputs!$B$4="pvp",MIN((Skills!Y21*(1+Inputs!$B$33/100)),15)/15,(Skills!Y21*(1+Inputs!$B$33/100))/Skills!D21)))+((C109=TRUE)*(F109-Calc!F28))+((C99=TRUE)*(F99-Calc!F18)))/100)*(1+((C96=TRUE)*F96*IF(AND(Inputs!$B$4&lt;&gt;"pvp",Inputs!$B$35&gt;0),(((S96-1)*(Skills!Y15*(1+Inputs!$B$33/100))+MIN((Skills!Y15*(1+Inputs!$B$33/100)),MAX(0,Inputs!$B$35-((S96-1)*Skills!D15))))/Inputs!$B$35),IF(Inputs!$B$4="pvp",MIN((Skills!Y15*(1+Inputs!$B$33/100)),15)/15,(Skills!Y15*(1+Inputs!$B$33/100))/Skills!D15)))/100)*(1+((C87=TRUE)*F87*B115)/100))*B123*I90)</f>
        <v/>
      </c>
      <c r="L90">
        <f>K90*(MIN(Inputs!$B$21+((C105=TRUE)*(F105-Calc!F24)),Inputs!$B$22)/100+Inputs!$B$22/100)/2</f>
        <v/>
      </c>
      <c r="M90">
        <f>L90*(1+(Inputs!$B$9+((C107=TRUE)*(F107-Calc!F26))+B124)/100)</f>
        <v/>
      </c>
      <c r="N90">
        <f>L90*(1-MIN((Inputs!$B$8+((C106=TRUE)*(F106-Calc!F25))+B121),100)/100)+M90*(MIN((Inputs!$B$8+((C106=TRUE)*(F106-Calc!F25))+B121),100)/100)</f>
        <v/>
      </c>
      <c r="O90">
        <f>IF(C90,H90*N90*IF(AND(Inputs!$B$4&lt;&gt;"pvp",Inputs!$B$35&gt;0),((Skills!G9*((R90-1)*IF(Skills!H9&gt;0,Skills!I9/Skills!H9,1)+IF(Skills!H9&gt;0,MIN(Skills!I9,MAX(0,Inputs!$B$35-((R90-1)*IF(Inputs!$B$4="pvp",15,MAX(0.1,Skills!D9-IF(Skills!E9=TRUE,Inputs!$B$31,0))))))/Skills!H9,1)))/Inputs!$B$35),G90*Q90)*IF(Inputs!$B$4="pvp",1,(1-Summary!$B$55)*(1)+Summary!$B$55*(MIN(Skills!W9,Inputs!$B$37))),0)</f>
        <v/>
      </c>
      <c r="P90">
        <f>IF(B125=0,0,O90/B125)</f>
        <v/>
      </c>
      <c r="Q90">
        <f>IFERROR(1/IF(Inputs!$B$4="pvp",15,MAX(0.1,Skills!D9-IF(Skills!E9=TRUE,Inputs!$B$31,0))),0)</f>
        <v/>
      </c>
      <c r="R90">
        <f>IF(AND(Inputs!$B$4&lt;&gt;"pvp",Inputs!$B$35&gt;0),(INT(Inputs!$B$35/IF(Inputs!$B$4="pvp",15,MAX(0.1,Skills!D9-IF(Skills!E9=TRUE,Inputs!$B$31,0))))+1),0)</f>
        <v/>
      </c>
      <c r="S90">
        <f>IFERROR(O90/N90,0)</f>
        <v/>
      </c>
    </row>
    <row r="91">
      <c r="A91">
        <f>Skills!A10</f>
        <v/>
      </c>
      <c r="B91">
        <f>Skills!B10</f>
        <v/>
      </c>
      <c r="C91">
        <f>Inputs!$B$3&gt;=117</f>
        <v/>
      </c>
      <c r="D91">
        <f>IF(Skills!C10=1,60+Inputs!$B$24+Inputs!$B$28,IF(Skills!C10=2,90+Inputs!$B$25+Inputs!$B$28,IF(Skills!C10=3,120+Inputs!$B$26+Inputs!$B$28,MAX(0,(Inputs!$B$3-100)*3)+Inputs!$B$27+Inputs!$B$28)))</f>
        <v/>
      </c>
      <c r="E91">
        <f>INDEX(FactorTable!$B$2:$Y$301, MATCH(ROUND(MIN(300,MAX(1,D91)),0), FactorTable!$A$2:$A$301,0), Skills!M10+1)</f>
        <v/>
      </c>
      <c r="F91">
        <f>IF(Skills!N10=TRUE,(Skills!L10/10)*(E91/1000),Skills!L10/10)+Skills!O10</f>
        <v/>
      </c>
      <c r="G91">
        <f>Calc!G10</f>
        <v/>
      </c>
      <c r="H91">
        <f>Calc!H10</f>
        <v/>
      </c>
      <c r="I91">
        <f>IF(Skills!AA10&lt;&gt;"",1+(Skills!AA10/10)*(U84/1000)/100,1)</f>
        <v/>
      </c>
      <c r="J91">
        <f>(Inputs!$B$5*(1+Inputs!$B$6/100))*(F91/100)</f>
        <v/>
      </c>
      <c r="K91">
        <f>J91*(1+((Inputs!$B$11*(1+(Inputs!$B$12+1)/100))*0.01+Inputs!$B$13*0.0025)/100)*(1+Inputs!$B$14/100)*(1+IF(Inputs!$B$4="pvp",0,(1-Summary!$B$55)*(Inputs!$B$19+((C108=TRUE)*(F108-Calc!F27))+Skills!P10+B122)+Summary!$B$55*(Inputs!$B$20+Skills!Q10+B122))/100)*(1+Inputs!$B$15/100)*(5000/(6000+Inputs!$B$7*(1-Inputs!$B$18/100)))*(1+(Inputs!$B$23+((C111=TRUE)*(F111-Calc!F30)))/100)*(1+Skills!R10/100)*(1+(IF(Skills!A10="SHOWDOWN",Inputs!$B$16+((C104=TRUE)*(F104-Calc!F23)),Inputs!$B$17+((C110=TRUE)*(F110-Calc!F29))))/100)*(((1+(((C102=TRUE)*F102*IF(AND(Inputs!$B$4&lt;&gt;"pvp",Inputs!$B$35&gt;0),(((S102-1)*(Skills!Y21*(1+Inputs!$B$33/100))+MIN((Skills!Y21*(1+Inputs!$B$33/100)),MAX(0,Inputs!$B$35-((S102-1)*Skills!D21))))/Inputs!$B$35),IF(Inputs!$B$4="pvp",MIN((Skills!Y21*(1+Inputs!$B$33/100)),15)/15,(Skills!Y21*(1+Inputs!$B$33/100))/Skills!D21)))+((C109=TRUE)*(F109-Calc!F28))+((C99=TRUE)*(F99-Calc!F18)))/100)*(1+((C96=TRUE)*F96*IF(AND(Inputs!$B$4&lt;&gt;"pvp",Inputs!$B$35&gt;0),(((S96-1)*(Skills!Y15*(1+Inputs!$B$33/100))+MIN((Skills!Y15*(1+Inputs!$B$33/100)),MAX(0,Inputs!$B$35-((S96-1)*Skills!D15))))/Inputs!$B$35),IF(Inputs!$B$4="pvp",MIN((Skills!Y15*(1+Inputs!$B$33/100)),15)/15,(Skills!Y15*(1+Inputs!$B$33/100))/Skills!D15)))/100)*(1+((C87=TRUE)*F87*B115)/100))*B123*I91)</f>
        <v/>
      </c>
      <c r="L91">
        <f>K91*(MIN(Inputs!$B$21+((C105=TRUE)*(F105-Calc!F24)),Inputs!$B$22)/100+Inputs!$B$22/100)/2</f>
        <v/>
      </c>
      <c r="M91">
        <f>L91*(1+(Inputs!$B$9+((C107=TRUE)*(F107-Calc!F26))+B124)/100)</f>
        <v/>
      </c>
      <c r="N91">
        <f>L91*(1-MIN((Inputs!$B$8+((C106=TRUE)*(F106-Calc!F25))+B121),100)/100)+M91*(MIN((Inputs!$B$8+((C106=TRUE)*(F106-Calc!F25))+B121),100)/100)</f>
        <v/>
      </c>
      <c r="O91">
        <f>IF(C91,0.2*SUMPRODUCT((Skills!Z2:Z31=TRUE)*(C83:C112=TRUE)*S83:S112)*N91,0)</f>
        <v/>
      </c>
      <c r="P91">
        <f>IF(B125=0,0,O91/B125)</f>
        <v/>
      </c>
      <c r="Q91" t="n">
        <v>0</v>
      </c>
      <c r="R91" t="n">
        <v>0</v>
      </c>
      <c r="S91" t="n">
        <v>0</v>
      </c>
    </row>
    <row r="92">
      <c r="A92">
        <f>Skills!A11</f>
        <v/>
      </c>
      <c r="B92">
        <f>Skills!B11</f>
        <v/>
      </c>
      <c r="C92">
        <f>Inputs!$B$3&gt;=60</f>
        <v/>
      </c>
      <c r="D92">
        <f>IF(Skills!C11=1,60+Inputs!$B$24+Inputs!$B$28,IF(Skills!C11=2,90+Inputs!$B$25+Inputs!$B$28,IF(Skills!C11=3,120+Inputs!$B$26+Inputs!$B$28,MAX(0,(Inputs!$B$3-100)*3)+Inputs!$B$27+Inputs!$B$28)))</f>
        <v/>
      </c>
      <c r="E92">
        <f>INDEX(FactorTable!$B$2:$Y$301, MATCH(ROUND(MIN(300,MAX(1,D92)),0), FactorTable!$A$2:$A$301,0), Skills!M11+1)</f>
        <v/>
      </c>
      <c r="F92">
        <f>IF(Skills!N11=TRUE,(Skills!L11/10)*(E92/1000),Skills!L11/10)+Skills!O11</f>
        <v/>
      </c>
      <c r="G92">
        <f>Calc!G11</f>
        <v/>
      </c>
      <c r="H92">
        <f>Calc!H11</f>
        <v/>
      </c>
      <c r="I92">
        <f>IF(Skills!AA11&lt;&gt;"",1+(Skills!AA11/10)*(U84/1000)/100,1)</f>
        <v/>
      </c>
      <c r="J92" t="inlineStr"/>
      <c r="K92" t="inlineStr"/>
      <c r="L92" t="inlineStr"/>
      <c r="M92" t="inlineStr"/>
      <c r="N92" t="inlineStr"/>
      <c r="O92" t="n">
        <v>0</v>
      </c>
      <c r="P92">
        <f>IF(B125=0,0,O92/B125)</f>
        <v/>
      </c>
      <c r="Q92" t="n">
        <v>0</v>
      </c>
      <c r="R92" t="n">
        <v>0</v>
      </c>
      <c r="S92">
        <f>IFERROR(O92/N92,0)</f>
        <v/>
      </c>
    </row>
    <row r="93">
      <c r="A93">
        <f>Skills!A12</f>
        <v/>
      </c>
      <c r="B93">
        <f>Skills!B12</f>
        <v/>
      </c>
      <c r="C93">
        <f>Inputs!$B$3&gt;=103</f>
        <v/>
      </c>
      <c r="D93">
        <f>IF(Skills!C12=1,60+Inputs!$B$24+Inputs!$B$28,IF(Skills!C12=2,90+Inputs!$B$25+Inputs!$B$28,IF(Skills!C12=3,120+Inputs!$B$26+Inputs!$B$28,MAX(0,(Inputs!$B$3-100)*3)+Inputs!$B$27+Inputs!$B$28)))</f>
        <v/>
      </c>
      <c r="E93">
        <f>INDEX(FactorTable!$B$2:$Y$301, MATCH(ROUND(MIN(300,MAX(1,D93)),0), FactorTable!$A$2:$A$301,0), Skills!M12+1)</f>
        <v/>
      </c>
      <c r="F93">
        <f>IF(Skills!N12=TRUE,(Skills!L12/10)*(E93/1000),Skills!L12/10)+Skills!O12</f>
        <v/>
      </c>
      <c r="G93">
        <f>Calc!G12</f>
        <v/>
      </c>
      <c r="H93">
        <f>Calc!H12</f>
        <v/>
      </c>
      <c r="I93">
        <f>IF(Skills!AA12&lt;&gt;"",1+(Skills!AA12/10)*(U84/1000)/100,1)</f>
        <v/>
      </c>
      <c r="J93">
        <f>(Inputs!$B$5*(1+Inputs!$B$6/100))*(F93/100)</f>
        <v/>
      </c>
      <c r="K93">
        <f>J93*(1+((Inputs!$B$11*(1+(Inputs!$B$12+1)/100))*0.01+Inputs!$B$13*0.0025)/100)*(1+Inputs!$B$14/100)*(1+IF(Inputs!$B$4="pvp",0,(1-Summary!$B$55)*(Inputs!$B$19+((C108=TRUE)*(F108-Calc!F27))+Skills!P12+B122)+Summary!$B$55*(Inputs!$B$20+Skills!Q12+B122))/100)*(1+Inputs!$B$15/100)*(5000/(6000+Inputs!$B$7*(1-Inputs!$B$18/100)))*(1+(Inputs!$B$23+((C111=TRUE)*(F111-Calc!F30)))/100)*(1+Skills!R12/100)*(1+(IF(Skills!A12="SHOWDOWN",Inputs!$B$16+((C104=TRUE)*(F104-Calc!F23)),Inputs!$B$17+((C110=TRUE)*(F110-Calc!F29))))/100)*(((1+(((C102=TRUE)*F102*IF(AND(Inputs!$B$4&lt;&gt;"pvp",Inputs!$B$35&gt;0),(((S102-1)*(Skills!Y21*(1+Inputs!$B$33/100))+MIN((Skills!Y21*(1+Inputs!$B$33/100)),MAX(0,Inputs!$B$35-((S102-1)*Skills!D21))))/Inputs!$B$35),IF(Inputs!$B$4="pvp",MIN((Skills!Y21*(1+Inputs!$B$33/100)),15)/15,(Skills!Y21*(1+Inputs!$B$33/100))/Skills!D21)))+((C109=TRUE)*(F109-Calc!F28))+((C99=TRUE)*(F99-Calc!F18)))/100)*(1+((C96=TRUE)*F96*IF(AND(Inputs!$B$4&lt;&gt;"pvp",Inputs!$B$35&gt;0),(((S96-1)*(Skills!Y15*(1+Inputs!$B$33/100))+MIN((Skills!Y15*(1+Inputs!$B$33/100)),MAX(0,Inputs!$B$35-((S96-1)*Skills!D15))))/Inputs!$B$35),IF(Inputs!$B$4="pvp",MIN((Skills!Y15*(1+Inputs!$B$33/100)),15)/15,(Skills!Y15*(1+Inputs!$B$33/100))/Skills!D15)))/100)*(1+((C87=TRUE)*F87*B115)/100))*B123*I93)</f>
        <v/>
      </c>
      <c r="L93">
        <f>K93*(MIN(Inputs!$B$21+((C105=TRUE)*(F105-Calc!F24)),Inputs!$B$22)/100+Inputs!$B$22/100)/2</f>
        <v/>
      </c>
      <c r="M93">
        <f>L93*(1+(Inputs!$B$9+((C107=TRUE)*(F107-Calc!F26))+B124)/100)</f>
        <v/>
      </c>
      <c r="N93">
        <f>L93*(1-MIN((Inputs!$B$8+((C106=TRUE)*(F106-Calc!F25))+B121),100)/100)+M93*(MIN((Inputs!$B$8+((C106=TRUE)*(F106-Calc!F25))+B121),100)/100)</f>
        <v/>
      </c>
      <c r="O93">
        <f>IF(C93,H93*N93*IF(AND(Inputs!$B$4&lt;&gt;"pvp",Inputs!$B$35&gt;0),((Skills!G12*((R93-1)*IF(Skills!H12&gt;0,Skills!I12/Skills!H12,1)+IF(Skills!H12&gt;0,MIN(Skills!I12,MAX(0,Inputs!$B$35-((R93-1)*IF(Inputs!$B$4="pvp",15,MAX(0.1,Skills!D12-IF(Skills!E12=TRUE,Inputs!$B$31,0))))))/Skills!H12,1)))/Inputs!$B$35),G93*Q93)*IF(Inputs!$B$4="pvp",1,(1-Summary!$B$55)*(1)+Summary!$B$55*(MIN(Skills!W12,Inputs!$B$37))),0)</f>
        <v/>
      </c>
      <c r="P93">
        <f>IF(B125=0,0,O93/B125)</f>
        <v/>
      </c>
      <c r="Q93">
        <f>IFERROR(1/IF(Inputs!$B$4="pvp",15,MAX(0.1,Skills!D12-IF(Skills!E12=TRUE,Inputs!$B$31,0))),0)</f>
        <v/>
      </c>
      <c r="R93">
        <f>IF(AND(Inputs!$B$4&lt;&gt;"pvp",Inputs!$B$35&gt;0),(INT(Inputs!$B$35/IF(Inputs!$B$4="pvp",15,MAX(0.1,Skills!D12-IF(Skills!E12=TRUE,Inputs!$B$31,0))))+1),0)</f>
        <v/>
      </c>
      <c r="S93">
        <f>IFERROR(O93/N93,0)</f>
        <v/>
      </c>
    </row>
    <row r="94">
      <c r="A94">
        <f>Skills!A13</f>
        <v/>
      </c>
      <c r="B94">
        <f>Skills!B13</f>
        <v/>
      </c>
      <c r="C94">
        <f>Inputs!$B$3&gt;=105</f>
        <v/>
      </c>
      <c r="D94">
        <f>IF(Skills!C13=1,60+Inputs!$B$24+Inputs!$B$28,IF(Skills!C13=2,90+Inputs!$B$25+Inputs!$B$28,IF(Skills!C13=3,120+Inputs!$B$26+Inputs!$B$28,MAX(0,(Inputs!$B$3-100)*3)+Inputs!$B$27+Inputs!$B$28)))</f>
        <v/>
      </c>
      <c r="E94">
        <f>INDEX(FactorTable!$B$2:$Y$301, MATCH(ROUND(MIN(300,MAX(1,D94)),0), FactorTable!$A$2:$A$301,0), Skills!M13+1)</f>
        <v/>
      </c>
      <c r="F94">
        <f>IF(Skills!N13=TRUE,(Skills!L13/10)*(E94/1000),Skills!L13/10)+Skills!O13</f>
        <v/>
      </c>
      <c r="G94">
        <f>Calc!G13</f>
        <v/>
      </c>
      <c r="H94">
        <f>Calc!H13</f>
        <v/>
      </c>
      <c r="I94">
        <f>IF(Skills!AA13&lt;&gt;"",1+(Skills!AA13/10)*(U84/1000)/100,1)</f>
        <v/>
      </c>
      <c r="J94">
        <f>(Inputs!$B$5*(1+Inputs!$B$6/100))*(F94/100)</f>
        <v/>
      </c>
      <c r="K94">
        <f>J94*(1+((Inputs!$B$11*(1+(Inputs!$B$12+1)/100))*0.01+Inputs!$B$13*0.0025)/100)*(1+Inputs!$B$14/100)*(1+IF(Inputs!$B$4="pvp",0,(1-Summary!$B$55)*(Inputs!$B$19+((C108=TRUE)*(F108-Calc!F27))+Skills!P13+B122)+Summary!$B$55*(Inputs!$B$20+Skills!Q13+B122))/100)*(1+Inputs!$B$15/100)*(5000/(6000+Inputs!$B$7*(1-Inputs!$B$18/100)))*(1+(Inputs!$B$23+((C111=TRUE)*(F111-Calc!F30)))/100)*(1+Skills!R13/100)*(1+(IF(Skills!A13="SHOWDOWN",Inputs!$B$16+((C104=TRUE)*(F104-Calc!F23)),Inputs!$B$17+((C110=TRUE)*(F110-Calc!F29))))/100)*(((1+(((C102=TRUE)*F102*IF(AND(Inputs!$B$4&lt;&gt;"pvp",Inputs!$B$35&gt;0),(((S102-1)*(Skills!Y21*(1+Inputs!$B$33/100))+MIN((Skills!Y21*(1+Inputs!$B$33/100)),MAX(0,Inputs!$B$35-((S102-1)*Skills!D21))))/Inputs!$B$35),IF(Inputs!$B$4="pvp",MIN((Skills!Y21*(1+Inputs!$B$33/100)),15)/15,(Skills!Y21*(1+Inputs!$B$33/100))/Skills!D21)))+((C109=TRUE)*(F109-Calc!F28))+((C99=TRUE)*(F99-Calc!F18)))/100)*(1+((C96=TRUE)*F96*IF(AND(Inputs!$B$4&lt;&gt;"pvp",Inputs!$B$35&gt;0),(((S96-1)*(Skills!Y15*(1+Inputs!$B$33/100))+MIN((Skills!Y15*(1+Inputs!$B$33/100)),MAX(0,Inputs!$B$35-((S96-1)*Skills!D15))))/Inputs!$B$35),IF(Inputs!$B$4="pvp",MIN((Skills!Y15*(1+Inputs!$B$33/100)),15)/15,(Skills!Y15*(1+Inputs!$B$33/100))/Skills!D15)))/100)*(1+((C87=TRUE)*F87*B115)/100))*B123*I94)</f>
        <v/>
      </c>
      <c r="L94">
        <f>K94*(MIN(Inputs!$B$21+((C105=TRUE)*(F105-Calc!F24)),Inputs!$B$22)/100+Inputs!$B$22/100)/2</f>
        <v/>
      </c>
      <c r="M94">
        <f>L94*(1+(Inputs!$B$9+((C107=TRUE)*(F107-Calc!F26))+B124)/100)</f>
        <v/>
      </c>
      <c r="N94">
        <f>L94*(1-MIN((Inputs!$B$8+((C106=TRUE)*(F106-Calc!F25))+B121),100)/100)+M94*(MIN((Inputs!$B$8+((C106=TRUE)*(F106-Calc!F25))+B121),100)/100)</f>
        <v/>
      </c>
      <c r="O94">
        <f>IF(C94,H94*N94*IF(AND(Inputs!$B$4&lt;&gt;"pvp",Inputs!$B$35&gt;0),((Skills!G13*((R94-1)*IF(Skills!H13&gt;0,Skills!I13/Skills!H13,1)+IF(Skills!H13&gt;0,MIN(Skills!I13,MAX(0,Inputs!$B$35-((R94-1)*IF(Inputs!$B$4="pvp",15,MAX(0.1,Skills!D13-IF(Skills!E13=TRUE,Inputs!$B$31,0))))))/Skills!H13,1)))/Inputs!$B$35),G94*Q94)*IF(Inputs!$B$4="pvp",1,(1-Summary!$B$55)*(1)+Summary!$B$55*(MIN(Skills!W13,Inputs!$B$37))),0)</f>
        <v/>
      </c>
      <c r="P94">
        <f>IF(B125=0,0,O94/B125)</f>
        <v/>
      </c>
      <c r="Q94">
        <f>IFERROR(1/IF(Inputs!$B$4="pvp",15,MAX(0.1,Skills!D13-IF(Skills!E13=TRUE,Inputs!$B$31,0))),0)</f>
        <v/>
      </c>
      <c r="R94">
        <f>IF(AND(Inputs!$B$4&lt;&gt;"pvp",Inputs!$B$35&gt;0),(INT(Inputs!$B$35/IF(Inputs!$B$4="pvp",15,MAX(0.1,Skills!D13-IF(Skills!E13=TRUE,Inputs!$B$31,0))))+1),0)</f>
        <v/>
      </c>
      <c r="S94">
        <f>IFERROR(O94/N94,0)</f>
        <v/>
      </c>
    </row>
    <row r="95">
      <c r="A95">
        <f>Skills!A14</f>
        <v/>
      </c>
      <c r="B95">
        <f>Skills!B14</f>
        <v/>
      </c>
      <c r="C95">
        <f>Inputs!$B$3&gt;=105</f>
        <v/>
      </c>
      <c r="D95">
        <f>IF(Skills!C14=1,60+Inputs!$B$24+Inputs!$B$28,IF(Skills!C14=2,90+Inputs!$B$25+Inputs!$B$28,IF(Skills!C14=3,120+Inputs!$B$26+Inputs!$B$28,MAX(0,(Inputs!$B$3-100)*3)+Inputs!$B$27+Inputs!$B$28)))</f>
        <v/>
      </c>
      <c r="E95">
        <f>INDEX(FactorTable!$B$2:$Y$301, MATCH(ROUND(MIN(300,MAX(1,D95)),0), FactorTable!$A$2:$A$301,0), Skills!M14+1)</f>
        <v/>
      </c>
      <c r="F95">
        <f>IF(Skills!N14=TRUE,(Skills!L14/10)*(E95/1000),Skills!L14/10)+Skills!O14</f>
        <v/>
      </c>
      <c r="G95">
        <f>Calc!G14</f>
        <v/>
      </c>
      <c r="H95">
        <f>Calc!H14</f>
        <v/>
      </c>
      <c r="I95">
        <f>IF(Skills!AA14&lt;&gt;"",1+(Skills!AA14/10)*(U84/1000)/100,1)</f>
        <v/>
      </c>
      <c r="J95">
        <f>(Inputs!$B$5*(1+Inputs!$B$6/100))*(F95/100)</f>
        <v/>
      </c>
      <c r="K95">
        <f>J95*(1+((Inputs!$B$11*(1+(Inputs!$B$12+1)/100))*0.01+Inputs!$B$13*0.0025)/100)*(1+Inputs!$B$14/100)*(1+IF(Inputs!$B$4="pvp",0,(1-Summary!$B$55)*(Inputs!$B$19+((C108=TRUE)*(F108-Calc!F27))+Skills!P14+B122)+Summary!$B$55*(Inputs!$B$20+Skills!Q14+B122))/100)*(1+Inputs!$B$15/100)*(5000/(6000+Inputs!$B$7*(1-Inputs!$B$18/100)))*(1+(Inputs!$B$23+((C111=TRUE)*(F111-Calc!F30)))/100)*(1+Skills!R14/100)*(1+(IF(Skills!A14="SHOWDOWN",Inputs!$B$16+((C104=TRUE)*(F104-Calc!F23)),Inputs!$B$17+((C110=TRUE)*(F110-Calc!F29))))/100)*(((1+(((C102=TRUE)*F102*IF(AND(Inputs!$B$4&lt;&gt;"pvp",Inputs!$B$35&gt;0),(((S102-1)*(Skills!Y21*(1+Inputs!$B$33/100))+MIN((Skills!Y21*(1+Inputs!$B$33/100)),MAX(0,Inputs!$B$35-((S102-1)*Skills!D21))))/Inputs!$B$35),IF(Inputs!$B$4="pvp",MIN((Skills!Y21*(1+Inputs!$B$33/100)),15)/15,(Skills!Y21*(1+Inputs!$B$33/100))/Skills!D21)))+((C109=TRUE)*(F109-Calc!F28))+((C99=TRUE)*(F99-Calc!F18)))/100)*(1+((C96=TRUE)*F96*IF(AND(Inputs!$B$4&lt;&gt;"pvp",Inputs!$B$35&gt;0),(((S96-1)*(Skills!Y15*(1+Inputs!$B$33/100))+MIN((Skills!Y15*(1+Inputs!$B$33/100)),MAX(0,Inputs!$B$35-((S96-1)*Skills!D15))))/Inputs!$B$35),IF(Inputs!$B$4="pvp",MIN((Skills!Y15*(1+Inputs!$B$33/100)),15)/15,(Skills!Y15*(1+Inputs!$B$33/100))/Skills!D15)))/100)*(1+((C87=TRUE)*F87*B115)/100))*B123*I95)</f>
        <v/>
      </c>
      <c r="L95">
        <f>K95*(MIN(Inputs!$B$21+((C105=TRUE)*(F105-Calc!F24)),Inputs!$B$22)/100+Inputs!$B$22/100)/2</f>
        <v/>
      </c>
      <c r="M95">
        <f>L95*(1+(Inputs!$B$9+((C107=TRUE)*(F107-Calc!F26))+B124)/100)</f>
        <v/>
      </c>
      <c r="N95">
        <f>L95*(1-MIN((Inputs!$B$8+((C106=TRUE)*(F106-Calc!F25))+B121),100)/100)+M95*(MIN((Inputs!$B$8+((C106=TRUE)*(F106-Calc!F25))+B121),100)/100)</f>
        <v/>
      </c>
      <c r="O95">
        <f>IF(C95,H95*N95*IF(AND(Inputs!$B$4&lt;&gt;"pvp",Inputs!$B$35&gt;0),((Skills!G14*((R95-1)*IF(Skills!H14&gt;0,Skills!I14/Skills!H14,1)+IF(Skills!H14&gt;0,MIN(Skills!I14,MAX(0,Inputs!$B$35-((R95-1)*IF(Inputs!$B$4="pvp",15,MAX(0.1,Skills!D14-IF(Skills!E14=TRUE,Inputs!$B$31,0))))))/Skills!H14,1)))/Inputs!$B$35),G95*Q95)*IF(Inputs!$B$4="pvp",1,(1-Summary!$B$55)*(1)+Summary!$B$55*(MIN(Skills!W14,Inputs!$B$37))),0)</f>
        <v/>
      </c>
      <c r="P95">
        <f>IF(B125=0,0,O95/B125)</f>
        <v/>
      </c>
      <c r="Q95">
        <f>IFERROR(1/IF(Inputs!$B$4="pvp",15,MAX(0.1,Skills!D14-IF(Skills!E14=TRUE,Inputs!$B$31,0))),0)</f>
        <v/>
      </c>
      <c r="R95">
        <f>IF(AND(Inputs!$B$4&lt;&gt;"pvp",Inputs!$B$35&gt;0),(INT(Inputs!$B$35/IF(Inputs!$B$4="pvp",15,MAX(0.1,Skills!D14-IF(Skills!E14=TRUE,Inputs!$B$31,0))))+1),0)</f>
        <v/>
      </c>
      <c r="S95">
        <f>IFERROR(O95/N95,0)</f>
        <v/>
      </c>
    </row>
    <row r="96">
      <c r="A96">
        <f>Skills!A15</f>
        <v/>
      </c>
      <c r="B96">
        <f>Skills!B15</f>
        <v/>
      </c>
      <c r="C96">
        <f>Inputs!$B$3&gt;=110</f>
        <v/>
      </c>
      <c r="D96">
        <f>IF(Skills!C15=1,60+Inputs!$B$24+Inputs!$B$28,IF(Skills!C15=2,90+Inputs!$B$25+Inputs!$B$28,IF(Skills!C15=3,120+Inputs!$B$26+Inputs!$B$28,MAX(0,(Inputs!$B$3-100)*3)+Inputs!$B$27+Inputs!$B$28)))</f>
        <v/>
      </c>
      <c r="E96">
        <f>INDEX(FactorTable!$B$2:$Y$301, MATCH(ROUND(MIN(300,MAX(1,D96)),0), FactorTable!$A$2:$A$301,0), Skills!M15+1)</f>
        <v/>
      </c>
      <c r="F96">
        <f>IF(Skills!N15=TRUE,(Skills!L15/10)*(E96/1000),Skills!L15/10)+Skills!O15</f>
        <v/>
      </c>
      <c r="G96">
        <f>Calc!G15</f>
        <v/>
      </c>
      <c r="H96">
        <f>Calc!H15</f>
        <v/>
      </c>
      <c r="I96">
        <f>IF(Skills!AA15&lt;&gt;"",1+(Skills!AA15/10)*(U84/1000)/100,1)</f>
        <v/>
      </c>
      <c r="J96" t="inlineStr"/>
      <c r="K96" t="inlineStr"/>
      <c r="L96" t="inlineStr"/>
      <c r="M96" t="inlineStr"/>
      <c r="N96" t="inlineStr"/>
      <c r="O96" t="n">
        <v>0</v>
      </c>
      <c r="P96">
        <f>IF(B125=0,0,O96/B125)</f>
        <v/>
      </c>
      <c r="Q96">
        <f>IFERROR(1/IF(Inputs!$B$4="pvp",15,MAX(0.1,Skills!D15-IF(Skills!E15=TRUE,Inputs!$B$31,0))),0)</f>
        <v/>
      </c>
      <c r="R96">
        <f>IF(AND(Inputs!$B$4&lt;&gt;"pvp",Inputs!$B$35&gt;0),(INT(Inputs!$B$35/IF(Inputs!$B$4="pvp",15,MAX(0.1,Skills!D15-IF(Skills!E15=TRUE,Inputs!$B$31,0))))+1),0)</f>
        <v/>
      </c>
      <c r="S96">
        <f>IFERROR(O96/N96,0)</f>
        <v/>
      </c>
    </row>
    <row r="97">
      <c r="A97">
        <f>Skills!A16</f>
        <v/>
      </c>
      <c r="B97">
        <f>Skills!B16</f>
        <v/>
      </c>
      <c r="C97">
        <f>Inputs!$B$3&gt;=110</f>
        <v/>
      </c>
      <c r="D97">
        <f>IF(Skills!C16=1,60+Inputs!$B$24+Inputs!$B$28,IF(Skills!C16=2,90+Inputs!$B$25+Inputs!$B$28,IF(Skills!C16=3,120+Inputs!$B$26+Inputs!$B$28,MAX(0,(Inputs!$B$3-100)*3)+Inputs!$B$27+Inputs!$B$28)))</f>
        <v/>
      </c>
      <c r="E97">
        <f>INDEX(FactorTable!$B$2:$Y$301, MATCH(ROUND(MIN(300,MAX(1,D97)),0), FactorTable!$A$2:$A$301,0), Skills!M16+1)</f>
        <v/>
      </c>
      <c r="F97">
        <f>IF(Skills!N16=TRUE,(Skills!L16/10)*(E97/1000),Skills!L16/10)+Skills!O16</f>
        <v/>
      </c>
      <c r="G97">
        <f>Calc!G16</f>
        <v/>
      </c>
      <c r="H97">
        <f>Calc!H16</f>
        <v/>
      </c>
      <c r="I97">
        <f>IF(Skills!AA16&lt;&gt;"",1+(Skills!AA16/10)*(U84/1000)/100,1)</f>
        <v/>
      </c>
      <c r="J97" t="inlineStr"/>
      <c r="K97" t="inlineStr"/>
      <c r="L97" t="inlineStr"/>
      <c r="M97" t="inlineStr"/>
      <c r="N97" t="inlineStr"/>
      <c r="O97" t="n">
        <v>0</v>
      </c>
      <c r="P97">
        <f>IF(B125=0,0,O97/B125)</f>
        <v/>
      </c>
      <c r="Q97">
        <f>IFERROR(1/IF(Inputs!$B$4="pvp",15,MAX(0.1,Skills!D16-IF(Skills!E16=TRUE,Inputs!$B$31,0))),0)</f>
        <v/>
      </c>
      <c r="R97">
        <f>IF(AND(Inputs!$B$4&lt;&gt;"pvp",Inputs!$B$35&gt;0),(INT(Inputs!$B$35/IF(Inputs!$B$4="pvp",15,MAX(0.1,Skills!D16-IF(Skills!E16=TRUE,Inputs!$B$31,0))))+1),0)</f>
        <v/>
      </c>
      <c r="S97">
        <f>IFERROR(O97/N97,0)</f>
        <v/>
      </c>
    </row>
    <row r="98">
      <c r="A98">
        <f>Skills!A17</f>
        <v/>
      </c>
      <c r="B98">
        <f>Skills!B17</f>
        <v/>
      </c>
      <c r="C98">
        <f>Inputs!$B$3&gt;=115</f>
        <v/>
      </c>
      <c r="D98">
        <f>IF(Skills!C17=1,60+Inputs!$B$24+Inputs!$B$28,IF(Skills!C17=2,90+Inputs!$B$25+Inputs!$B$28,IF(Skills!C17=3,120+Inputs!$B$26+Inputs!$B$28,MAX(0,(Inputs!$B$3-100)*3)+Inputs!$B$27+Inputs!$B$28)))</f>
        <v/>
      </c>
      <c r="E98">
        <f>INDEX(FactorTable!$B$2:$Y$301, MATCH(ROUND(MIN(300,MAX(1,D98)),0), FactorTable!$A$2:$A$301,0), Skills!M17+1)</f>
        <v/>
      </c>
      <c r="F98">
        <f>IF(Skills!N17=TRUE,(Skills!L17/10)*(E98/1000),Skills!L17/10)+Skills!O17</f>
        <v/>
      </c>
      <c r="G98">
        <f>Calc!G17</f>
        <v/>
      </c>
      <c r="H98">
        <f>Calc!H17</f>
        <v/>
      </c>
      <c r="I98">
        <f>IF(Skills!AA17&lt;&gt;"",1+(Skills!AA17/10)*(U84/1000)/100,1)</f>
        <v/>
      </c>
      <c r="J98">
        <f>(Inputs!$B$5*(1+Inputs!$B$6/100))*(F98/100)</f>
        <v/>
      </c>
      <c r="K98">
        <f>J98*(1+((Inputs!$B$11*(1+(Inputs!$B$12+1)/100))*0.01+Inputs!$B$13*0.0025)/100)*(1+Inputs!$B$14/100)*(1+IF(Inputs!$B$4="pvp",0,(1-Summary!$B$55)*(Inputs!$B$19+((C108=TRUE)*(F108-Calc!F27))+Skills!P17+B122)+Summary!$B$55*(Inputs!$B$20+Skills!Q17+B122))/100)*(1+Inputs!$B$15/100)*(5000/(6000+Inputs!$B$7*(1-Inputs!$B$18/100)))*(1+(Inputs!$B$23+((C111=TRUE)*(F111-Calc!F30)))/100)*(1+Skills!R17/100)*(1+(IF(Skills!A17="SHOWDOWN",Inputs!$B$16+((C104=TRUE)*(F104-Calc!F23)),Inputs!$B$17+((C110=TRUE)*(F110-Calc!F29))))/100)*(((1+(((C102=TRUE)*F102*IF(AND(Inputs!$B$4&lt;&gt;"pvp",Inputs!$B$35&gt;0),(((S102-1)*(Skills!Y21*(1+Inputs!$B$33/100))+MIN((Skills!Y21*(1+Inputs!$B$33/100)),MAX(0,Inputs!$B$35-((S102-1)*Skills!D21))))/Inputs!$B$35),IF(Inputs!$B$4="pvp",MIN((Skills!Y21*(1+Inputs!$B$33/100)),15)/15,(Skills!Y21*(1+Inputs!$B$33/100))/Skills!D21)))+((C109=TRUE)*(F109-Calc!F28))+((C99=TRUE)*(F99-Calc!F18)))/100)*(1+((C96=TRUE)*F96*IF(AND(Inputs!$B$4&lt;&gt;"pvp",Inputs!$B$35&gt;0),(((S96-1)*(Skills!Y15*(1+Inputs!$B$33/100))+MIN((Skills!Y15*(1+Inputs!$B$33/100)),MAX(0,Inputs!$B$35-((S96-1)*Skills!D15))))/Inputs!$B$35),IF(Inputs!$B$4="pvp",MIN((Skills!Y15*(1+Inputs!$B$33/100)),15)/15,(Skills!Y15*(1+Inputs!$B$33/100))/Skills!D15)))/100)*(1+((C87=TRUE)*F87*B115)/100))*B123*I98)</f>
        <v/>
      </c>
      <c r="L98">
        <f>K98*(MIN(Inputs!$B$21+((C105=TRUE)*(F105-Calc!F24)),Inputs!$B$22)/100+Inputs!$B$22/100)/2</f>
        <v/>
      </c>
      <c r="M98">
        <f>L98*(1+(Inputs!$B$9+((C107=TRUE)*(F107-Calc!F26))+B124)/100)</f>
        <v/>
      </c>
      <c r="N98">
        <f>L98*(1-MIN((Inputs!$B$8+((C106=TRUE)*(F106-Calc!F25))+B121),100)/100)+M98*(MIN((Inputs!$B$8+((C106=TRUE)*(F106-Calc!F25))+B121),100)/100)</f>
        <v/>
      </c>
      <c r="O98">
        <f>IF(C98,Inputs!$B$38*0.2*N98,0)</f>
        <v/>
      </c>
      <c r="P98">
        <f>IF(B125=0,0,O98/B125)</f>
        <v/>
      </c>
      <c r="Q98" t="n">
        <v>0</v>
      </c>
      <c r="R98" t="n">
        <v>0</v>
      </c>
      <c r="S98">
        <f>IFERROR(O98/N98,0)</f>
        <v/>
      </c>
    </row>
    <row r="99">
      <c r="A99">
        <f>Skills!A18</f>
        <v/>
      </c>
      <c r="B99">
        <f>Skills!B18</f>
        <v/>
      </c>
      <c r="C99">
        <f>Inputs!$B$3&gt;=115</f>
        <v/>
      </c>
      <c r="D99">
        <f>IF(Skills!C18=1,60+Inputs!$B$24+Inputs!$B$28,IF(Skills!C18=2,90+Inputs!$B$25+Inputs!$B$28,IF(Skills!C18=3,120+Inputs!$B$26+Inputs!$B$28,MAX(0,(Inputs!$B$3-100)*3)+Inputs!$B$27+Inputs!$B$28)))</f>
        <v/>
      </c>
      <c r="E99">
        <f>INDEX(FactorTable!$B$2:$Y$301, MATCH(ROUND(MIN(300,MAX(1,D99)),0), FactorTable!$A$2:$A$301,0), Skills!M18+1)</f>
        <v/>
      </c>
      <c r="F99">
        <f>IF(Skills!N18=TRUE,(Skills!L18/10)*(E99/1000),Skills!L18/10)+Skills!O18</f>
        <v/>
      </c>
      <c r="G99">
        <f>Calc!G18</f>
        <v/>
      </c>
      <c r="H99">
        <f>Calc!H18</f>
        <v/>
      </c>
      <c r="I99">
        <f>IF(Skills!AA18&lt;&gt;"",1+(Skills!AA18/10)*(U84/1000)/100,1)</f>
        <v/>
      </c>
      <c r="J99" t="inlineStr"/>
      <c r="K99" t="inlineStr"/>
      <c r="L99" t="inlineStr"/>
      <c r="M99" t="inlineStr"/>
      <c r="N99" t="inlineStr"/>
      <c r="O99" t="n">
        <v>0</v>
      </c>
      <c r="P99">
        <f>IF(B125=0,0,O99/B125)</f>
        <v/>
      </c>
      <c r="Q99" t="n">
        <v>0</v>
      </c>
      <c r="R99" t="n">
        <v>0</v>
      </c>
      <c r="S99">
        <f>IFERROR(O99/N99,0)</f>
        <v/>
      </c>
    </row>
    <row r="100">
      <c r="A100">
        <f>Skills!A19</f>
        <v/>
      </c>
      <c r="B100">
        <f>Skills!B19</f>
        <v/>
      </c>
      <c r="C100">
        <f>TRUE</f>
        <v/>
      </c>
      <c r="D100">
        <f>IF(Skills!C19=1,60+Inputs!$B$24+Inputs!$B$28,IF(Skills!C19=2,90+Inputs!$B$25+Inputs!$B$28,IF(Skills!C19=3,120+Inputs!$B$26+Inputs!$B$28,MAX(0,(Inputs!$B$3-100)*3)+Inputs!$B$27+Inputs!$B$28)))</f>
        <v/>
      </c>
      <c r="E100">
        <f>INDEX(FactorTable!$B$2:$Y$301, MATCH(ROUND(MIN(300,MAX(1,D100)),0), FactorTable!$A$2:$A$301,0), Skills!M19+1)</f>
        <v/>
      </c>
      <c r="F100">
        <f>IF(Skills!N19=TRUE,(Skills!L19/10)*(E100/1000),Skills!L19/10)+Skills!O19</f>
        <v/>
      </c>
      <c r="G100">
        <f>Calc!G19</f>
        <v/>
      </c>
      <c r="H100">
        <f>Calc!H19</f>
        <v/>
      </c>
      <c r="I100">
        <f>IF(Skills!AA19&lt;&gt;"",1+(Skills!AA19/10)*(U84/1000)/100,1)</f>
        <v/>
      </c>
      <c r="J100" t="inlineStr"/>
      <c r="K100" t="inlineStr"/>
      <c r="L100" t="inlineStr"/>
      <c r="M100" t="inlineStr"/>
      <c r="N100" t="inlineStr"/>
      <c r="O100" t="n">
        <v>0</v>
      </c>
      <c r="P100">
        <f>IF(B125=0,0,O100/B125)</f>
        <v/>
      </c>
      <c r="Q100">
        <f>IFERROR(1/IF(Inputs!$B$4="pvp",15,MAX(0.1,Skills!D19-IF(Skills!E19=TRUE,Inputs!$B$31,0))),0)</f>
        <v/>
      </c>
      <c r="R100">
        <f>IF(AND(Inputs!$B$4&lt;&gt;"pvp",Inputs!$B$35&gt;0),(INT(Inputs!$B$35/IF(Inputs!$B$4="pvp",15,MAX(0.1,Skills!D19-IF(Skills!E19=TRUE,Inputs!$B$31,0))))+1),0)</f>
        <v/>
      </c>
      <c r="S100">
        <f>IFERROR(O100/N100,0)</f>
        <v/>
      </c>
    </row>
    <row r="101">
      <c r="A101">
        <f>Skills!A20</f>
        <v/>
      </c>
      <c r="B101">
        <f>Skills!B20</f>
        <v/>
      </c>
      <c r="C101">
        <f>Inputs!$B$3&gt;=15</f>
        <v/>
      </c>
      <c r="D101">
        <f>IF(Skills!C20=1,60+Inputs!$B$24+Inputs!$B$28,IF(Skills!C20=2,90+Inputs!$B$25+Inputs!$B$28,IF(Skills!C20=3,120+Inputs!$B$26+Inputs!$B$28,MAX(0,(Inputs!$B$3-100)*3)+Inputs!$B$27+Inputs!$B$28)))</f>
        <v/>
      </c>
      <c r="E101">
        <f>INDEX(FactorTable!$B$2:$Y$301, MATCH(ROUND(MIN(300,MAX(1,D101)),0), FactorTable!$A$2:$A$301,0), Skills!M20+1)</f>
        <v/>
      </c>
      <c r="F101">
        <f>IF(Skills!N20=TRUE,(Skills!L20/10)*(E101/1000),Skills!L20/10)+Skills!O20</f>
        <v/>
      </c>
      <c r="G101">
        <f>Calc!G20</f>
        <v/>
      </c>
      <c r="H101">
        <f>Calc!H20</f>
        <v/>
      </c>
      <c r="I101">
        <f>IF(Skills!AA20&lt;&gt;"",1+(Skills!AA20/10)*(U84/1000)/100,1)</f>
        <v/>
      </c>
      <c r="J101" t="inlineStr"/>
      <c r="K101" t="inlineStr"/>
      <c r="L101" t="inlineStr"/>
      <c r="M101" t="inlineStr"/>
      <c r="N101" t="inlineStr"/>
      <c r="O101" t="n">
        <v>0</v>
      </c>
      <c r="P101">
        <f>IF(B125=0,0,O101/B125)</f>
        <v/>
      </c>
      <c r="Q101">
        <f>IFERROR(1/IF(Inputs!$B$4="pvp",15,MAX(0.1,Skills!D20-IF(Skills!E20=TRUE,Inputs!$B$31,0))),0)</f>
        <v/>
      </c>
      <c r="R101">
        <f>IF(AND(Inputs!$B$4&lt;&gt;"pvp",Inputs!$B$35&gt;0),(INT(Inputs!$B$35/IF(Inputs!$B$4="pvp",15,MAX(0.1,Skills!D20-IF(Skills!E20=TRUE,Inputs!$B$31,0))))+1),0)</f>
        <v/>
      </c>
      <c r="S101">
        <f>IFERROR(O101/N101,0)</f>
        <v/>
      </c>
    </row>
    <row r="102">
      <c r="A102">
        <f>Skills!A21</f>
        <v/>
      </c>
      <c r="B102">
        <f>Skills!B21</f>
        <v/>
      </c>
      <c r="C102">
        <f>Inputs!$B$3&gt;=15</f>
        <v/>
      </c>
      <c r="D102">
        <f>IF(Skills!C21=1,60+Inputs!$B$24+Inputs!$B$28,IF(Skills!C21=2,90+Inputs!$B$25+Inputs!$B$28,IF(Skills!C21=3,120+Inputs!$B$26+Inputs!$B$28,MAX(0,(Inputs!$B$3-100)*3)+Inputs!$B$27+Inputs!$B$28)))</f>
        <v/>
      </c>
      <c r="E102">
        <f>INDEX(FactorTable!$B$2:$Y$301, MATCH(ROUND(MIN(300,MAX(1,D102)),0), FactorTable!$A$2:$A$301,0), Skills!M21+1)</f>
        <v/>
      </c>
      <c r="F102">
        <f>IF(Skills!N21=TRUE,(Skills!L21/10)*(E102/1000),Skills!L21/10)+Skills!O21</f>
        <v/>
      </c>
      <c r="G102">
        <f>Calc!G21</f>
        <v/>
      </c>
      <c r="H102">
        <f>Calc!H21</f>
        <v/>
      </c>
      <c r="I102">
        <f>IF(Skills!AA21&lt;&gt;"",1+(Skills!AA21/10)*(U84/1000)/100,1)</f>
        <v/>
      </c>
      <c r="J102" t="inlineStr"/>
      <c r="K102" t="inlineStr"/>
      <c r="L102" t="inlineStr"/>
      <c r="M102" t="inlineStr"/>
      <c r="N102" t="inlineStr"/>
      <c r="O102" t="n">
        <v>0</v>
      </c>
      <c r="P102">
        <f>IF(B125=0,0,O102/B125)</f>
        <v/>
      </c>
      <c r="Q102">
        <f>IFERROR(1/IF(Inputs!$B$4="pvp",15,MAX(0.1,Skills!D21-IF(Skills!E21=TRUE,Inputs!$B$31,0))),0)</f>
        <v/>
      </c>
      <c r="R102">
        <f>IF(AND(Inputs!$B$4&lt;&gt;"pvp",Inputs!$B$35&gt;0),(INT(Inputs!$B$35/IF(Inputs!$B$4="pvp",15,MAX(0.1,Skills!D21-IF(Skills!E21=TRUE,Inputs!$B$31,0))))+1),0)</f>
        <v/>
      </c>
      <c r="S102">
        <f>IFERROR(O102/N102,0)</f>
        <v/>
      </c>
    </row>
    <row r="103">
      <c r="A103">
        <f>Skills!A22</f>
        <v/>
      </c>
      <c r="B103">
        <f>Skills!B22</f>
        <v/>
      </c>
      <c r="C103">
        <f>Inputs!$B$3&gt;=33</f>
        <v/>
      </c>
      <c r="D103">
        <f>IF(Skills!C22=1,60+Inputs!$B$24+Inputs!$B$28,IF(Skills!C22=2,90+Inputs!$B$25+Inputs!$B$28,IF(Skills!C22=3,120+Inputs!$B$26+Inputs!$B$28,MAX(0,(Inputs!$B$3-100)*3)+Inputs!$B$27+Inputs!$B$28)))</f>
        <v/>
      </c>
      <c r="E103">
        <f>INDEX(FactorTable!$B$2:$Y$301, MATCH(ROUND(MIN(300,MAX(1,D103)),0), FactorTable!$A$2:$A$301,0), Skills!M22+1)</f>
        <v/>
      </c>
      <c r="F103">
        <f>IF(Skills!N22=TRUE,(Skills!L22/10)*(E103/1000),Skills!L22/10)+Skills!O22</f>
        <v/>
      </c>
      <c r="G103">
        <f>Calc!G22</f>
        <v/>
      </c>
      <c r="H103">
        <f>Calc!H22</f>
        <v/>
      </c>
      <c r="I103">
        <f>IF(Skills!AA22&lt;&gt;"",1+(Skills!AA22/10)*(U84/1000)/100,1)</f>
        <v/>
      </c>
      <c r="J103" t="inlineStr"/>
      <c r="K103" t="inlineStr"/>
      <c r="L103" t="inlineStr"/>
      <c r="M103" t="inlineStr"/>
      <c r="N103" t="inlineStr"/>
      <c r="O103" t="n">
        <v>0</v>
      </c>
      <c r="P103">
        <f>IF(B125=0,0,O103/B125)</f>
        <v/>
      </c>
      <c r="Q103" t="n">
        <v>0</v>
      </c>
      <c r="R103" t="n">
        <v>0</v>
      </c>
      <c r="S103">
        <f>IFERROR(O103/N103,0)</f>
        <v/>
      </c>
    </row>
    <row r="104">
      <c r="A104">
        <f>Skills!A23</f>
        <v/>
      </c>
      <c r="B104">
        <f>Skills!B23</f>
        <v/>
      </c>
      <c r="C104">
        <f>Inputs!$B$3&gt;=38</f>
        <v/>
      </c>
      <c r="D104">
        <f>IF(Skills!C23=1,60+Inputs!$B$24+Inputs!$B$28,IF(Skills!C23=2,90+Inputs!$B$25+Inputs!$B$28,IF(Skills!C23=3,120+Inputs!$B$26+Inputs!$B$28,MAX(0,(Inputs!$B$3-100)*3)+Inputs!$B$27+Inputs!$B$28)))</f>
        <v/>
      </c>
      <c r="E104">
        <f>INDEX(FactorTable!$B$2:$Y$301, MATCH(ROUND(MIN(300,MAX(1,D104)),0), FactorTable!$A$2:$A$301,0), Skills!M23+1)</f>
        <v/>
      </c>
      <c r="F104">
        <f>IF(Skills!N23=TRUE,(Skills!L23/10)*(E104/1000),Skills!L23/10)+Skills!O23</f>
        <v/>
      </c>
      <c r="G104">
        <f>Calc!G23</f>
        <v/>
      </c>
      <c r="H104">
        <f>Calc!H23</f>
        <v/>
      </c>
      <c r="I104">
        <f>IF(Skills!AA23&lt;&gt;"",1+(Skills!AA23/10)*(U84/1000)/100,1)</f>
        <v/>
      </c>
      <c r="J104" t="inlineStr"/>
      <c r="K104" t="inlineStr"/>
      <c r="L104" t="inlineStr"/>
      <c r="M104" t="inlineStr"/>
      <c r="N104" t="inlineStr"/>
      <c r="O104" t="n">
        <v>0</v>
      </c>
      <c r="P104">
        <f>IF(B125=0,0,O104/B125)</f>
        <v/>
      </c>
      <c r="Q104" t="n">
        <v>0</v>
      </c>
      <c r="R104" t="n">
        <v>0</v>
      </c>
      <c r="S104">
        <f>IFERROR(O104/N104,0)</f>
        <v/>
      </c>
    </row>
    <row r="105">
      <c r="A105">
        <f>Skills!A24</f>
        <v/>
      </c>
      <c r="B105">
        <f>Skills!B24</f>
        <v/>
      </c>
      <c r="C105">
        <f>Inputs!$B$3&gt;=40</f>
        <v/>
      </c>
      <c r="D105">
        <f>IF(Skills!C24=1,60+Inputs!$B$24+Inputs!$B$28,IF(Skills!C24=2,90+Inputs!$B$25+Inputs!$B$28,IF(Skills!C24=3,120+Inputs!$B$26+Inputs!$B$28,MAX(0,(Inputs!$B$3-100)*3)+Inputs!$B$27+Inputs!$B$28)))</f>
        <v/>
      </c>
      <c r="E105">
        <f>INDEX(FactorTable!$B$2:$Y$301, MATCH(ROUND(MIN(300,MAX(1,D105)),0), FactorTable!$A$2:$A$301,0), Skills!M24+1)</f>
        <v/>
      </c>
      <c r="F105">
        <f>IF(Skills!N24=TRUE,(Skills!L24/10)*(E105/1000),Skills!L24/10)+Skills!O24</f>
        <v/>
      </c>
      <c r="G105">
        <f>Calc!G24</f>
        <v/>
      </c>
      <c r="H105">
        <f>Calc!H24</f>
        <v/>
      </c>
      <c r="I105">
        <f>IF(Skills!AA24&lt;&gt;"",1+(Skills!AA24/10)*(U84/1000)/100,1)</f>
        <v/>
      </c>
      <c r="J105" t="inlineStr"/>
      <c r="K105" t="inlineStr"/>
      <c r="L105" t="inlineStr"/>
      <c r="M105" t="inlineStr"/>
      <c r="N105" t="inlineStr"/>
      <c r="O105" t="n">
        <v>0</v>
      </c>
      <c r="P105">
        <f>IF(B125=0,0,O105/B125)</f>
        <v/>
      </c>
      <c r="Q105" t="n">
        <v>0</v>
      </c>
      <c r="R105" t="n">
        <v>0</v>
      </c>
      <c r="S105">
        <f>IFERROR(O105/N105,0)</f>
        <v/>
      </c>
    </row>
    <row r="106">
      <c r="A106">
        <f>Skills!A25</f>
        <v/>
      </c>
      <c r="B106">
        <f>Skills!B25</f>
        <v/>
      </c>
      <c r="C106">
        <f>Inputs!$B$3&gt;=45</f>
        <v/>
      </c>
      <c r="D106">
        <f>IF(Skills!C25=1,60+Inputs!$B$24+Inputs!$B$28,IF(Skills!C25=2,90+Inputs!$B$25+Inputs!$B$28,IF(Skills!C25=3,120+Inputs!$B$26+Inputs!$B$28,MAX(0,(Inputs!$B$3-100)*3)+Inputs!$B$27+Inputs!$B$28)))</f>
        <v/>
      </c>
      <c r="E106">
        <f>INDEX(FactorTable!$B$2:$Y$301, MATCH(ROUND(MIN(300,MAX(1,D106)),0), FactorTable!$A$2:$A$301,0), Skills!M25+1)</f>
        <v/>
      </c>
      <c r="F106">
        <f>IF(Skills!N25=TRUE,(Skills!L25/10)*(E106/1000),Skills!L25/10)+Skills!O25</f>
        <v/>
      </c>
      <c r="G106">
        <f>Calc!G25</f>
        <v/>
      </c>
      <c r="H106">
        <f>Calc!H25</f>
        <v/>
      </c>
      <c r="I106">
        <f>IF(Skills!AA25&lt;&gt;"",1+(Skills!AA25/10)*(U84/1000)/100,1)</f>
        <v/>
      </c>
      <c r="J106" t="inlineStr"/>
      <c r="K106" t="inlineStr"/>
      <c r="L106" t="inlineStr"/>
      <c r="M106" t="inlineStr"/>
      <c r="N106" t="inlineStr"/>
      <c r="O106" t="n">
        <v>0</v>
      </c>
      <c r="P106">
        <f>IF(B125=0,0,O106/B125)</f>
        <v/>
      </c>
      <c r="Q106" t="n">
        <v>0</v>
      </c>
      <c r="R106" t="n">
        <v>0</v>
      </c>
      <c r="S106">
        <f>IFERROR(O106/N106,0)</f>
        <v/>
      </c>
    </row>
    <row r="107">
      <c r="A107">
        <f>Skills!A26</f>
        <v/>
      </c>
      <c r="B107">
        <f>Skills!B26</f>
        <v/>
      </c>
      <c r="C107">
        <f>Inputs!$B$3&gt;=45</f>
        <v/>
      </c>
      <c r="D107">
        <f>IF(Skills!C26=1,60+Inputs!$B$24+Inputs!$B$28,IF(Skills!C26=2,90+Inputs!$B$25+Inputs!$B$28,IF(Skills!C26=3,120+Inputs!$B$26+Inputs!$B$28,MAX(0,(Inputs!$B$3-100)*3)+Inputs!$B$27+Inputs!$B$28)))</f>
        <v/>
      </c>
      <c r="E107">
        <f>INDEX(FactorTable!$B$2:$Y$301, MATCH(ROUND(MIN(300,MAX(1,D107)),0), FactorTable!$A$2:$A$301,0), Skills!M26+1)</f>
        <v/>
      </c>
      <c r="F107">
        <f>IF(Skills!N26=TRUE,(Skills!L26/10)*(E107/1000),Skills!L26/10)+Skills!O26</f>
        <v/>
      </c>
      <c r="G107">
        <f>Calc!G26</f>
        <v/>
      </c>
      <c r="H107">
        <f>Calc!H26</f>
        <v/>
      </c>
      <c r="I107">
        <f>IF(Skills!AA26&lt;&gt;"",1+(Skills!AA26/10)*(U84/1000)/100,1)</f>
        <v/>
      </c>
      <c r="J107" t="inlineStr"/>
      <c r="K107" t="inlineStr"/>
      <c r="L107" t="inlineStr"/>
      <c r="M107" t="inlineStr"/>
      <c r="N107" t="inlineStr"/>
      <c r="O107" t="n">
        <v>0</v>
      </c>
      <c r="P107">
        <f>IF(B125=0,0,O107/B125)</f>
        <v/>
      </c>
      <c r="Q107" t="n">
        <v>0</v>
      </c>
      <c r="R107" t="n">
        <v>0</v>
      </c>
      <c r="S107">
        <f>IFERROR(O107/N107,0)</f>
        <v/>
      </c>
    </row>
    <row r="108">
      <c r="A108">
        <f>Skills!A27</f>
        <v/>
      </c>
      <c r="B108">
        <f>Skills!B27</f>
        <v/>
      </c>
      <c r="C108">
        <f>Inputs!$B$3&gt;=72</f>
        <v/>
      </c>
      <c r="D108">
        <f>IF(Skills!C27=1,60+Inputs!$B$24+Inputs!$B$28,IF(Skills!C27=2,90+Inputs!$B$25+Inputs!$B$28,IF(Skills!C27=3,120+Inputs!$B$26+Inputs!$B$28,MAX(0,(Inputs!$B$3-100)*3)+Inputs!$B$27+Inputs!$B$28)))</f>
        <v/>
      </c>
      <c r="E108">
        <f>INDEX(FactorTable!$B$2:$Y$301, MATCH(ROUND(MIN(300,MAX(1,D108)),0), FactorTable!$A$2:$A$301,0), Skills!M27+1)</f>
        <v/>
      </c>
      <c r="F108">
        <f>IF(Skills!N27=TRUE,(Skills!L27/10)*(E108/1000),Skills!L27/10)+Skills!O27</f>
        <v/>
      </c>
      <c r="G108">
        <f>Calc!G27</f>
        <v/>
      </c>
      <c r="H108">
        <f>Calc!H27</f>
        <v/>
      </c>
      <c r="I108">
        <f>IF(Skills!AA27&lt;&gt;"",1+(Skills!AA27/10)*(U84/1000)/100,1)</f>
        <v/>
      </c>
      <c r="J108" t="inlineStr"/>
      <c r="K108" t="inlineStr"/>
      <c r="L108" t="inlineStr"/>
      <c r="M108" t="inlineStr"/>
      <c r="N108" t="inlineStr"/>
      <c r="O108" t="n">
        <v>0</v>
      </c>
      <c r="P108">
        <f>IF(B125=0,0,O108/B125)</f>
        <v/>
      </c>
      <c r="Q108" t="n">
        <v>0</v>
      </c>
      <c r="R108" t="n">
        <v>0</v>
      </c>
      <c r="S108">
        <f>IFERROR(O108/N108,0)</f>
        <v/>
      </c>
    </row>
    <row r="109">
      <c r="A109">
        <f>Skills!A28</f>
        <v/>
      </c>
      <c r="B109">
        <f>Skills!B28</f>
        <v/>
      </c>
      <c r="C109">
        <f>Inputs!$B$3&gt;=75</f>
        <v/>
      </c>
      <c r="D109">
        <f>IF(Skills!C28=1,60+Inputs!$B$24+Inputs!$B$28,IF(Skills!C28=2,90+Inputs!$B$25+Inputs!$B$28,IF(Skills!C28=3,120+Inputs!$B$26+Inputs!$B$28,MAX(0,(Inputs!$B$3-100)*3)+Inputs!$B$27+Inputs!$B$28)))</f>
        <v/>
      </c>
      <c r="E109">
        <f>INDEX(FactorTable!$B$2:$Y$301, MATCH(ROUND(MIN(300,MAX(1,D109)),0), FactorTable!$A$2:$A$301,0), Skills!M28+1)</f>
        <v/>
      </c>
      <c r="F109">
        <f>IF(Skills!N28=TRUE,(Skills!L28/10)*(E109/1000),Skills!L28/10)+Skills!O28</f>
        <v/>
      </c>
      <c r="G109">
        <f>Calc!G28</f>
        <v/>
      </c>
      <c r="H109">
        <f>Calc!H28</f>
        <v/>
      </c>
      <c r="I109">
        <f>IF(Skills!AA28&lt;&gt;"",1+(Skills!AA28/10)*(U84/1000)/100,1)</f>
        <v/>
      </c>
      <c r="J109" t="inlineStr"/>
      <c r="K109" t="inlineStr"/>
      <c r="L109" t="inlineStr"/>
      <c r="M109" t="inlineStr"/>
      <c r="N109" t="inlineStr"/>
      <c r="O109" t="n">
        <v>0</v>
      </c>
      <c r="P109">
        <f>IF(B125=0,0,O109/B125)</f>
        <v/>
      </c>
      <c r="Q109" t="n">
        <v>0</v>
      </c>
      <c r="R109" t="n">
        <v>0</v>
      </c>
      <c r="S109">
        <f>IFERROR(O109/N109,0)</f>
        <v/>
      </c>
    </row>
    <row r="110">
      <c r="A110">
        <f>Skills!A29</f>
        <v/>
      </c>
      <c r="B110">
        <f>Skills!B29</f>
        <v/>
      </c>
      <c r="C110">
        <f>Inputs!$B$3&gt;=120</f>
        <v/>
      </c>
      <c r="D110">
        <f>IF(Skills!C29=1,60+Inputs!$B$24+Inputs!$B$28,IF(Skills!C29=2,90+Inputs!$B$25+Inputs!$B$28,IF(Skills!C29=3,120+Inputs!$B$26+Inputs!$B$28,MAX(0,(Inputs!$B$3-100)*3)+Inputs!$B$27+Inputs!$B$28)))</f>
        <v/>
      </c>
      <c r="E110">
        <f>INDEX(FactorTable!$B$2:$Y$301, MATCH(ROUND(MIN(300,MAX(1,D110)),0), FactorTable!$A$2:$A$301,0), Skills!M29+1)</f>
        <v/>
      </c>
      <c r="F110">
        <f>IF(Skills!N29=TRUE,(Skills!L29/10)*(E110/1000),Skills!L29/10)+Skills!O29</f>
        <v/>
      </c>
      <c r="G110">
        <f>Calc!G29</f>
        <v/>
      </c>
      <c r="H110">
        <f>Calc!H29</f>
        <v/>
      </c>
      <c r="I110">
        <f>IF(Skills!AA29&lt;&gt;"",1+(Skills!AA29/10)*(U84/1000)/100,1)</f>
        <v/>
      </c>
      <c r="J110" t="inlineStr"/>
      <c r="K110" t="inlineStr"/>
      <c r="L110" t="inlineStr"/>
      <c r="M110" t="inlineStr"/>
      <c r="N110" t="inlineStr"/>
      <c r="O110" t="n">
        <v>0</v>
      </c>
      <c r="P110">
        <f>IF(B125=0,0,O110/B125)</f>
        <v/>
      </c>
      <c r="Q110" t="n">
        <v>0</v>
      </c>
      <c r="R110" t="n">
        <v>0</v>
      </c>
      <c r="S110">
        <f>IFERROR(O110/N110,0)</f>
        <v/>
      </c>
    </row>
    <row r="111">
      <c r="A111">
        <f>Skills!A30</f>
        <v/>
      </c>
      <c r="B111">
        <f>Skills!B30</f>
        <v/>
      </c>
      <c r="C111">
        <f>Inputs!$B$3&gt;=125</f>
        <v/>
      </c>
      <c r="D111">
        <f>IF(Skills!C30=1,60+Inputs!$B$24+Inputs!$B$28,IF(Skills!C30=2,90+Inputs!$B$25+Inputs!$B$28,IF(Skills!C30=3,120+Inputs!$B$26+Inputs!$B$28,MAX(0,(Inputs!$B$3-100)*3)+Inputs!$B$27+Inputs!$B$28)))</f>
        <v/>
      </c>
      <c r="E111">
        <f>INDEX(FactorTable!$B$2:$Y$301, MATCH(ROUND(MIN(300,MAX(1,D111)),0), FactorTable!$A$2:$A$301,0), Skills!M30+1)</f>
        <v/>
      </c>
      <c r="F111">
        <f>IF(Skills!N30=TRUE,(Skills!L30/10)*(E111/1000),Skills!L30/10)+Skills!O30</f>
        <v/>
      </c>
      <c r="G111">
        <f>Calc!G30</f>
        <v/>
      </c>
      <c r="H111">
        <f>Calc!H30</f>
        <v/>
      </c>
      <c r="I111">
        <f>IF(Skills!AA30&lt;&gt;"",1+(Skills!AA30/10)*(U84/1000)/100,1)</f>
        <v/>
      </c>
      <c r="J111" t="inlineStr"/>
      <c r="K111" t="inlineStr"/>
      <c r="L111" t="inlineStr"/>
      <c r="M111" t="inlineStr"/>
      <c r="N111" t="inlineStr"/>
      <c r="O111" t="n">
        <v>0</v>
      </c>
      <c r="P111">
        <f>IF(B125=0,0,O111/B125)</f>
        <v/>
      </c>
      <c r="Q111" t="n">
        <v>0</v>
      </c>
      <c r="R111" t="n">
        <v>0</v>
      </c>
      <c r="S111">
        <f>IFERROR(O111/N111,0)</f>
        <v/>
      </c>
    </row>
    <row r="112">
      <c r="A112">
        <f>Skills!A31</f>
        <v/>
      </c>
      <c r="B112">
        <f>Skills!B31</f>
        <v/>
      </c>
      <c r="C112">
        <f>Inputs!$B$3&gt;=107</f>
        <v/>
      </c>
      <c r="D112">
        <f>IF(Skills!C31=1,60+Inputs!$B$24+Inputs!$B$28,IF(Skills!C31=2,90+Inputs!$B$25+Inputs!$B$28,IF(Skills!C31=3,120+Inputs!$B$26+Inputs!$B$28,MAX(0,(Inputs!$B$3-100)*3)+Inputs!$B$27+Inputs!$B$28)))</f>
        <v/>
      </c>
      <c r="E112">
        <f>INDEX(FactorTable!$B$2:$Y$301, MATCH(ROUND(MIN(300,MAX(1,D112)),0), FactorTable!$A$2:$A$301,0), Skills!M31+1)</f>
        <v/>
      </c>
      <c r="F112">
        <f>IF(Skills!N31=TRUE,(Skills!L31/10)*(E112/1000),Skills!L31/10)+Skills!O31</f>
        <v/>
      </c>
      <c r="G112">
        <f>Calc!G31</f>
        <v/>
      </c>
      <c r="H112">
        <f>Calc!H31</f>
        <v/>
      </c>
      <c r="I112">
        <f>IF(Skills!AA31&lt;&gt;"",1+(Skills!AA31/10)*(U84/1000)/100,1)</f>
        <v/>
      </c>
      <c r="J112" t="inlineStr"/>
      <c r="K112" t="inlineStr"/>
      <c r="L112" t="inlineStr"/>
      <c r="M112" t="inlineStr"/>
      <c r="N112" t="inlineStr"/>
      <c r="O112" t="n">
        <v>0</v>
      </c>
      <c r="P112">
        <f>IF(B125=0,0,O112/B125)</f>
        <v/>
      </c>
      <c r="Q112" t="n">
        <v>0</v>
      </c>
      <c r="R112" t="n">
        <v>0</v>
      </c>
      <c r="S112">
        <f>IFERROR(O112/N112,0)</f>
        <v/>
      </c>
    </row>
    <row r="114">
      <c r="A114" t="inlineStr">
        <is>
          <t>Actions Per Second (pre-Adrenalin)</t>
        </is>
      </c>
      <c r="B114">
        <f>1+MIN(150,150*(1-(1-(Inputs!$B$10+((C103=TRUE)*(F103-Calc!F22)))/150)*(1-((C100=TRUE)*F100*IF(AND(Inputs!$B$4&lt;&gt;"pvp",Inputs!$B$35&gt;0),(((S100-1)*(Skills!Y19*(1+Inputs!$B$33/100))+MIN((Skills!Y19*(1+Inputs!$B$33/100)),MAX(0,Inputs!$B$35-((S100-1)*Skills!D19))))/Inputs!$B$35),IF(Inputs!$B$4="pvp",MIN((Skills!Y19*(1+Inputs!$B$33/100)),15)/15,(Skills!Y19*(1+Inputs!$B$33/100))/Skills!D19)))/150)))/100</f>
        <v/>
      </c>
    </row>
    <row r="115">
      <c r="A115" t="inlineStr">
        <is>
          <t>Alchemic Adrenaline Uptime</t>
        </is>
      </c>
      <c r="B115">
        <f>(Skills!Y6*(1+Inputs!$B$33/100))/((Skills!Y6*(1+Inputs!$B$33/100))+(5/B114))</f>
        <v/>
      </c>
    </row>
    <row r="116">
      <c r="A116" t="inlineStr">
        <is>
          <t>Attack Speed Buff Bonus %</t>
        </is>
      </c>
      <c r="B116">
        <f>((C100=TRUE)*F100*IF(AND(Inputs!$B$4&lt;&gt;"pvp",Inputs!$B$35&gt;0),(((S100-1)*(Skills!Y19*(1+Inputs!$B$33/100))+MIN((Skills!Y19*(1+Inputs!$B$33/100)),MAX(0,Inputs!$B$35-((S100-1)*Skills!D19))))/Inputs!$B$35),IF(Inputs!$B$4="pvp",MIN((Skills!Y19*(1+Inputs!$B$33/100)),15)/15,(Skills!Y19*(1+Inputs!$B$33/100))/Skills!D19)))+((C88=TRUE)*F88*B115)</f>
        <v/>
      </c>
    </row>
    <row r="117">
      <c r="A117" t="inlineStr">
        <is>
          <t>Actions Per Second (final)</t>
        </is>
      </c>
      <c r="B117">
        <f>1+MIN(150,150*(1-(1-(Inputs!$B$10+((C103=TRUE)*(F103-Calc!F22)))/150)*(1-B116/150)))/100</f>
        <v/>
      </c>
    </row>
    <row r="118">
      <c r="A118" t="inlineStr">
        <is>
          <t>Skill + Buff Cast Rate</t>
        </is>
      </c>
      <c r="B118">
        <f>IF(AND(Inputs!$B$4&lt;&gt;"pvp",Inputs!$B$35&gt;0),SUMPRODUCT((Skills!E2:E31=TRUE)*(C83:C112=TRUE)*R83:R112*Skills!F2:F31)/Inputs!$B$35,SUMPRODUCT((Skills!E2:E31=TRUE)*(C83:C112=TRUE)*Q83:Q112*Skills!F2:F31))</f>
        <v/>
      </c>
    </row>
    <row r="119">
      <c r="A119" t="inlineStr">
        <is>
          <t>Showdown Casts Per Second</t>
        </is>
      </c>
      <c r="B119">
        <f>MAX(0,B117-B118)</f>
        <v/>
      </c>
    </row>
    <row r="120">
      <c r="A120" t="inlineStr">
        <is>
          <t>Average Buff Multiplier</t>
        </is>
      </c>
      <c r="B120">
        <f>(1+(((C102=TRUE)*F102*IF(AND(Inputs!$B$4&lt;&gt;"pvp",Inputs!$B$35&gt;0),(((S102-1)*(Skills!Y21*(1+Inputs!$B$33/100))+MIN((Skills!Y21*(1+Inputs!$B$33/100)),MAX(0,Inputs!$B$35-((S102-1)*Skills!D21))))/Inputs!$B$35),IF(Inputs!$B$4="pvp",MIN((Skills!Y21*(1+Inputs!$B$33/100)),15)/15,(Skills!Y21*(1+Inputs!$B$33/100))/Skills!D21)))+((C109=TRUE)*(F109-Calc!F28))+((C99=TRUE)*(F99-Calc!F18)))/100)*(1+((C96=TRUE)*F96*IF(AND(Inputs!$B$4&lt;&gt;"pvp",Inputs!$B$35&gt;0),(((S96-1)*(Skills!Y15*(1+Inputs!$B$33/100))+MIN((Skills!Y15*(1+Inputs!$B$33/100)),MAX(0,Inputs!$B$35-((S96-1)*Skills!D15))))/Inputs!$B$35),IF(Inputs!$B$4="pvp",MIN((Skills!Y15*(1+Inputs!$B$33/100)),15)/15,(Skills!Y15*(1+Inputs!$B$33/100))/Skills!D15)))/100)*(1+((C87=TRUE)*F87*B115)/100)</f>
        <v/>
      </c>
    </row>
    <row r="121">
      <c r="A121" t="inlineStr">
        <is>
          <t>Global Crit Rate Bonus %</t>
        </is>
      </c>
      <c r="B121">
        <f>IF(Inputs!$B$3&gt;=47,8,0)+((C101=TRUE)*F101*IF(AND(Inputs!$B$4&lt;&gt;"pvp",Inputs!$B$35&gt;0),(((S101-1)*(Skills!Y20*(1+Inputs!$B$33/100))+MIN((Skills!Y20*(1+Inputs!$B$33/100)),MAX(0,Inputs!$B$35-((S101-1)*Skills!D20))))/Inputs!$B$35),IF(Inputs!$B$4="pvp",MIN((Skills!Y20*(1+Inputs!$B$33/100)),15)/15,(Skills!Y20*(1+Inputs!$B$33/100))/Skills!D20)))</f>
        <v/>
      </c>
    </row>
    <row r="122">
      <c r="A122" t="inlineStr">
        <is>
          <t>Global Monster Damage-Taken Bonus %</t>
        </is>
      </c>
      <c r="B122">
        <f>IF(Inputs!$B$3&gt;=82,15,0)+((C97=TRUE)*F97*IF(AND(Inputs!$B$4&lt;&gt;"pvp",Inputs!$B$35&gt;0),(((S97-1)*(Skills!Y16*(1+Inputs!$B$33/100))+MIN((Skills!Y16*(1+Inputs!$B$33/100)),MAX(0,Inputs!$B$35-((S97-1)*Skills!D16))))/Inputs!$B$35),IF(Inputs!$B$4="pvp",MIN((Skills!Y16*(1+Inputs!$B$33/100)),15)/15,(Skills!Y16*(1+Inputs!$B$33/100))/Skills!D16)))</f>
        <v/>
      </c>
    </row>
    <row r="123">
      <c r="A123" t="inlineStr">
        <is>
          <t>Shadow Partner Average Multiplier</t>
        </is>
      </c>
      <c r="B123">
        <f>1+((C92=TRUE)*F92*I92*Skills!J11/100)/100</f>
        <v/>
      </c>
    </row>
    <row r="124">
      <c r="A124" t="inlineStr">
        <is>
          <t>Global Critical Damage Bonus % (Frailty Curse Mastery Lv.111)</t>
        </is>
      </c>
      <c r="B124">
        <f>IF(Inputs!$B$3&gt;=111,30,0)*IF(AND(Inputs!$B$4&lt;&gt;"pvp",Inputs!$B$35&gt;0),(((S97-1)*(Skills!Y16*(1+Inputs!$B$33/100))+MIN((Skills!Y16*(1+Inputs!$B$33/100)),MAX(0,Inputs!$B$35-((S97-1)*Skills!D16))))/Inputs!$B$35),IF(Inputs!$B$4="pvp",MIN((Skills!Y16*(1+Inputs!$B$33/100)),15)/15,(Skills!Y16*(1+Inputs!$B$33/100))/Skills!D16))</f>
        <v/>
      </c>
    </row>
    <row r="125">
      <c r="A125" s="5" t="inlineStr">
        <is>
          <t>TOTAL DPS</t>
        </is>
      </c>
      <c r="B125" s="5">
        <f>SUM(O83:O112)</f>
        <v/>
      </c>
    </row>
    <row r="128">
      <c r="A128" s="5" t="inlineStr">
        <is>
          <t>Stat: DEX</t>
        </is>
      </c>
    </row>
    <row r="129">
      <c r="A129" s="8" t="inlineStr">
        <is>
          <t>Key</t>
        </is>
      </c>
      <c r="B129" s="8" t="inlineStr">
        <is>
          <t>Name</t>
        </is>
      </c>
      <c r="C129" s="8" t="inlineStr">
        <is>
          <t>Unlocked</t>
        </is>
      </c>
      <c r="D129" s="8" t="inlineStr">
        <is>
          <t>InputLevel</t>
        </is>
      </c>
      <c r="E129" s="8" t="inlineStr">
        <is>
          <t>Factor</t>
        </is>
      </c>
      <c r="F129" s="8" t="inlineStr">
        <is>
          <t>CoefficientPercent</t>
        </is>
      </c>
      <c r="G129" s="8" t="inlineStr">
        <is>
          <t>EffectiveHits</t>
        </is>
      </c>
      <c r="H129" s="8" t="inlineStr">
        <is>
          <t>ProcProbability</t>
        </is>
      </c>
      <c r="I129" s="8" t="inlineStr">
        <is>
          <t>MapleHeroMultiplier</t>
        </is>
      </c>
      <c r="J129" s="8" t="inlineStr">
        <is>
          <t>BaseDamage</t>
        </is>
      </c>
      <c r="K129" s="8" t="inlineStr">
        <is>
          <t>BaseHitDamage</t>
        </is>
      </c>
      <c r="L129" s="8" t="inlineStr">
        <is>
          <t>NonCritAvg</t>
        </is>
      </c>
      <c r="M129" s="8" t="inlineStr">
        <is>
          <t>CritAvg</t>
        </is>
      </c>
      <c r="N129" s="8" t="inlineStr">
        <is>
          <t>ExpectedDamage(perHit)</t>
        </is>
      </c>
      <c r="O129" s="8" t="inlineStr">
        <is>
          <t>DPS</t>
        </is>
      </c>
      <c r="P129" s="8" t="inlineStr">
        <is>
          <t>% of Total</t>
        </is>
      </c>
      <c r="Q129" s="8" t="inlineStr">
        <is>
          <t>InvCooldown</t>
        </is>
      </c>
      <c r="R129" s="8" t="inlineStr">
        <is>
          <t>CastsInFight</t>
        </is>
      </c>
      <c r="S129" s="8" t="inlineStr">
        <is>
          <t>HitRate(perSec)</t>
        </is>
      </c>
      <c r="U129" t="inlineStr">
        <is>
          <t>helpers</t>
        </is>
      </c>
    </row>
    <row r="130">
      <c r="A130">
        <f>Skills!A2</f>
        <v/>
      </c>
      <c r="B130">
        <f>Skills!B2</f>
        <v/>
      </c>
      <c r="C130">
        <f>Inputs!$B$3&gt;=100</f>
        <v/>
      </c>
      <c r="D130" t="inlineStr"/>
      <c r="E130" t="inlineStr"/>
      <c r="F130">
        <f>U134+Skills!O2</f>
        <v/>
      </c>
      <c r="G130">
        <f>Calc!G2</f>
        <v/>
      </c>
      <c r="H130">
        <f>Calc!H2</f>
        <v/>
      </c>
      <c r="I130">
        <f>IF(Skills!AA2&lt;&gt;"",1+(Skills!AA2/10)*(U131/1000)/100,1)</f>
        <v/>
      </c>
      <c r="J130">
        <f>(Inputs!$B$5*(1+Inputs!$B$6/100))*(F130/100)</f>
        <v/>
      </c>
      <c r="K130">
        <f>J130*(1+((Inputs!$B$11*(1+Inputs!$B$12/100))*0.01+(Inputs!$B$13+1)*0.0025)/100)*(1+Inputs!$B$14/100)*(1+IF(Inputs!$B$4="pvp",0,(1-Summary!$B$55)*(Inputs!$B$19+((C155=TRUE)*(F155-Calc!F27))+Skills!P2+B169)+Summary!$B$55*(Inputs!$B$20+Skills!Q2+B169))/100)*(1+Inputs!$B$15/100)*(5000/(6000+Inputs!$B$7*(1-Inputs!$B$18/100)))*(1+(Inputs!$B$23+((C158=TRUE)*(F158-Calc!F30)))/100)*(1+Skills!R2/100)*(1+(IF(Skills!A2="SHOWDOWN",Inputs!$B$16+((C151=TRUE)*(F151-Calc!F23)),Inputs!$B$17+((C157=TRUE)*(F157-Calc!F29))))/100)*(((1+(((C149=TRUE)*F149*IF(AND(Inputs!$B$4&lt;&gt;"pvp",Inputs!$B$35&gt;0),(((S149-1)*(Skills!Y21*(1+Inputs!$B$33/100))+MIN((Skills!Y21*(1+Inputs!$B$33/100)),MAX(0,Inputs!$B$35-((S149-1)*Skills!D21))))/Inputs!$B$35),IF(Inputs!$B$4="pvp",MIN((Skills!Y21*(1+Inputs!$B$33/100)),15)/15,(Skills!Y21*(1+Inputs!$B$33/100))/Skills!D21)))+((C156=TRUE)*(F156-Calc!F28))+((C146=TRUE)*(F146-Calc!F18)))/100)*(1+((C143=TRUE)*F143*IF(AND(Inputs!$B$4&lt;&gt;"pvp",Inputs!$B$35&gt;0),(((S143-1)*(Skills!Y15*(1+Inputs!$B$33/100))+MIN((Skills!Y15*(1+Inputs!$B$33/100)),MAX(0,Inputs!$B$35-((S143-1)*Skills!D15))))/Inputs!$B$35),IF(Inputs!$B$4="pvp",MIN((Skills!Y15*(1+Inputs!$B$33/100)),15)/15,(Skills!Y15*(1+Inputs!$B$33/100))/Skills!D15)))/100)*(1+((C134=TRUE)*F134*B162)/100))*B170*I130)</f>
        <v/>
      </c>
      <c r="L130">
        <f>K130*(MIN(Inputs!$B$21+((C152=TRUE)*(F152-Calc!F24)),Inputs!$B$22)/100+Inputs!$B$22/100)/2</f>
        <v/>
      </c>
      <c r="M130">
        <f>L130*(1+(Inputs!$B$9+((C154=TRUE)*(F154-Calc!F26))+B171)/100)</f>
        <v/>
      </c>
      <c r="N130">
        <f>L130*(1-MIN((Inputs!$B$8+((C153=TRUE)*(F153-Calc!F25))+B168),100)/100)+M130*(MIN((Inputs!$B$8+((C153=TRUE)*(F153-Calc!F25))+B168),100)/100)</f>
        <v/>
      </c>
      <c r="O130">
        <f>IF(C130,Skills!G2*N130*B166*IF(Inputs!$B$4="pvp",1,(1-Summary!$B$55)*(1)+Summary!$B$55*(MIN((6+Inputs!$B$32),Inputs!$B$37))),0)</f>
        <v/>
      </c>
      <c r="P130">
        <f>IF(B172=0,0,O130/B172)</f>
        <v/>
      </c>
      <c r="Q130" t="n">
        <v>0</v>
      </c>
      <c r="R130" t="n">
        <v>0</v>
      </c>
      <c r="S130">
        <f>IFERROR(O130/N130,0)</f>
        <v/>
      </c>
      <c r="U130">
        <f>MAX(0,(Inputs!$B$3-100)*3)+Inputs!$B$27+Inputs!$B$28</f>
        <v/>
      </c>
    </row>
    <row r="131">
      <c r="A131">
        <f>Skills!A3</f>
        <v/>
      </c>
      <c r="B131">
        <f>Skills!B3</f>
        <v/>
      </c>
      <c r="C131">
        <f>Inputs!$B$3&gt;=35</f>
        <v/>
      </c>
      <c r="D131">
        <f>IF(Skills!C3=1,60+Inputs!$B$24+Inputs!$B$28,IF(Skills!C3=2,90+Inputs!$B$25+Inputs!$B$28,IF(Skills!C3=3,120+Inputs!$B$26+Inputs!$B$28,MAX(0,(Inputs!$B$3-100)*3)+Inputs!$B$27+Inputs!$B$28)))</f>
        <v/>
      </c>
      <c r="E131">
        <f>INDEX(FactorTable!$B$2:$Y$301, MATCH(ROUND(MIN(300,MAX(1,D131)),0), FactorTable!$A$2:$A$301,0), Skills!M3+1)</f>
        <v/>
      </c>
      <c r="F131">
        <f>IF(Skills!N3=TRUE,(Skills!L3/10)*(E131/1000),Skills!L3/10)+Skills!O3</f>
        <v/>
      </c>
      <c r="G131">
        <f>Calc!G3</f>
        <v/>
      </c>
      <c r="H131">
        <f>Calc!H3</f>
        <v/>
      </c>
      <c r="I131">
        <f>IF(Skills!AA3&lt;&gt;"",1+(Skills!AA3/10)*(U131/1000)/100,1)</f>
        <v/>
      </c>
      <c r="J131">
        <f>(Inputs!$B$5*(1+Inputs!$B$6/100))*(F131/100)</f>
        <v/>
      </c>
      <c r="K131">
        <f>J131*(1+((Inputs!$B$11*(1+Inputs!$B$12/100))*0.01+(Inputs!$B$13+1)*0.0025)/100)*(1+Inputs!$B$14/100)*(1+IF(Inputs!$B$4="pvp",0,(1-Summary!$B$55)*(Inputs!$B$19+((C155=TRUE)*(F155-Calc!F27))+Skills!P3+B169)+Summary!$B$55*(Inputs!$B$20+Skills!Q3+B169))/100)*(1+Inputs!$B$15/100)*(5000/(6000+Inputs!$B$7*(1-Inputs!$B$18/100)))*(1+(Inputs!$B$23+((C158=TRUE)*(F158-Calc!F30)))/100)*(1+Skills!R3/100)*(1+(IF(Skills!A3="SHOWDOWN",Inputs!$B$16+((C151=TRUE)*(F151-Calc!F23)),Inputs!$B$17+((C157=TRUE)*(F157-Calc!F29))))/100)*(((1+(((C149=TRUE)*F149*IF(AND(Inputs!$B$4&lt;&gt;"pvp",Inputs!$B$35&gt;0),(((S149-1)*(Skills!Y21*(1+Inputs!$B$33/100))+MIN((Skills!Y21*(1+Inputs!$B$33/100)),MAX(0,Inputs!$B$35-((S149-1)*Skills!D21))))/Inputs!$B$35),IF(Inputs!$B$4="pvp",MIN((Skills!Y21*(1+Inputs!$B$33/100)),15)/15,(Skills!Y21*(1+Inputs!$B$33/100))/Skills!D21)))+((C156=TRUE)*(F156-Calc!F28))+((C146=TRUE)*(F146-Calc!F18)))/100)*(1+((C143=TRUE)*F143*IF(AND(Inputs!$B$4&lt;&gt;"pvp",Inputs!$B$35&gt;0),(((S143-1)*(Skills!Y15*(1+Inputs!$B$33/100))+MIN((Skills!Y15*(1+Inputs!$B$33/100)),MAX(0,Inputs!$B$35-((S143-1)*Skills!D15))))/Inputs!$B$35),IF(Inputs!$B$4="pvp",MIN((Skills!Y15*(1+Inputs!$B$33/100)),15)/15,(Skills!Y15*(1+Inputs!$B$33/100))/Skills!D15)))/100)*(1+((C134=TRUE)*F134*B162)/100))*B170*I131)</f>
        <v/>
      </c>
      <c r="L131">
        <f>K131*(MIN(Inputs!$B$21+((C152=TRUE)*(F152-Calc!F24)),Inputs!$B$22)/100+Inputs!$B$22/100)/2</f>
        <v/>
      </c>
      <c r="M131">
        <f>L131*(1+(Inputs!$B$9+((C154=TRUE)*(F154-Calc!F26))+B171)/100)</f>
        <v/>
      </c>
      <c r="N131">
        <f>L131*(1-MIN((Inputs!$B$8+((C153=TRUE)*(F153-Calc!F25))+B168),100)/100)+M131*(MIN((Inputs!$B$8+((C153=TRUE)*(F153-Calc!F25))+B168),100)/100)</f>
        <v/>
      </c>
      <c r="O131">
        <f>IF(C131,H131*N131*IF(AND(Inputs!$B$4&lt;&gt;"pvp",Inputs!$B$35&gt;0),((Skills!G3*((R131-1)*IF(Skills!H3&gt;0,Skills!I3/Skills!H3,1)+IF(Skills!H3&gt;0,MIN(Skills!I3,MAX(0,Inputs!$B$35-((R131-1)*IF(Inputs!$B$4="pvp",15,MAX(0.1,Skills!D3-IF(Skills!E3=TRUE,Inputs!$B$31,0))))))/Skills!H3,1)))/Inputs!$B$35),G131*Q131)*IF(Inputs!$B$4="pvp",1,(1-Summary!$B$55)*(1)+Summary!$B$55*(MIN(Skills!W3,Inputs!$B$37))),0)</f>
        <v/>
      </c>
      <c r="P131">
        <f>IF(B172=0,0,O131/B172)</f>
        <v/>
      </c>
      <c r="Q131">
        <f>IFERROR(1/IF(Inputs!$B$4="pvp",15,MAX(0.1,Skills!D3-IF(Skills!E3=TRUE,Inputs!$B$31,0))),0)</f>
        <v/>
      </c>
      <c r="R131">
        <f>IF(AND(Inputs!$B$4&lt;&gt;"pvp",Inputs!$B$35&gt;0),(INT(Inputs!$B$35/IF(Inputs!$B$4="pvp",15,MAX(0.1,Skills!D3-IF(Skills!E3=TRUE,Inputs!$B$31,0))))+1),0)</f>
        <v/>
      </c>
      <c r="S131">
        <f>IFERROR(O131/N131,0)</f>
        <v/>
      </c>
      <c r="U131">
        <f>INDEX(FactorTable!$B$2:$Y$301, MATCH(ROUND(MIN(300,MAX(1,U130)),0), FactorTable!$A$2:$A$301,0), 24)</f>
        <v/>
      </c>
    </row>
    <row r="132">
      <c r="A132">
        <f>Skills!A4</f>
        <v/>
      </c>
      <c r="B132">
        <f>Skills!B4</f>
        <v/>
      </c>
      <c r="C132">
        <f>Inputs!$B$3&gt;=40</f>
        <v/>
      </c>
      <c r="D132">
        <f>IF(Skills!C4=1,60+Inputs!$B$24+Inputs!$B$28,IF(Skills!C4=2,90+Inputs!$B$25+Inputs!$B$28,IF(Skills!C4=3,120+Inputs!$B$26+Inputs!$B$28,MAX(0,(Inputs!$B$3-100)*3)+Inputs!$B$27+Inputs!$B$28)))</f>
        <v/>
      </c>
      <c r="E132">
        <f>INDEX(FactorTable!$B$2:$Y$301, MATCH(ROUND(MIN(300,MAX(1,D132)),0), FactorTable!$A$2:$A$301,0), Skills!M4+1)</f>
        <v/>
      </c>
      <c r="F132">
        <f>IF(Skills!N4=TRUE,(Skills!L4/10)*(E132/1000),Skills!L4/10)+Skills!O4</f>
        <v/>
      </c>
      <c r="G132">
        <f>Calc!G4</f>
        <v/>
      </c>
      <c r="H132">
        <f>Calc!H4</f>
        <v/>
      </c>
      <c r="I132">
        <f>IF(Skills!AA4&lt;&gt;"",1+(Skills!AA4/10)*(U131/1000)/100,1)</f>
        <v/>
      </c>
      <c r="J132">
        <f>(Inputs!$B$5*(1+Inputs!$B$6/100))*(F132/100)</f>
        <v/>
      </c>
      <c r="K132">
        <f>J132*(1+((Inputs!$B$11*(1+Inputs!$B$12/100))*0.01+(Inputs!$B$13+1)*0.0025)/100)*(1+Inputs!$B$14/100)*(1+IF(Inputs!$B$4="pvp",0,(1-Summary!$B$55)*(Inputs!$B$19+((C155=TRUE)*(F155-Calc!F27))+Skills!P4+B169)+Summary!$B$55*(Inputs!$B$20+Skills!Q4+B169))/100)*(1+Inputs!$B$15/100)*(5000/(6000+Inputs!$B$7*(1-Inputs!$B$18/100)))*(1+(Inputs!$B$23+((C158=TRUE)*(F158-Calc!F30)))/100)*(1+Skills!R4/100)*(1+(IF(Skills!A4="SHOWDOWN",Inputs!$B$16+((C151=TRUE)*(F151-Calc!F23)),Inputs!$B$17+((C157=TRUE)*(F157-Calc!F29))))/100)*(((1+(((C149=TRUE)*F149*IF(AND(Inputs!$B$4&lt;&gt;"pvp",Inputs!$B$35&gt;0),(((S149-1)*(Skills!Y21*(1+Inputs!$B$33/100))+MIN((Skills!Y21*(1+Inputs!$B$33/100)),MAX(0,Inputs!$B$35-((S149-1)*Skills!D21))))/Inputs!$B$35),IF(Inputs!$B$4="pvp",MIN((Skills!Y21*(1+Inputs!$B$33/100)),15)/15,(Skills!Y21*(1+Inputs!$B$33/100))/Skills!D21)))+((C156=TRUE)*(F156-Calc!F28))+((C146=TRUE)*(F146-Calc!F18)))/100)*(1+((C143=TRUE)*F143*IF(AND(Inputs!$B$4&lt;&gt;"pvp",Inputs!$B$35&gt;0),(((S143-1)*(Skills!Y15*(1+Inputs!$B$33/100))+MIN((Skills!Y15*(1+Inputs!$B$33/100)),MAX(0,Inputs!$B$35-((S143-1)*Skills!D15))))/Inputs!$B$35),IF(Inputs!$B$4="pvp",MIN((Skills!Y15*(1+Inputs!$B$33/100)),15)/15,(Skills!Y15*(1+Inputs!$B$33/100))/Skills!D15)))/100)*(1+((C134=TRUE)*F134*B162)/100))*B170*I132)</f>
        <v/>
      </c>
      <c r="L132">
        <f>K132*(MIN(Inputs!$B$21+((C152=TRUE)*(F152-Calc!F24)),Inputs!$B$22)/100+Inputs!$B$22/100)/2</f>
        <v/>
      </c>
      <c r="M132">
        <f>L132*(1+(Inputs!$B$9+((C154=TRUE)*(F154-Calc!F26))+B171)/100)</f>
        <v/>
      </c>
      <c r="N132">
        <f>L132*(1-MIN((Inputs!$B$8+((C153=TRUE)*(F153-Calc!F25))+B168),100)/100)+M132*(MIN((Inputs!$B$8+((C153=TRUE)*(F153-Calc!F25))+B168),100)/100)</f>
        <v/>
      </c>
      <c r="O132">
        <f>IF(C132,H132*N132*IF(AND(Inputs!$B$4&lt;&gt;"pvp",Inputs!$B$35&gt;0),((Skills!G4*((R132-1)*IF(Skills!H4&gt;0,Skills!I4/Skills!H4,1)+IF(Skills!H4&gt;0,MIN(Skills!I4,MAX(0,Inputs!$B$35-((R132-1)*IF(Inputs!$B$4="pvp",15,MAX(0.1,Skills!D4-IF(Skills!E4=TRUE,Inputs!$B$31,0))))))/Skills!H4,1)))/Inputs!$B$35),G132*Q132)*IF(Inputs!$B$4="pvp",1,(1-Summary!$B$55)*(1)+Summary!$B$55*(MIN(Skills!W4,Inputs!$B$37))),0)</f>
        <v/>
      </c>
      <c r="P132">
        <f>IF(B172=0,0,O132/B172)</f>
        <v/>
      </c>
      <c r="Q132">
        <f>IFERROR(1/IF(Inputs!$B$4="pvp",15,MAX(0.1,Skills!D4-IF(Skills!E4=TRUE,Inputs!$B$31,0))),0)</f>
        <v/>
      </c>
      <c r="R132">
        <f>IF(AND(Inputs!$B$4&lt;&gt;"pvp",Inputs!$B$35&gt;0),(INT(Inputs!$B$35/IF(Inputs!$B$4="pvp",15,MAX(0.1,Skills!D4-IF(Skills!E4=TRUE,Inputs!$B$31,0))))+1),0)</f>
        <v/>
      </c>
      <c r="S132">
        <f>IFERROR(O132/N132,0)</f>
        <v/>
      </c>
      <c r="U132">
        <f>MAX(0,(Inputs!$B$3-100)*3)+Inputs!$B$27+Inputs!$B$28</f>
        <v/>
      </c>
    </row>
    <row r="133">
      <c r="A133">
        <f>Skills!A5</f>
        <v/>
      </c>
      <c r="B133">
        <f>Skills!B5</f>
        <v/>
      </c>
      <c r="C133">
        <f>Inputs!$B$3&gt;=63</f>
        <v/>
      </c>
      <c r="D133">
        <f>IF(Skills!C5=1,60+Inputs!$B$24+Inputs!$B$28,IF(Skills!C5=2,90+Inputs!$B$25+Inputs!$B$28,IF(Skills!C5=3,120+Inputs!$B$26+Inputs!$B$28,MAX(0,(Inputs!$B$3-100)*3)+Inputs!$B$27+Inputs!$B$28)))</f>
        <v/>
      </c>
      <c r="E133">
        <f>INDEX(FactorTable!$B$2:$Y$301, MATCH(ROUND(MIN(300,MAX(1,D133)),0), FactorTable!$A$2:$A$301,0), Skills!M5+1)</f>
        <v/>
      </c>
      <c r="F133">
        <f>IF(Skills!N5=TRUE,(Skills!L5/10)*(E133/1000),Skills!L5/10)+Skills!O5</f>
        <v/>
      </c>
      <c r="G133">
        <f>Calc!G5</f>
        <v/>
      </c>
      <c r="H133">
        <f>Calc!H5</f>
        <v/>
      </c>
      <c r="I133">
        <f>IF(Skills!AA5&lt;&gt;"",1+(Skills!AA5/10)*(U131/1000)/100,1)</f>
        <v/>
      </c>
      <c r="J133">
        <f>(Inputs!$B$5*(1+Inputs!$B$6/100))*(F133/100)</f>
        <v/>
      </c>
      <c r="K133">
        <f>J133*(1+((Inputs!$B$11*(1+Inputs!$B$12/100))*0.01+(Inputs!$B$13+1)*0.0025)/100)*(1+Inputs!$B$14/100)*(1+IF(Inputs!$B$4="pvp",0,(1-Summary!$B$55)*(Inputs!$B$19+((C155=TRUE)*(F155-Calc!F27))+Skills!P5+B169)+Summary!$B$55*(Inputs!$B$20+Skills!Q5+B169))/100)*(1+Inputs!$B$15/100)*(5000/(6000+Inputs!$B$7*(1-Inputs!$B$18/100)))*(1+(Inputs!$B$23+((C158=TRUE)*(F158-Calc!F30)))/100)*(1+Skills!R5/100)*(1+(IF(Skills!A5="SHOWDOWN",Inputs!$B$16+((C151=TRUE)*(F151-Calc!F23)),Inputs!$B$17+((C157=TRUE)*(F157-Calc!F29))))/100)*(((1+(((C149=TRUE)*F149*IF(AND(Inputs!$B$4&lt;&gt;"pvp",Inputs!$B$35&gt;0),(((S149-1)*(Skills!Y21*(1+Inputs!$B$33/100))+MIN((Skills!Y21*(1+Inputs!$B$33/100)),MAX(0,Inputs!$B$35-((S149-1)*Skills!D21))))/Inputs!$B$35),IF(Inputs!$B$4="pvp",MIN((Skills!Y21*(1+Inputs!$B$33/100)),15)/15,(Skills!Y21*(1+Inputs!$B$33/100))/Skills!D21)))+((C156=TRUE)*(F156-Calc!F28))+((C146=TRUE)*(F146-Calc!F18)))/100)*(1+((C143=TRUE)*F143*IF(AND(Inputs!$B$4&lt;&gt;"pvp",Inputs!$B$35&gt;0),(((S143-1)*(Skills!Y15*(1+Inputs!$B$33/100))+MIN((Skills!Y15*(1+Inputs!$B$33/100)),MAX(0,Inputs!$B$35-((S143-1)*Skills!D15))))/Inputs!$B$35),IF(Inputs!$B$4="pvp",MIN((Skills!Y15*(1+Inputs!$B$33/100)),15)/15,(Skills!Y15*(1+Inputs!$B$33/100))/Skills!D15)))/100)*(1+((C134=TRUE)*F134*B162)/100))*B170*I133)</f>
        <v/>
      </c>
      <c r="L133">
        <f>K133*(MIN(Inputs!$B$21+((C152=TRUE)*(F152-Calc!F24)),Inputs!$B$22)/100+Inputs!$B$22/100)/2</f>
        <v/>
      </c>
      <c r="M133">
        <f>L133*(1+(Inputs!$B$9+((C154=TRUE)*(F154-Calc!F26))+B171)/100)</f>
        <v/>
      </c>
      <c r="N133">
        <f>L133*(1-MIN((Inputs!$B$8+((C153=TRUE)*(F153-Calc!F25))+B168),100)/100)+M133*(MIN((Inputs!$B$8+((C153=TRUE)*(F153-Calc!F25))+B168),100)/100)</f>
        <v/>
      </c>
      <c r="O133">
        <f>IF(C133,H133*N133*IF(AND(Inputs!$B$4&lt;&gt;"pvp",Inputs!$B$35&gt;0),((Skills!G5*((R133-1)*IF(Skills!H5&gt;0,Skills!I5/Skills!H5,1)+IF(Skills!H5&gt;0,MIN(Skills!I5,MAX(0,Inputs!$B$35-((R133-1)*IF(Inputs!$B$4="pvp",15,MAX(0.1,Skills!D5-IF(Skills!E5=TRUE,Inputs!$B$31,0))))))/Skills!H5,1)))/Inputs!$B$35),G133*Q133)*IF(Inputs!$B$4="pvp",1,(1-Summary!$B$55)*(1)+Summary!$B$55*(MIN(Skills!W5,Inputs!$B$37))),0)</f>
        <v/>
      </c>
      <c r="P133">
        <f>IF(B172=0,0,O133/B172)</f>
        <v/>
      </c>
      <c r="Q133">
        <f>IFERROR(1/IF(Inputs!$B$4="pvp",15,MAX(0.1,Skills!D5-IF(Skills!E5=TRUE,Inputs!$B$31,0))),0)</f>
        <v/>
      </c>
      <c r="R133">
        <f>IF(AND(Inputs!$B$4&lt;&gt;"pvp",Inputs!$B$35&gt;0),(INT(Inputs!$B$35/IF(Inputs!$B$4="pvp",15,MAX(0.1,Skills!D5-IF(Skills!E5=TRUE,Inputs!$B$31,0))))+1),0)</f>
        <v/>
      </c>
      <c r="S133">
        <f>IFERROR(O133/N133,0)</f>
        <v/>
      </c>
      <c r="U133">
        <f>INDEX(FactorTable!$B$2:$Y$301, MATCH(ROUND(MIN(300,MAX(1,U132)),0), FactorTable!$A$2:$A$301,0), 22)</f>
        <v/>
      </c>
    </row>
    <row r="134">
      <c r="A134">
        <f>Skills!A6</f>
        <v/>
      </c>
      <c r="B134">
        <f>Skills!B6</f>
        <v/>
      </c>
      <c r="C134">
        <f>Inputs!$B$3&gt;=66</f>
        <v/>
      </c>
      <c r="D134">
        <f>IF(Skills!C6=1,60+Inputs!$B$24+Inputs!$B$28,IF(Skills!C6=2,90+Inputs!$B$25+Inputs!$B$28,IF(Skills!C6=3,120+Inputs!$B$26+Inputs!$B$28,MAX(0,(Inputs!$B$3-100)*3)+Inputs!$B$27+Inputs!$B$28)))</f>
        <v/>
      </c>
      <c r="E134">
        <f>INDEX(FactorTable!$B$2:$Y$301, MATCH(ROUND(MIN(300,MAX(1,D134)),0), FactorTable!$A$2:$A$301,0), Skills!M6+1)</f>
        <v/>
      </c>
      <c r="F134">
        <f>IF(Skills!N6=TRUE,(Skills!L6/10)*(E134/1000),Skills!L6/10)+Skills!O6</f>
        <v/>
      </c>
      <c r="G134">
        <f>Calc!G6</f>
        <v/>
      </c>
      <c r="H134">
        <f>Calc!H6</f>
        <v/>
      </c>
      <c r="I134">
        <f>IF(Skills!AA6&lt;&gt;"",1+(Skills!AA6/10)*(U131/1000)/100,1)</f>
        <v/>
      </c>
      <c r="J134" t="inlineStr"/>
      <c r="K134" t="inlineStr"/>
      <c r="L134" t="inlineStr"/>
      <c r="M134" t="inlineStr"/>
      <c r="N134" t="inlineStr"/>
      <c r="O134" t="n">
        <v>0</v>
      </c>
      <c r="P134">
        <f>IF(B172=0,0,O134/B172)</f>
        <v/>
      </c>
      <c r="Q134" t="n">
        <v>0</v>
      </c>
      <c r="R134" t="n">
        <v>0</v>
      </c>
      <c r="S134">
        <f>IFERROR(O134/N134,0)</f>
        <v/>
      </c>
      <c r="U134">
        <f>290*U133/1000</f>
        <v/>
      </c>
    </row>
    <row r="135">
      <c r="A135">
        <f>Skills!A7</f>
        <v/>
      </c>
      <c r="B135">
        <f>Skills!B7</f>
        <v/>
      </c>
      <c r="C135">
        <f>Inputs!$B$3&gt;=66</f>
        <v/>
      </c>
      <c r="D135">
        <f>IF(Skills!C7=1,60+Inputs!$B$24+Inputs!$B$28,IF(Skills!C7=2,90+Inputs!$B$25+Inputs!$B$28,IF(Skills!C7=3,120+Inputs!$B$26+Inputs!$B$28,MAX(0,(Inputs!$B$3-100)*3)+Inputs!$B$27+Inputs!$B$28)))</f>
        <v/>
      </c>
      <c r="E135">
        <f>INDEX(FactorTable!$B$2:$Y$301, MATCH(ROUND(MIN(300,MAX(1,D135)),0), FactorTable!$A$2:$A$301,0), Skills!M7+1)</f>
        <v/>
      </c>
      <c r="F135">
        <f>IF(Skills!N7=TRUE,(Skills!L7/10)*(E135/1000),Skills!L7/10)+Skills!O7</f>
        <v/>
      </c>
      <c r="G135">
        <f>Calc!G7</f>
        <v/>
      </c>
      <c r="H135">
        <f>Calc!H7</f>
        <v/>
      </c>
      <c r="I135">
        <f>IF(Skills!AA7&lt;&gt;"",1+(Skills!AA7/10)*(U131/1000)/100,1)</f>
        <v/>
      </c>
      <c r="J135" t="inlineStr"/>
      <c r="K135" t="inlineStr"/>
      <c r="L135" t="inlineStr"/>
      <c r="M135" t="inlineStr"/>
      <c r="N135" t="inlineStr"/>
      <c r="O135" t="n">
        <v>0</v>
      </c>
      <c r="P135">
        <f>IF(B172=0,0,O135/B172)</f>
        <v/>
      </c>
      <c r="Q135" t="n">
        <v>0</v>
      </c>
      <c r="R135" t="n">
        <v>0</v>
      </c>
      <c r="S135">
        <f>IFERROR(O135/N135,0)</f>
        <v/>
      </c>
    </row>
    <row r="136">
      <c r="A136">
        <f>Skills!A8</f>
        <v/>
      </c>
      <c r="B136">
        <f>Skills!B8</f>
        <v/>
      </c>
      <c r="C136">
        <f>Inputs!$B$3&gt;=69</f>
        <v/>
      </c>
      <c r="D136">
        <f>IF(Skills!C8=1,60+Inputs!$B$24+Inputs!$B$28,IF(Skills!C8=2,90+Inputs!$B$25+Inputs!$B$28,IF(Skills!C8=3,120+Inputs!$B$26+Inputs!$B$28,MAX(0,(Inputs!$B$3-100)*3)+Inputs!$B$27+Inputs!$B$28)))</f>
        <v/>
      </c>
      <c r="E136">
        <f>INDEX(FactorTable!$B$2:$Y$301, MATCH(ROUND(MIN(300,MAX(1,D136)),0), FactorTable!$A$2:$A$301,0), Skills!M8+1)</f>
        <v/>
      </c>
      <c r="F136">
        <f>IF(Skills!N8=TRUE,(Skills!L8/10)*(E136/1000),Skills!L8/10)+Skills!O8</f>
        <v/>
      </c>
      <c r="G136">
        <f>Calc!G8</f>
        <v/>
      </c>
      <c r="H136">
        <f>Calc!H8</f>
        <v/>
      </c>
      <c r="I136">
        <f>IF(Skills!AA8&lt;&gt;"",1+(Skills!AA8/10)*(U131/1000)/100,1)</f>
        <v/>
      </c>
      <c r="J136">
        <f>(Inputs!$B$5*(1+Inputs!$B$6/100))*(F136/100)</f>
        <v/>
      </c>
      <c r="K136">
        <f>J136*(1+((Inputs!$B$11*(1+Inputs!$B$12/100))*0.01+(Inputs!$B$13+1)*0.0025)/100)*(1+Inputs!$B$14/100)*(1+IF(Inputs!$B$4="pvp",0,(1-Summary!$B$55)*(Inputs!$B$19+((C155=TRUE)*(F155-Calc!F27))+Skills!P8+B169)+Summary!$B$55*(Inputs!$B$20+Skills!Q8+B169))/100)*(1+Inputs!$B$15/100)*(5000/(6000+Inputs!$B$7*(1-Inputs!$B$18/100)))*(1+(Inputs!$B$23+((C158=TRUE)*(F158-Calc!F30)))/100)*(1+Skills!R8/100)*(1+(IF(Skills!A8="SHOWDOWN",Inputs!$B$16+((C151=TRUE)*(F151-Calc!F23)),Inputs!$B$17+((C157=TRUE)*(F157-Calc!F29))))/100)*(((1+(((C149=TRUE)*F149*IF(AND(Inputs!$B$4&lt;&gt;"pvp",Inputs!$B$35&gt;0),(((S149-1)*(Skills!Y21*(1+Inputs!$B$33/100))+MIN((Skills!Y21*(1+Inputs!$B$33/100)),MAX(0,Inputs!$B$35-((S149-1)*Skills!D21))))/Inputs!$B$35),IF(Inputs!$B$4="pvp",MIN((Skills!Y21*(1+Inputs!$B$33/100)),15)/15,(Skills!Y21*(1+Inputs!$B$33/100))/Skills!D21)))+((C156=TRUE)*(F156-Calc!F28))+((C146=TRUE)*(F146-Calc!F18)))/100)*(1+((C143=TRUE)*F143*IF(AND(Inputs!$B$4&lt;&gt;"pvp",Inputs!$B$35&gt;0),(((S143-1)*(Skills!Y15*(1+Inputs!$B$33/100))+MIN((Skills!Y15*(1+Inputs!$B$33/100)),MAX(0,Inputs!$B$35-((S143-1)*Skills!D15))))/Inputs!$B$35),IF(Inputs!$B$4="pvp",MIN((Skills!Y15*(1+Inputs!$B$33/100)),15)/15,(Skills!Y15*(1+Inputs!$B$33/100))/Skills!D15)))/100)*(1+((C134=TRUE)*F134*B162)/100))*B170*I136)</f>
        <v/>
      </c>
      <c r="L136">
        <f>K136*(MIN(Inputs!$B$21+((C152=TRUE)*(F152-Calc!F24)),Inputs!$B$22)/100+Inputs!$B$22/100)/2</f>
        <v/>
      </c>
      <c r="M136">
        <f>L136*(1+(Inputs!$B$9+((C154=TRUE)*(F154-Calc!F26))+B171)/100)</f>
        <v/>
      </c>
      <c r="N136">
        <f>L136*(1-MIN((Inputs!$B$8+((C153=TRUE)*(F153-Calc!F25))+B168),100)/100)+M136*(MIN((Inputs!$B$8+((C153=TRUE)*(F153-Calc!F25))+B168),100)/100)</f>
        <v/>
      </c>
      <c r="O136">
        <f>IF(C136,H136*N136*IF(AND(Inputs!$B$4&lt;&gt;"pvp",Inputs!$B$35&gt;0),((Skills!G8*((R136-1)*IF(Skills!H8&gt;0,Skills!I8/Skills!H8,1)+IF(Skills!H8&gt;0,MIN(Skills!I8,MAX(0,Inputs!$B$35-((R136-1)*IF(Inputs!$B$4="pvp",15,MAX(0.1,Skills!D8-IF(Skills!E8=TRUE,Inputs!$B$31,0))))))/Skills!H8,1)))/Inputs!$B$35),G136*Q136)*IF(Inputs!$B$4="pvp",1,(1-Summary!$B$55)*(1)+Summary!$B$55*(MIN(Skills!W8,Inputs!$B$37))),0)</f>
        <v/>
      </c>
      <c r="P136">
        <f>IF(B172=0,0,O136/B172)</f>
        <v/>
      </c>
      <c r="Q136">
        <f>IFERROR(1/IF(Inputs!$B$4="pvp",15,MAX(0.1,Skills!D8-IF(Skills!E8=TRUE,Inputs!$B$31,0))),0)</f>
        <v/>
      </c>
      <c r="R136">
        <f>IF(AND(Inputs!$B$4&lt;&gt;"pvp",Inputs!$B$35&gt;0),(INT(Inputs!$B$35/IF(Inputs!$B$4="pvp",15,MAX(0.1,Skills!D8-IF(Skills!E8=TRUE,Inputs!$B$31,0))))+1),0)</f>
        <v/>
      </c>
      <c r="S136">
        <f>IFERROR(O136/N136,0)</f>
        <v/>
      </c>
    </row>
    <row r="137">
      <c r="A137">
        <f>Skills!A9</f>
        <v/>
      </c>
      <c r="B137">
        <f>Skills!B9</f>
        <v/>
      </c>
      <c r="C137">
        <f>Inputs!$B$3&gt;=72</f>
        <v/>
      </c>
      <c r="D137">
        <f>IF(Skills!C9=1,60+Inputs!$B$24+Inputs!$B$28,IF(Skills!C9=2,90+Inputs!$B$25+Inputs!$B$28,IF(Skills!C9=3,120+Inputs!$B$26+Inputs!$B$28,MAX(0,(Inputs!$B$3-100)*3)+Inputs!$B$27+Inputs!$B$28)))</f>
        <v/>
      </c>
      <c r="E137">
        <f>INDEX(FactorTable!$B$2:$Y$301, MATCH(ROUND(MIN(300,MAX(1,D137)),0), FactorTable!$A$2:$A$301,0), Skills!M9+1)</f>
        <v/>
      </c>
      <c r="F137">
        <f>IF(Skills!N9=TRUE,(Skills!L9/10)*(E137/1000),Skills!L9/10)+Skills!O9</f>
        <v/>
      </c>
      <c r="G137">
        <f>Calc!G9</f>
        <v/>
      </c>
      <c r="H137">
        <f>Calc!H9</f>
        <v/>
      </c>
      <c r="I137">
        <f>IF(Skills!AA9&lt;&gt;"",1+(Skills!AA9/10)*(U131/1000)/100,1)</f>
        <v/>
      </c>
      <c r="J137">
        <f>(Inputs!$B$5*(1+Inputs!$B$6/100))*(F137/100)</f>
        <v/>
      </c>
      <c r="K137">
        <f>J137*(1+((Inputs!$B$11*(1+Inputs!$B$12/100))*0.01+(Inputs!$B$13+1)*0.0025)/100)*(1+Inputs!$B$14/100)*(1+IF(Inputs!$B$4="pvp",0,(1-Summary!$B$55)*(Inputs!$B$19+((C155=TRUE)*(F155-Calc!F27))+Skills!P9+B169)+Summary!$B$55*(Inputs!$B$20+Skills!Q9+B169))/100)*(1+Inputs!$B$15/100)*(5000/(6000+Inputs!$B$7*(1-Inputs!$B$18/100)))*(1+(Inputs!$B$23+((C158=TRUE)*(F158-Calc!F30)))/100)*(1+Skills!R9/100)*(1+(IF(Skills!A9="SHOWDOWN",Inputs!$B$16+((C151=TRUE)*(F151-Calc!F23)),Inputs!$B$17+((C157=TRUE)*(F157-Calc!F29))))/100)*(((1+(((C149=TRUE)*F149*IF(AND(Inputs!$B$4&lt;&gt;"pvp",Inputs!$B$35&gt;0),(((S149-1)*(Skills!Y21*(1+Inputs!$B$33/100))+MIN((Skills!Y21*(1+Inputs!$B$33/100)),MAX(0,Inputs!$B$35-((S149-1)*Skills!D21))))/Inputs!$B$35),IF(Inputs!$B$4="pvp",MIN((Skills!Y21*(1+Inputs!$B$33/100)),15)/15,(Skills!Y21*(1+Inputs!$B$33/100))/Skills!D21)))+((C156=TRUE)*(F156-Calc!F28))+((C146=TRUE)*(F146-Calc!F18)))/100)*(1+((C143=TRUE)*F143*IF(AND(Inputs!$B$4&lt;&gt;"pvp",Inputs!$B$35&gt;0),(((S143-1)*(Skills!Y15*(1+Inputs!$B$33/100))+MIN((Skills!Y15*(1+Inputs!$B$33/100)),MAX(0,Inputs!$B$35-((S143-1)*Skills!D15))))/Inputs!$B$35),IF(Inputs!$B$4="pvp",MIN((Skills!Y15*(1+Inputs!$B$33/100)),15)/15,(Skills!Y15*(1+Inputs!$B$33/100))/Skills!D15)))/100)*(1+((C134=TRUE)*F134*B162)/100))*B170*I137)</f>
        <v/>
      </c>
      <c r="L137">
        <f>K137*(MIN(Inputs!$B$21+((C152=TRUE)*(F152-Calc!F24)),Inputs!$B$22)/100+Inputs!$B$22/100)/2</f>
        <v/>
      </c>
      <c r="M137">
        <f>L137*(1+(Inputs!$B$9+((C154=TRUE)*(F154-Calc!F26))+B171)/100)</f>
        <v/>
      </c>
      <c r="N137">
        <f>L137*(1-MIN((Inputs!$B$8+((C153=TRUE)*(F153-Calc!F25))+B168),100)/100)+M137*(MIN((Inputs!$B$8+((C153=TRUE)*(F153-Calc!F25))+B168),100)/100)</f>
        <v/>
      </c>
      <c r="O137">
        <f>IF(C137,H137*N137*IF(AND(Inputs!$B$4&lt;&gt;"pvp",Inputs!$B$35&gt;0),((Skills!G9*((R137-1)*IF(Skills!H9&gt;0,Skills!I9/Skills!H9,1)+IF(Skills!H9&gt;0,MIN(Skills!I9,MAX(0,Inputs!$B$35-((R137-1)*IF(Inputs!$B$4="pvp",15,MAX(0.1,Skills!D9-IF(Skills!E9=TRUE,Inputs!$B$31,0))))))/Skills!H9,1)))/Inputs!$B$35),G137*Q137)*IF(Inputs!$B$4="pvp",1,(1-Summary!$B$55)*(1)+Summary!$B$55*(MIN(Skills!W9,Inputs!$B$37))),0)</f>
        <v/>
      </c>
      <c r="P137">
        <f>IF(B172=0,0,O137/B172)</f>
        <v/>
      </c>
      <c r="Q137">
        <f>IFERROR(1/IF(Inputs!$B$4="pvp",15,MAX(0.1,Skills!D9-IF(Skills!E9=TRUE,Inputs!$B$31,0))),0)</f>
        <v/>
      </c>
      <c r="R137">
        <f>IF(AND(Inputs!$B$4&lt;&gt;"pvp",Inputs!$B$35&gt;0),(INT(Inputs!$B$35/IF(Inputs!$B$4="pvp",15,MAX(0.1,Skills!D9-IF(Skills!E9=TRUE,Inputs!$B$31,0))))+1),0)</f>
        <v/>
      </c>
      <c r="S137">
        <f>IFERROR(O137/N137,0)</f>
        <v/>
      </c>
    </row>
    <row r="138">
      <c r="A138">
        <f>Skills!A10</f>
        <v/>
      </c>
      <c r="B138">
        <f>Skills!B10</f>
        <v/>
      </c>
      <c r="C138">
        <f>Inputs!$B$3&gt;=117</f>
        <v/>
      </c>
      <c r="D138">
        <f>IF(Skills!C10=1,60+Inputs!$B$24+Inputs!$B$28,IF(Skills!C10=2,90+Inputs!$B$25+Inputs!$B$28,IF(Skills!C10=3,120+Inputs!$B$26+Inputs!$B$28,MAX(0,(Inputs!$B$3-100)*3)+Inputs!$B$27+Inputs!$B$28)))</f>
        <v/>
      </c>
      <c r="E138">
        <f>INDEX(FactorTable!$B$2:$Y$301, MATCH(ROUND(MIN(300,MAX(1,D138)),0), FactorTable!$A$2:$A$301,0), Skills!M10+1)</f>
        <v/>
      </c>
      <c r="F138">
        <f>IF(Skills!N10=TRUE,(Skills!L10/10)*(E138/1000),Skills!L10/10)+Skills!O10</f>
        <v/>
      </c>
      <c r="G138">
        <f>Calc!G10</f>
        <v/>
      </c>
      <c r="H138">
        <f>Calc!H10</f>
        <v/>
      </c>
      <c r="I138">
        <f>IF(Skills!AA10&lt;&gt;"",1+(Skills!AA10/10)*(U131/1000)/100,1)</f>
        <v/>
      </c>
      <c r="J138">
        <f>(Inputs!$B$5*(1+Inputs!$B$6/100))*(F138/100)</f>
        <v/>
      </c>
      <c r="K138">
        <f>J138*(1+((Inputs!$B$11*(1+Inputs!$B$12/100))*0.01+(Inputs!$B$13+1)*0.0025)/100)*(1+Inputs!$B$14/100)*(1+IF(Inputs!$B$4="pvp",0,(1-Summary!$B$55)*(Inputs!$B$19+((C155=TRUE)*(F155-Calc!F27))+Skills!P10+B169)+Summary!$B$55*(Inputs!$B$20+Skills!Q10+B169))/100)*(1+Inputs!$B$15/100)*(5000/(6000+Inputs!$B$7*(1-Inputs!$B$18/100)))*(1+(Inputs!$B$23+((C158=TRUE)*(F158-Calc!F30)))/100)*(1+Skills!R10/100)*(1+(IF(Skills!A10="SHOWDOWN",Inputs!$B$16+((C151=TRUE)*(F151-Calc!F23)),Inputs!$B$17+((C157=TRUE)*(F157-Calc!F29))))/100)*(((1+(((C149=TRUE)*F149*IF(AND(Inputs!$B$4&lt;&gt;"pvp",Inputs!$B$35&gt;0),(((S149-1)*(Skills!Y21*(1+Inputs!$B$33/100))+MIN((Skills!Y21*(1+Inputs!$B$33/100)),MAX(0,Inputs!$B$35-((S149-1)*Skills!D21))))/Inputs!$B$35),IF(Inputs!$B$4="pvp",MIN((Skills!Y21*(1+Inputs!$B$33/100)),15)/15,(Skills!Y21*(1+Inputs!$B$33/100))/Skills!D21)))+((C156=TRUE)*(F156-Calc!F28))+((C146=TRUE)*(F146-Calc!F18)))/100)*(1+((C143=TRUE)*F143*IF(AND(Inputs!$B$4&lt;&gt;"pvp",Inputs!$B$35&gt;0),(((S143-1)*(Skills!Y15*(1+Inputs!$B$33/100))+MIN((Skills!Y15*(1+Inputs!$B$33/100)),MAX(0,Inputs!$B$35-((S143-1)*Skills!D15))))/Inputs!$B$35),IF(Inputs!$B$4="pvp",MIN((Skills!Y15*(1+Inputs!$B$33/100)),15)/15,(Skills!Y15*(1+Inputs!$B$33/100))/Skills!D15)))/100)*(1+((C134=TRUE)*F134*B162)/100))*B170*I138)</f>
        <v/>
      </c>
      <c r="L138">
        <f>K138*(MIN(Inputs!$B$21+((C152=TRUE)*(F152-Calc!F24)),Inputs!$B$22)/100+Inputs!$B$22/100)/2</f>
        <v/>
      </c>
      <c r="M138">
        <f>L138*(1+(Inputs!$B$9+((C154=TRUE)*(F154-Calc!F26))+B171)/100)</f>
        <v/>
      </c>
      <c r="N138">
        <f>L138*(1-MIN((Inputs!$B$8+((C153=TRUE)*(F153-Calc!F25))+B168),100)/100)+M138*(MIN((Inputs!$B$8+((C153=TRUE)*(F153-Calc!F25))+B168),100)/100)</f>
        <v/>
      </c>
      <c r="O138">
        <f>IF(C138,0.2*SUMPRODUCT((Skills!Z2:Z31=TRUE)*(C130:C159=TRUE)*S130:S159)*N138,0)</f>
        <v/>
      </c>
      <c r="P138">
        <f>IF(B172=0,0,O138/B172)</f>
        <v/>
      </c>
      <c r="Q138" t="n">
        <v>0</v>
      </c>
      <c r="R138" t="n">
        <v>0</v>
      </c>
      <c r="S138" t="n">
        <v>0</v>
      </c>
    </row>
    <row r="139">
      <c r="A139">
        <f>Skills!A11</f>
        <v/>
      </c>
      <c r="B139">
        <f>Skills!B11</f>
        <v/>
      </c>
      <c r="C139">
        <f>Inputs!$B$3&gt;=60</f>
        <v/>
      </c>
      <c r="D139">
        <f>IF(Skills!C11=1,60+Inputs!$B$24+Inputs!$B$28,IF(Skills!C11=2,90+Inputs!$B$25+Inputs!$B$28,IF(Skills!C11=3,120+Inputs!$B$26+Inputs!$B$28,MAX(0,(Inputs!$B$3-100)*3)+Inputs!$B$27+Inputs!$B$28)))</f>
        <v/>
      </c>
      <c r="E139">
        <f>INDEX(FactorTable!$B$2:$Y$301, MATCH(ROUND(MIN(300,MAX(1,D139)),0), FactorTable!$A$2:$A$301,0), Skills!M11+1)</f>
        <v/>
      </c>
      <c r="F139">
        <f>IF(Skills!N11=TRUE,(Skills!L11/10)*(E139/1000),Skills!L11/10)+Skills!O11</f>
        <v/>
      </c>
      <c r="G139">
        <f>Calc!G11</f>
        <v/>
      </c>
      <c r="H139">
        <f>Calc!H11</f>
        <v/>
      </c>
      <c r="I139">
        <f>IF(Skills!AA11&lt;&gt;"",1+(Skills!AA11/10)*(U131/1000)/100,1)</f>
        <v/>
      </c>
      <c r="J139" t="inlineStr"/>
      <c r="K139" t="inlineStr"/>
      <c r="L139" t="inlineStr"/>
      <c r="M139" t="inlineStr"/>
      <c r="N139" t="inlineStr"/>
      <c r="O139" t="n">
        <v>0</v>
      </c>
      <c r="P139">
        <f>IF(B172=0,0,O139/B172)</f>
        <v/>
      </c>
      <c r="Q139" t="n">
        <v>0</v>
      </c>
      <c r="R139" t="n">
        <v>0</v>
      </c>
      <c r="S139">
        <f>IFERROR(O139/N139,0)</f>
        <v/>
      </c>
    </row>
    <row r="140">
      <c r="A140">
        <f>Skills!A12</f>
        <v/>
      </c>
      <c r="B140">
        <f>Skills!B12</f>
        <v/>
      </c>
      <c r="C140">
        <f>Inputs!$B$3&gt;=103</f>
        <v/>
      </c>
      <c r="D140">
        <f>IF(Skills!C12=1,60+Inputs!$B$24+Inputs!$B$28,IF(Skills!C12=2,90+Inputs!$B$25+Inputs!$B$28,IF(Skills!C12=3,120+Inputs!$B$26+Inputs!$B$28,MAX(0,(Inputs!$B$3-100)*3)+Inputs!$B$27+Inputs!$B$28)))</f>
        <v/>
      </c>
      <c r="E140">
        <f>INDEX(FactorTable!$B$2:$Y$301, MATCH(ROUND(MIN(300,MAX(1,D140)),0), FactorTable!$A$2:$A$301,0), Skills!M12+1)</f>
        <v/>
      </c>
      <c r="F140">
        <f>IF(Skills!N12=TRUE,(Skills!L12/10)*(E140/1000),Skills!L12/10)+Skills!O12</f>
        <v/>
      </c>
      <c r="G140">
        <f>Calc!G12</f>
        <v/>
      </c>
      <c r="H140">
        <f>Calc!H12</f>
        <v/>
      </c>
      <c r="I140">
        <f>IF(Skills!AA12&lt;&gt;"",1+(Skills!AA12/10)*(U131/1000)/100,1)</f>
        <v/>
      </c>
      <c r="J140">
        <f>(Inputs!$B$5*(1+Inputs!$B$6/100))*(F140/100)</f>
        <v/>
      </c>
      <c r="K140">
        <f>J140*(1+((Inputs!$B$11*(1+Inputs!$B$12/100))*0.01+(Inputs!$B$13+1)*0.0025)/100)*(1+Inputs!$B$14/100)*(1+IF(Inputs!$B$4="pvp",0,(1-Summary!$B$55)*(Inputs!$B$19+((C155=TRUE)*(F155-Calc!F27))+Skills!P12+B169)+Summary!$B$55*(Inputs!$B$20+Skills!Q12+B169))/100)*(1+Inputs!$B$15/100)*(5000/(6000+Inputs!$B$7*(1-Inputs!$B$18/100)))*(1+(Inputs!$B$23+((C158=TRUE)*(F158-Calc!F30)))/100)*(1+Skills!R12/100)*(1+(IF(Skills!A12="SHOWDOWN",Inputs!$B$16+((C151=TRUE)*(F151-Calc!F23)),Inputs!$B$17+((C157=TRUE)*(F157-Calc!F29))))/100)*(((1+(((C149=TRUE)*F149*IF(AND(Inputs!$B$4&lt;&gt;"pvp",Inputs!$B$35&gt;0),(((S149-1)*(Skills!Y21*(1+Inputs!$B$33/100))+MIN((Skills!Y21*(1+Inputs!$B$33/100)),MAX(0,Inputs!$B$35-((S149-1)*Skills!D21))))/Inputs!$B$35),IF(Inputs!$B$4="pvp",MIN((Skills!Y21*(1+Inputs!$B$33/100)),15)/15,(Skills!Y21*(1+Inputs!$B$33/100))/Skills!D21)))+((C156=TRUE)*(F156-Calc!F28))+((C146=TRUE)*(F146-Calc!F18)))/100)*(1+((C143=TRUE)*F143*IF(AND(Inputs!$B$4&lt;&gt;"pvp",Inputs!$B$35&gt;0),(((S143-1)*(Skills!Y15*(1+Inputs!$B$33/100))+MIN((Skills!Y15*(1+Inputs!$B$33/100)),MAX(0,Inputs!$B$35-((S143-1)*Skills!D15))))/Inputs!$B$35),IF(Inputs!$B$4="pvp",MIN((Skills!Y15*(1+Inputs!$B$33/100)),15)/15,(Skills!Y15*(1+Inputs!$B$33/100))/Skills!D15)))/100)*(1+((C134=TRUE)*F134*B162)/100))*B170*I140)</f>
        <v/>
      </c>
      <c r="L140">
        <f>K140*(MIN(Inputs!$B$21+((C152=TRUE)*(F152-Calc!F24)),Inputs!$B$22)/100+Inputs!$B$22/100)/2</f>
        <v/>
      </c>
      <c r="M140">
        <f>L140*(1+(Inputs!$B$9+((C154=TRUE)*(F154-Calc!F26))+B171)/100)</f>
        <v/>
      </c>
      <c r="N140">
        <f>L140*(1-MIN((Inputs!$B$8+((C153=TRUE)*(F153-Calc!F25))+B168),100)/100)+M140*(MIN((Inputs!$B$8+((C153=TRUE)*(F153-Calc!F25))+B168),100)/100)</f>
        <v/>
      </c>
      <c r="O140">
        <f>IF(C140,H140*N140*IF(AND(Inputs!$B$4&lt;&gt;"pvp",Inputs!$B$35&gt;0),((Skills!G12*((R140-1)*IF(Skills!H12&gt;0,Skills!I12/Skills!H12,1)+IF(Skills!H12&gt;0,MIN(Skills!I12,MAX(0,Inputs!$B$35-((R140-1)*IF(Inputs!$B$4="pvp",15,MAX(0.1,Skills!D12-IF(Skills!E12=TRUE,Inputs!$B$31,0))))))/Skills!H12,1)))/Inputs!$B$35),G140*Q140)*IF(Inputs!$B$4="pvp",1,(1-Summary!$B$55)*(1)+Summary!$B$55*(MIN(Skills!W12,Inputs!$B$37))),0)</f>
        <v/>
      </c>
      <c r="P140">
        <f>IF(B172=0,0,O140/B172)</f>
        <v/>
      </c>
      <c r="Q140">
        <f>IFERROR(1/IF(Inputs!$B$4="pvp",15,MAX(0.1,Skills!D12-IF(Skills!E12=TRUE,Inputs!$B$31,0))),0)</f>
        <v/>
      </c>
      <c r="R140">
        <f>IF(AND(Inputs!$B$4&lt;&gt;"pvp",Inputs!$B$35&gt;0),(INT(Inputs!$B$35/IF(Inputs!$B$4="pvp",15,MAX(0.1,Skills!D12-IF(Skills!E12=TRUE,Inputs!$B$31,0))))+1),0)</f>
        <v/>
      </c>
      <c r="S140">
        <f>IFERROR(O140/N140,0)</f>
        <v/>
      </c>
    </row>
    <row r="141">
      <c r="A141">
        <f>Skills!A13</f>
        <v/>
      </c>
      <c r="B141">
        <f>Skills!B13</f>
        <v/>
      </c>
      <c r="C141">
        <f>Inputs!$B$3&gt;=105</f>
        <v/>
      </c>
      <c r="D141">
        <f>IF(Skills!C13=1,60+Inputs!$B$24+Inputs!$B$28,IF(Skills!C13=2,90+Inputs!$B$25+Inputs!$B$28,IF(Skills!C13=3,120+Inputs!$B$26+Inputs!$B$28,MAX(0,(Inputs!$B$3-100)*3)+Inputs!$B$27+Inputs!$B$28)))</f>
        <v/>
      </c>
      <c r="E141">
        <f>INDEX(FactorTable!$B$2:$Y$301, MATCH(ROUND(MIN(300,MAX(1,D141)),0), FactorTable!$A$2:$A$301,0), Skills!M13+1)</f>
        <v/>
      </c>
      <c r="F141">
        <f>IF(Skills!N13=TRUE,(Skills!L13/10)*(E141/1000),Skills!L13/10)+Skills!O13</f>
        <v/>
      </c>
      <c r="G141">
        <f>Calc!G13</f>
        <v/>
      </c>
      <c r="H141">
        <f>Calc!H13</f>
        <v/>
      </c>
      <c r="I141">
        <f>IF(Skills!AA13&lt;&gt;"",1+(Skills!AA13/10)*(U131/1000)/100,1)</f>
        <v/>
      </c>
      <c r="J141">
        <f>(Inputs!$B$5*(1+Inputs!$B$6/100))*(F141/100)</f>
        <v/>
      </c>
      <c r="K141">
        <f>J141*(1+((Inputs!$B$11*(1+Inputs!$B$12/100))*0.01+(Inputs!$B$13+1)*0.0025)/100)*(1+Inputs!$B$14/100)*(1+IF(Inputs!$B$4="pvp",0,(1-Summary!$B$55)*(Inputs!$B$19+((C155=TRUE)*(F155-Calc!F27))+Skills!P13+B169)+Summary!$B$55*(Inputs!$B$20+Skills!Q13+B169))/100)*(1+Inputs!$B$15/100)*(5000/(6000+Inputs!$B$7*(1-Inputs!$B$18/100)))*(1+(Inputs!$B$23+((C158=TRUE)*(F158-Calc!F30)))/100)*(1+Skills!R13/100)*(1+(IF(Skills!A13="SHOWDOWN",Inputs!$B$16+((C151=TRUE)*(F151-Calc!F23)),Inputs!$B$17+((C157=TRUE)*(F157-Calc!F29))))/100)*(((1+(((C149=TRUE)*F149*IF(AND(Inputs!$B$4&lt;&gt;"pvp",Inputs!$B$35&gt;0),(((S149-1)*(Skills!Y21*(1+Inputs!$B$33/100))+MIN((Skills!Y21*(1+Inputs!$B$33/100)),MAX(0,Inputs!$B$35-((S149-1)*Skills!D21))))/Inputs!$B$35),IF(Inputs!$B$4="pvp",MIN((Skills!Y21*(1+Inputs!$B$33/100)),15)/15,(Skills!Y21*(1+Inputs!$B$33/100))/Skills!D21)))+((C156=TRUE)*(F156-Calc!F28))+((C146=TRUE)*(F146-Calc!F18)))/100)*(1+((C143=TRUE)*F143*IF(AND(Inputs!$B$4&lt;&gt;"pvp",Inputs!$B$35&gt;0),(((S143-1)*(Skills!Y15*(1+Inputs!$B$33/100))+MIN((Skills!Y15*(1+Inputs!$B$33/100)),MAX(0,Inputs!$B$35-((S143-1)*Skills!D15))))/Inputs!$B$35),IF(Inputs!$B$4="pvp",MIN((Skills!Y15*(1+Inputs!$B$33/100)),15)/15,(Skills!Y15*(1+Inputs!$B$33/100))/Skills!D15)))/100)*(1+((C134=TRUE)*F134*B162)/100))*B170*I141)</f>
        <v/>
      </c>
      <c r="L141">
        <f>K141*(MIN(Inputs!$B$21+((C152=TRUE)*(F152-Calc!F24)),Inputs!$B$22)/100+Inputs!$B$22/100)/2</f>
        <v/>
      </c>
      <c r="M141">
        <f>L141*(1+(Inputs!$B$9+((C154=TRUE)*(F154-Calc!F26))+B171)/100)</f>
        <v/>
      </c>
      <c r="N141">
        <f>L141*(1-MIN((Inputs!$B$8+((C153=TRUE)*(F153-Calc!F25))+B168),100)/100)+M141*(MIN((Inputs!$B$8+((C153=TRUE)*(F153-Calc!F25))+B168),100)/100)</f>
        <v/>
      </c>
      <c r="O141">
        <f>IF(C141,H141*N141*IF(AND(Inputs!$B$4&lt;&gt;"pvp",Inputs!$B$35&gt;0),((Skills!G13*((R141-1)*IF(Skills!H13&gt;0,Skills!I13/Skills!H13,1)+IF(Skills!H13&gt;0,MIN(Skills!I13,MAX(0,Inputs!$B$35-((R141-1)*IF(Inputs!$B$4="pvp",15,MAX(0.1,Skills!D13-IF(Skills!E13=TRUE,Inputs!$B$31,0))))))/Skills!H13,1)))/Inputs!$B$35),G141*Q141)*IF(Inputs!$B$4="pvp",1,(1-Summary!$B$55)*(1)+Summary!$B$55*(MIN(Skills!W13,Inputs!$B$37))),0)</f>
        <v/>
      </c>
      <c r="P141">
        <f>IF(B172=0,0,O141/B172)</f>
        <v/>
      </c>
      <c r="Q141">
        <f>IFERROR(1/IF(Inputs!$B$4="pvp",15,MAX(0.1,Skills!D13-IF(Skills!E13=TRUE,Inputs!$B$31,0))),0)</f>
        <v/>
      </c>
      <c r="R141">
        <f>IF(AND(Inputs!$B$4&lt;&gt;"pvp",Inputs!$B$35&gt;0),(INT(Inputs!$B$35/IF(Inputs!$B$4="pvp",15,MAX(0.1,Skills!D13-IF(Skills!E13=TRUE,Inputs!$B$31,0))))+1),0)</f>
        <v/>
      </c>
      <c r="S141">
        <f>IFERROR(O141/N141,0)</f>
        <v/>
      </c>
    </row>
    <row r="142">
      <c r="A142">
        <f>Skills!A14</f>
        <v/>
      </c>
      <c r="B142">
        <f>Skills!B14</f>
        <v/>
      </c>
      <c r="C142">
        <f>Inputs!$B$3&gt;=105</f>
        <v/>
      </c>
      <c r="D142">
        <f>IF(Skills!C14=1,60+Inputs!$B$24+Inputs!$B$28,IF(Skills!C14=2,90+Inputs!$B$25+Inputs!$B$28,IF(Skills!C14=3,120+Inputs!$B$26+Inputs!$B$28,MAX(0,(Inputs!$B$3-100)*3)+Inputs!$B$27+Inputs!$B$28)))</f>
        <v/>
      </c>
      <c r="E142">
        <f>INDEX(FactorTable!$B$2:$Y$301, MATCH(ROUND(MIN(300,MAX(1,D142)),0), FactorTable!$A$2:$A$301,0), Skills!M14+1)</f>
        <v/>
      </c>
      <c r="F142">
        <f>IF(Skills!N14=TRUE,(Skills!L14/10)*(E142/1000),Skills!L14/10)+Skills!O14</f>
        <v/>
      </c>
      <c r="G142">
        <f>Calc!G14</f>
        <v/>
      </c>
      <c r="H142">
        <f>Calc!H14</f>
        <v/>
      </c>
      <c r="I142">
        <f>IF(Skills!AA14&lt;&gt;"",1+(Skills!AA14/10)*(U131/1000)/100,1)</f>
        <v/>
      </c>
      <c r="J142">
        <f>(Inputs!$B$5*(1+Inputs!$B$6/100))*(F142/100)</f>
        <v/>
      </c>
      <c r="K142">
        <f>J142*(1+((Inputs!$B$11*(1+Inputs!$B$12/100))*0.01+(Inputs!$B$13+1)*0.0025)/100)*(1+Inputs!$B$14/100)*(1+IF(Inputs!$B$4="pvp",0,(1-Summary!$B$55)*(Inputs!$B$19+((C155=TRUE)*(F155-Calc!F27))+Skills!P14+B169)+Summary!$B$55*(Inputs!$B$20+Skills!Q14+B169))/100)*(1+Inputs!$B$15/100)*(5000/(6000+Inputs!$B$7*(1-Inputs!$B$18/100)))*(1+(Inputs!$B$23+((C158=TRUE)*(F158-Calc!F30)))/100)*(1+Skills!R14/100)*(1+(IF(Skills!A14="SHOWDOWN",Inputs!$B$16+((C151=TRUE)*(F151-Calc!F23)),Inputs!$B$17+((C157=TRUE)*(F157-Calc!F29))))/100)*(((1+(((C149=TRUE)*F149*IF(AND(Inputs!$B$4&lt;&gt;"pvp",Inputs!$B$35&gt;0),(((S149-1)*(Skills!Y21*(1+Inputs!$B$33/100))+MIN((Skills!Y21*(1+Inputs!$B$33/100)),MAX(0,Inputs!$B$35-((S149-1)*Skills!D21))))/Inputs!$B$35),IF(Inputs!$B$4="pvp",MIN((Skills!Y21*(1+Inputs!$B$33/100)),15)/15,(Skills!Y21*(1+Inputs!$B$33/100))/Skills!D21)))+((C156=TRUE)*(F156-Calc!F28))+((C146=TRUE)*(F146-Calc!F18)))/100)*(1+((C143=TRUE)*F143*IF(AND(Inputs!$B$4&lt;&gt;"pvp",Inputs!$B$35&gt;0),(((S143-1)*(Skills!Y15*(1+Inputs!$B$33/100))+MIN((Skills!Y15*(1+Inputs!$B$33/100)),MAX(0,Inputs!$B$35-((S143-1)*Skills!D15))))/Inputs!$B$35),IF(Inputs!$B$4="pvp",MIN((Skills!Y15*(1+Inputs!$B$33/100)),15)/15,(Skills!Y15*(1+Inputs!$B$33/100))/Skills!D15)))/100)*(1+((C134=TRUE)*F134*B162)/100))*B170*I142)</f>
        <v/>
      </c>
      <c r="L142">
        <f>K142*(MIN(Inputs!$B$21+((C152=TRUE)*(F152-Calc!F24)),Inputs!$B$22)/100+Inputs!$B$22/100)/2</f>
        <v/>
      </c>
      <c r="M142">
        <f>L142*(1+(Inputs!$B$9+((C154=TRUE)*(F154-Calc!F26))+B171)/100)</f>
        <v/>
      </c>
      <c r="N142">
        <f>L142*(1-MIN((Inputs!$B$8+((C153=TRUE)*(F153-Calc!F25))+B168),100)/100)+M142*(MIN((Inputs!$B$8+((C153=TRUE)*(F153-Calc!F25))+B168),100)/100)</f>
        <v/>
      </c>
      <c r="O142">
        <f>IF(C142,H142*N142*IF(AND(Inputs!$B$4&lt;&gt;"pvp",Inputs!$B$35&gt;0),((Skills!G14*((R142-1)*IF(Skills!H14&gt;0,Skills!I14/Skills!H14,1)+IF(Skills!H14&gt;0,MIN(Skills!I14,MAX(0,Inputs!$B$35-((R142-1)*IF(Inputs!$B$4="pvp",15,MAX(0.1,Skills!D14-IF(Skills!E14=TRUE,Inputs!$B$31,0))))))/Skills!H14,1)))/Inputs!$B$35),G142*Q142)*IF(Inputs!$B$4="pvp",1,(1-Summary!$B$55)*(1)+Summary!$B$55*(MIN(Skills!W14,Inputs!$B$37))),0)</f>
        <v/>
      </c>
      <c r="P142">
        <f>IF(B172=0,0,O142/B172)</f>
        <v/>
      </c>
      <c r="Q142">
        <f>IFERROR(1/IF(Inputs!$B$4="pvp",15,MAX(0.1,Skills!D14-IF(Skills!E14=TRUE,Inputs!$B$31,0))),0)</f>
        <v/>
      </c>
      <c r="R142">
        <f>IF(AND(Inputs!$B$4&lt;&gt;"pvp",Inputs!$B$35&gt;0),(INT(Inputs!$B$35/IF(Inputs!$B$4="pvp",15,MAX(0.1,Skills!D14-IF(Skills!E14=TRUE,Inputs!$B$31,0))))+1),0)</f>
        <v/>
      </c>
      <c r="S142">
        <f>IFERROR(O142/N142,0)</f>
        <v/>
      </c>
    </row>
    <row r="143">
      <c r="A143">
        <f>Skills!A15</f>
        <v/>
      </c>
      <c r="B143">
        <f>Skills!B15</f>
        <v/>
      </c>
      <c r="C143">
        <f>Inputs!$B$3&gt;=110</f>
        <v/>
      </c>
      <c r="D143">
        <f>IF(Skills!C15=1,60+Inputs!$B$24+Inputs!$B$28,IF(Skills!C15=2,90+Inputs!$B$25+Inputs!$B$28,IF(Skills!C15=3,120+Inputs!$B$26+Inputs!$B$28,MAX(0,(Inputs!$B$3-100)*3)+Inputs!$B$27+Inputs!$B$28)))</f>
        <v/>
      </c>
      <c r="E143">
        <f>INDEX(FactorTable!$B$2:$Y$301, MATCH(ROUND(MIN(300,MAX(1,D143)),0), FactorTable!$A$2:$A$301,0), Skills!M15+1)</f>
        <v/>
      </c>
      <c r="F143">
        <f>IF(Skills!N15=TRUE,(Skills!L15/10)*(E143/1000),Skills!L15/10)+Skills!O15</f>
        <v/>
      </c>
      <c r="G143">
        <f>Calc!G15</f>
        <v/>
      </c>
      <c r="H143">
        <f>Calc!H15</f>
        <v/>
      </c>
      <c r="I143">
        <f>IF(Skills!AA15&lt;&gt;"",1+(Skills!AA15/10)*(U131/1000)/100,1)</f>
        <v/>
      </c>
      <c r="J143" t="inlineStr"/>
      <c r="K143" t="inlineStr"/>
      <c r="L143" t="inlineStr"/>
      <c r="M143" t="inlineStr"/>
      <c r="N143" t="inlineStr"/>
      <c r="O143" t="n">
        <v>0</v>
      </c>
      <c r="P143">
        <f>IF(B172=0,0,O143/B172)</f>
        <v/>
      </c>
      <c r="Q143">
        <f>IFERROR(1/IF(Inputs!$B$4="pvp",15,MAX(0.1,Skills!D15-IF(Skills!E15=TRUE,Inputs!$B$31,0))),0)</f>
        <v/>
      </c>
      <c r="R143">
        <f>IF(AND(Inputs!$B$4&lt;&gt;"pvp",Inputs!$B$35&gt;0),(INT(Inputs!$B$35/IF(Inputs!$B$4="pvp",15,MAX(0.1,Skills!D15-IF(Skills!E15=TRUE,Inputs!$B$31,0))))+1),0)</f>
        <v/>
      </c>
      <c r="S143">
        <f>IFERROR(O143/N143,0)</f>
        <v/>
      </c>
    </row>
    <row r="144">
      <c r="A144">
        <f>Skills!A16</f>
        <v/>
      </c>
      <c r="B144">
        <f>Skills!B16</f>
        <v/>
      </c>
      <c r="C144">
        <f>Inputs!$B$3&gt;=110</f>
        <v/>
      </c>
      <c r="D144">
        <f>IF(Skills!C16=1,60+Inputs!$B$24+Inputs!$B$28,IF(Skills!C16=2,90+Inputs!$B$25+Inputs!$B$28,IF(Skills!C16=3,120+Inputs!$B$26+Inputs!$B$28,MAX(0,(Inputs!$B$3-100)*3)+Inputs!$B$27+Inputs!$B$28)))</f>
        <v/>
      </c>
      <c r="E144">
        <f>INDEX(FactorTable!$B$2:$Y$301, MATCH(ROUND(MIN(300,MAX(1,D144)),0), FactorTable!$A$2:$A$301,0), Skills!M16+1)</f>
        <v/>
      </c>
      <c r="F144">
        <f>IF(Skills!N16=TRUE,(Skills!L16/10)*(E144/1000),Skills!L16/10)+Skills!O16</f>
        <v/>
      </c>
      <c r="G144">
        <f>Calc!G16</f>
        <v/>
      </c>
      <c r="H144">
        <f>Calc!H16</f>
        <v/>
      </c>
      <c r="I144">
        <f>IF(Skills!AA16&lt;&gt;"",1+(Skills!AA16/10)*(U131/1000)/100,1)</f>
        <v/>
      </c>
      <c r="J144" t="inlineStr"/>
      <c r="K144" t="inlineStr"/>
      <c r="L144" t="inlineStr"/>
      <c r="M144" t="inlineStr"/>
      <c r="N144" t="inlineStr"/>
      <c r="O144" t="n">
        <v>0</v>
      </c>
      <c r="P144">
        <f>IF(B172=0,0,O144/B172)</f>
        <v/>
      </c>
      <c r="Q144">
        <f>IFERROR(1/IF(Inputs!$B$4="pvp",15,MAX(0.1,Skills!D16-IF(Skills!E16=TRUE,Inputs!$B$31,0))),0)</f>
        <v/>
      </c>
      <c r="R144">
        <f>IF(AND(Inputs!$B$4&lt;&gt;"pvp",Inputs!$B$35&gt;0),(INT(Inputs!$B$35/IF(Inputs!$B$4="pvp",15,MAX(0.1,Skills!D16-IF(Skills!E16=TRUE,Inputs!$B$31,0))))+1),0)</f>
        <v/>
      </c>
      <c r="S144">
        <f>IFERROR(O144/N144,0)</f>
        <v/>
      </c>
    </row>
    <row r="145">
      <c r="A145">
        <f>Skills!A17</f>
        <v/>
      </c>
      <c r="B145">
        <f>Skills!B17</f>
        <v/>
      </c>
      <c r="C145">
        <f>Inputs!$B$3&gt;=115</f>
        <v/>
      </c>
      <c r="D145">
        <f>IF(Skills!C17=1,60+Inputs!$B$24+Inputs!$B$28,IF(Skills!C17=2,90+Inputs!$B$25+Inputs!$B$28,IF(Skills!C17=3,120+Inputs!$B$26+Inputs!$B$28,MAX(0,(Inputs!$B$3-100)*3)+Inputs!$B$27+Inputs!$B$28)))</f>
        <v/>
      </c>
      <c r="E145">
        <f>INDEX(FactorTable!$B$2:$Y$301, MATCH(ROUND(MIN(300,MAX(1,D145)),0), FactorTable!$A$2:$A$301,0), Skills!M17+1)</f>
        <v/>
      </c>
      <c r="F145">
        <f>IF(Skills!N17=TRUE,(Skills!L17/10)*(E145/1000),Skills!L17/10)+Skills!O17</f>
        <v/>
      </c>
      <c r="G145">
        <f>Calc!G17</f>
        <v/>
      </c>
      <c r="H145">
        <f>Calc!H17</f>
        <v/>
      </c>
      <c r="I145">
        <f>IF(Skills!AA17&lt;&gt;"",1+(Skills!AA17/10)*(U131/1000)/100,1)</f>
        <v/>
      </c>
      <c r="J145">
        <f>(Inputs!$B$5*(1+Inputs!$B$6/100))*(F145/100)</f>
        <v/>
      </c>
      <c r="K145">
        <f>J145*(1+((Inputs!$B$11*(1+Inputs!$B$12/100))*0.01+(Inputs!$B$13+1)*0.0025)/100)*(1+Inputs!$B$14/100)*(1+IF(Inputs!$B$4="pvp",0,(1-Summary!$B$55)*(Inputs!$B$19+((C155=TRUE)*(F155-Calc!F27))+Skills!P17+B169)+Summary!$B$55*(Inputs!$B$20+Skills!Q17+B169))/100)*(1+Inputs!$B$15/100)*(5000/(6000+Inputs!$B$7*(1-Inputs!$B$18/100)))*(1+(Inputs!$B$23+((C158=TRUE)*(F158-Calc!F30)))/100)*(1+Skills!R17/100)*(1+(IF(Skills!A17="SHOWDOWN",Inputs!$B$16+((C151=TRUE)*(F151-Calc!F23)),Inputs!$B$17+((C157=TRUE)*(F157-Calc!F29))))/100)*(((1+(((C149=TRUE)*F149*IF(AND(Inputs!$B$4&lt;&gt;"pvp",Inputs!$B$35&gt;0),(((S149-1)*(Skills!Y21*(1+Inputs!$B$33/100))+MIN((Skills!Y21*(1+Inputs!$B$33/100)),MAX(0,Inputs!$B$35-((S149-1)*Skills!D21))))/Inputs!$B$35),IF(Inputs!$B$4="pvp",MIN((Skills!Y21*(1+Inputs!$B$33/100)),15)/15,(Skills!Y21*(1+Inputs!$B$33/100))/Skills!D21)))+((C156=TRUE)*(F156-Calc!F28))+((C146=TRUE)*(F146-Calc!F18)))/100)*(1+((C143=TRUE)*F143*IF(AND(Inputs!$B$4&lt;&gt;"pvp",Inputs!$B$35&gt;0),(((S143-1)*(Skills!Y15*(1+Inputs!$B$33/100))+MIN((Skills!Y15*(1+Inputs!$B$33/100)),MAX(0,Inputs!$B$35-((S143-1)*Skills!D15))))/Inputs!$B$35),IF(Inputs!$B$4="pvp",MIN((Skills!Y15*(1+Inputs!$B$33/100)),15)/15,(Skills!Y15*(1+Inputs!$B$33/100))/Skills!D15)))/100)*(1+((C134=TRUE)*F134*B162)/100))*B170*I145)</f>
        <v/>
      </c>
      <c r="L145">
        <f>K145*(MIN(Inputs!$B$21+((C152=TRUE)*(F152-Calc!F24)),Inputs!$B$22)/100+Inputs!$B$22/100)/2</f>
        <v/>
      </c>
      <c r="M145">
        <f>L145*(1+(Inputs!$B$9+((C154=TRUE)*(F154-Calc!F26))+B171)/100)</f>
        <v/>
      </c>
      <c r="N145">
        <f>L145*(1-MIN((Inputs!$B$8+((C153=TRUE)*(F153-Calc!F25))+B168),100)/100)+M145*(MIN((Inputs!$B$8+((C153=TRUE)*(F153-Calc!F25))+B168),100)/100)</f>
        <v/>
      </c>
      <c r="O145">
        <f>IF(C145,Inputs!$B$38*0.2*N145,0)</f>
        <v/>
      </c>
      <c r="P145">
        <f>IF(B172=0,0,O145/B172)</f>
        <v/>
      </c>
      <c r="Q145" t="n">
        <v>0</v>
      </c>
      <c r="R145" t="n">
        <v>0</v>
      </c>
      <c r="S145">
        <f>IFERROR(O145/N145,0)</f>
        <v/>
      </c>
    </row>
    <row r="146">
      <c r="A146">
        <f>Skills!A18</f>
        <v/>
      </c>
      <c r="B146">
        <f>Skills!B18</f>
        <v/>
      </c>
      <c r="C146">
        <f>Inputs!$B$3&gt;=115</f>
        <v/>
      </c>
      <c r="D146">
        <f>IF(Skills!C18=1,60+Inputs!$B$24+Inputs!$B$28,IF(Skills!C18=2,90+Inputs!$B$25+Inputs!$B$28,IF(Skills!C18=3,120+Inputs!$B$26+Inputs!$B$28,MAX(0,(Inputs!$B$3-100)*3)+Inputs!$B$27+Inputs!$B$28)))</f>
        <v/>
      </c>
      <c r="E146">
        <f>INDEX(FactorTable!$B$2:$Y$301, MATCH(ROUND(MIN(300,MAX(1,D146)),0), FactorTable!$A$2:$A$301,0), Skills!M18+1)</f>
        <v/>
      </c>
      <c r="F146">
        <f>IF(Skills!N18=TRUE,(Skills!L18/10)*(E146/1000),Skills!L18/10)+Skills!O18</f>
        <v/>
      </c>
      <c r="G146">
        <f>Calc!G18</f>
        <v/>
      </c>
      <c r="H146">
        <f>Calc!H18</f>
        <v/>
      </c>
      <c r="I146">
        <f>IF(Skills!AA18&lt;&gt;"",1+(Skills!AA18/10)*(U131/1000)/100,1)</f>
        <v/>
      </c>
      <c r="J146" t="inlineStr"/>
      <c r="K146" t="inlineStr"/>
      <c r="L146" t="inlineStr"/>
      <c r="M146" t="inlineStr"/>
      <c r="N146" t="inlineStr"/>
      <c r="O146" t="n">
        <v>0</v>
      </c>
      <c r="P146">
        <f>IF(B172=0,0,O146/B172)</f>
        <v/>
      </c>
      <c r="Q146" t="n">
        <v>0</v>
      </c>
      <c r="R146" t="n">
        <v>0</v>
      </c>
      <c r="S146">
        <f>IFERROR(O146/N146,0)</f>
        <v/>
      </c>
    </row>
    <row r="147">
      <c r="A147">
        <f>Skills!A19</f>
        <v/>
      </c>
      <c r="B147">
        <f>Skills!B19</f>
        <v/>
      </c>
      <c r="C147">
        <f>TRUE</f>
        <v/>
      </c>
      <c r="D147">
        <f>IF(Skills!C19=1,60+Inputs!$B$24+Inputs!$B$28,IF(Skills!C19=2,90+Inputs!$B$25+Inputs!$B$28,IF(Skills!C19=3,120+Inputs!$B$26+Inputs!$B$28,MAX(0,(Inputs!$B$3-100)*3)+Inputs!$B$27+Inputs!$B$28)))</f>
        <v/>
      </c>
      <c r="E147">
        <f>INDEX(FactorTable!$B$2:$Y$301, MATCH(ROUND(MIN(300,MAX(1,D147)),0), FactorTable!$A$2:$A$301,0), Skills!M19+1)</f>
        <v/>
      </c>
      <c r="F147">
        <f>IF(Skills!N19=TRUE,(Skills!L19/10)*(E147/1000),Skills!L19/10)+Skills!O19</f>
        <v/>
      </c>
      <c r="G147">
        <f>Calc!G19</f>
        <v/>
      </c>
      <c r="H147">
        <f>Calc!H19</f>
        <v/>
      </c>
      <c r="I147">
        <f>IF(Skills!AA19&lt;&gt;"",1+(Skills!AA19/10)*(U131/1000)/100,1)</f>
        <v/>
      </c>
      <c r="J147" t="inlineStr"/>
      <c r="K147" t="inlineStr"/>
      <c r="L147" t="inlineStr"/>
      <c r="M147" t="inlineStr"/>
      <c r="N147" t="inlineStr"/>
      <c r="O147" t="n">
        <v>0</v>
      </c>
      <c r="P147">
        <f>IF(B172=0,0,O147/B172)</f>
        <v/>
      </c>
      <c r="Q147">
        <f>IFERROR(1/IF(Inputs!$B$4="pvp",15,MAX(0.1,Skills!D19-IF(Skills!E19=TRUE,Inputs!$B$31,0))),0)</f>
        <v/>
      </c>
      <c r="R147">
        <f>IF(AND(Inputs!$B$4&lt;&gt;"pvp",Inputs!$B$35&gt;0),(INT(Inputs!$B$35/IF(Inputs!$B$4="pvp",15,MAX(0.1,Skills!D19-IF(Skills!E19=TRUE,Inputs!$B$31,0))))+1),0)</f>
        <v/>
      </c>
      <c r="S147">
        <f>IFERROR(O147/N147,0)</f>
        <v/>
      </c>
    </row>
    <row r="148">
      <c r="A148">
        <f>Skills!A20</f>
        <v/>
      </c>
      <c r="B148">
        <f>Skills!B20</f>
        <v/>
      </c>
      <c r="C148">
        <f>Inputs!$B$3&gt;=15</f>
        <v/>
      </c>
      <c r="D148">
        <f>IF(Skills!C20=1,60+Inputs!$B$24+Inputs!$B$28,IF(Skills!C20=2,90+Inputs!$B$25+Inputs!$B$28,IF(Skills!C20=3,120+Inputs!$B$26+Inputs!$B$28,MAX(0,(Inputs!$B$3-100)*3)+Inputs!$B$27+Inputs!$B$28)))</f>
        <v/>
      </c>
      <c r="E148">
        <f>INDEX(FactorTable!$B$2:$Y$301, MATCH(ROUND(MIN(300,MAX(1,D148)),0), FactorTable!$A$2:$A$301,0), Skills!M20+1)</f>
        <v/>
      </c>
      <c r="F148">
        <f>IF(Skills!N20=TRUE,(Skills!L20/10)*(E148/1000),Skills!L20/10)+Skills!O20</f>
        <v/>
      </c>
      <c r="G148">
        <f>Calc!G20</f>
        <v/>
      </c>
      <c r="H148">
        <f>Calc!H20</f>
        <v/>
      </c>
      <c r="I148">
        <f>IF(Skills!AA20&lt;&gt;"",1+(Skills!AA20/10)*(U131/1000)/100,1)</f>
        <v/>
      </c>
      <c r="J148" t="inlineStr"/>
      <c r="K148" t="inlineStr"/>
      <c r="L148" t="inlineStr"/>
      <c r="M148" t="inlineStr"/>
      <c r="N148" t="inlineStr"/>
      <c r="O148" t="n">
        <v>0</v>
      </c>
      <c r="P148">
        <f>IF(B172=0,0,O148/B172)</f>
        <v/>
      </c>
      <c r="Q148">
        <f>IFERROR(1/IF(Inputs!$B$4="pvp",15,MAX(0.1,Skills!D20-IF(Skills!E20=TRUE,Inputs!$B$31,0))),0)</f>
        <v/>
      </c>
      <c r="R148">
        <f>IF(AND(Inputs!$B$4&lt;&gt;"pvp",Inputs!$B$35&gt;0),(INT(Inputs!$B$35/IF(Inputs!$B$4="pvp",15,MAX(0.1,Skills!D20-IF(Skills!E20=TRUE,Inputs!$B$31,0))))+1),0)</f>
        <v/>
      </c>
      <c r="S148">
        <f>IFERROR(O148/N148,0)</f>
        <v/>
      </c>
    </row>
    <row r="149">
      <c r="A149">
        <f>Skills!A21</f>
        <v/>
      </c>
      <c r="B149">
        <f>Skills!B21</f>
        <v/>
      </c>
      <c r="C149">
        <f>Inputs!$B$3&gt;=15</f>
        <v/>
      </c>
      <c r="D149">
        <f>IF(Skills!C21=1,60+Inputs!$B$24+Inputs!$B$28,IF(Skills!C21=2,90+Inputs!$B$25+Inputs!$B$28,IF(Skills!C21=3,120+Inputs!$B$26+Inputs!$B$28,MAX(0,(Inputs!$B$3-100)*3)+Inputs!$B$27+Inputs!$B$28)))</f>
        <v/>
      </c>
      <c r="E149">
        <f>INDEX(FactorTable!$B$2:$Y$301, MATCH(ROUND(MIN(300,MAX(1,D149)),0), FactorTable!$A$2:$A$301,0), Skills!M21+1)</f>
        <v/>
      </c>
      <c r="F149">
        <f>IF(Skills!N21=TRUE,(Skills!L21/10)*(E149/1000),Skills!L21/10)+Skills!O21</f>
        <v/>
      </c>
      <c r="G149">
        <f>Calc!G21</f>
        <v/>
      </c>
      <c r="H149">
        <f>Calc!H21</f>
        <v/>
      </c>
      <c r="I149">
        <f>IF(Skills!AA21&lt;&gt;"",1+(Skills!AA21/10)*(U131/1000)/100,1)</f>
        <v/>
      </c>
      <c r="J149" t="inlineStr"/>
      <c r="K149" t="inlineStr"/>
      <c r="L149" t="inlineStr"/>
      <c r="M149" t="inlineStr"/>
      <c r="N149" t="inlineStr"/>
      <c r="O149" t="n">
        <v>0</v>
      </c>
      <c r="P149">
        <f>IF(B172=0,0,O149/B172)</f>
        <v/>
      </c>
      <c r="Q149">
        <f>IFERROR(1/IF(Inputs!$B$4="pvp",15,MAX(0.1,Skills!D21-IF(Skills!E21=TRUE,Inputs!$B$31,0))),0)</f>
        <v/>
      </c>
      <c r="R149">
        <f>IF(AND(Inputs!$B$4&lt;&gt;"pvp",Inputs!$B$35&gt;0),(INT(Inputs!$B$35/IF(Inputs!$B$4="pvp",15,MAX(0.1,Skills!D21-IF(Skills!E21=TRUE,Inputs!$B$31,0))))+1),0)</f>
        <v/>
      </c>
      <c r="S149">
        <f>IFERROR(O149/N149,0)</f>
        <v/>
      </c>
    </row>
    <row r="150">
      <c r="A150">
        <f>Skills!A22</f>
        <v/>
      </c>
      <c r="B150">
        <f>Skills!B22</f>
        <v/>
      </c>
      <c r="C150">
        <f>Inputs!$B$3&gt;=33</f>
        <v/>
      </c>
      <c r="D150">
        <f>IF(Skills!C22=1,60+Inputs!$B$24+Inputs!$B$28,IF(Skills!C22=2,90+Inputs!$B$25+Inputs!$B$28,IF(Skills!C22=3,120+Inputs!$B$26+Inputs!$B$28,MAX(0,(Inputs!$B$3-100)*3)+Inputs!$B$27+Inputs!$B$28)))</f>
        <v/>
      </c>
      <c r="E150">
        <f>INDEX(FactorTable!$B$2:$Y$301, MATCH(ROUND(MIN(300,MAX(1,D150)),0), FactorTable!$A$2:$A$301,0), Skills!M22+1)</f>
        <v/>
      </c>
      <c r="F150">
        <f>IF(Skills!N22=TRUE,(Skills!L22/10)*(E150/1000),Skills!L22/10)+Skills!O22</f>
        <v/>
      </c>
      <c r="G150">
        <f>Calc!G22</f>
        <v/>
      </c>
      <c r="H150">
        <f>Calc!H22</f>
        <v/>
      </c>
      <c r="I150">
        <f>IF(Skills!AA22&lt;&gt;"",1+(Skills!AA22/10)*(U131/1000)/100,1)</f>
        <v/>
      </c>
      <c r="J150" t="inlineStr"/>
      <c r="K150" t="inlineStr"/>
      <c r="L150" t="inlineStr"/>
      <c r="M150" t="inlineStr"/>
      <c r="N150" t="inlineStr"/>
      <c r="O150" t="n">
        <v>0</v>
      </c>
      <c r="P150">
        <f>IF(B172=0,0,O150/B172)</f>
        <v/>
      </c>
      <c r="Q150" t="n">
        <v>0</v>
      </c>
      <c r="R150" t="n">
        <v>0</v>
      </c>
      <c r="S150">
        <f>IFERROR(O150/N150,0)</f>
        <v/>
      </c>
    </row>
    <row r="151">
      <c r="A151">
        <f>Skills!A23</f>
        <v/>
      </c>
      <c r="B151">
        <f>Skills!B23</f>
        <v/>
      </c>
      <c r="C151">
        <f>Inputs!$B$3&gt;=38</f>
        <v/>
      </c>
      <c r="D151">
        <f>IF(Skills!C23=1,60+Inputs!$B$24+Inputs!$B$28,IF(Skills!C23=2,90+Inputs!$B$25+Inputs!$B$28,IF(Skills!C23=3,120+Inputs!$B$26+Inputs!$B$28,MAX(0,(Inputs!$B$3-100)*3)+Inputs!$B$27+Inputs!$B$28)))</f>
        <v/>
      </c>
      <c r="E151">
        <f>INDEX(FactorTable!$B$2:$Y$301, MATCH(ROUND(MIN(300,MAX(1,D151)),0), FactorTable!$A$2:$A$301,0), Skills!M23+1)</f>
        <v/>
      </c>
      <c r="F151">
        <f>IF(Skills!N23=TRUE,(Skills!L23/10)*(E151/1000),Skills!L23/10)+Skills!O23</f>
        <v/>
      </c>
      <c r="G151">
        <f>Calc!G23</f>
        <v/>
      </c>
      <c r="H151">
        <f>Calc!H23</f>
        <v/>
      </c>
      <c r="I151">
        <f>IF(Skills!AA23&lt;&gt;"",1+(Skills!AA23/10)*(U131/1000)/100,1)</f>
        <v/>
      </c>
      <c r="J151" t="inlineStr"/>
      <c r="K151" t="inlineStr"/>
      <c r="L151" t="inlineStr"/>
      <c r="M151" t="inlineStr"/>
      <c r="N151" t="inlineStr"/>
      <c r="O151" t="n">
        <v>0</v>
      </c>
      <c r="P151">
        <f>IF(B172=0,0,O151/B172)</f>
        <v/>
      </c>
      <c r="Q151" t="n">
        <v>0</v>
      </c>
      <c r="R151" t="n">
        <v>0</v>
      </c>
      <c r="S151">
        <f>IFERROR(O151/N151,0)</f>
        <v/>
      </c>
    </row>
    <row r="152">
      <c r="A152">
        <f>Skills!A24</f>
        <v/>
      </c>
      <c r="B152">
        <f>Skills!B24</f>
        <v/>
      </c>
      <c r="C152">
        <f>Inputs!$B$3&gt;=40</f>
        <v/>
      </c>
      <c r="D152">
        <f>IF(Skills!C24=1,60+Inputs!$B$24+Inputs!$B$28,IF(Skills!C24=2,90+Inputs!$B$25+Inputs!$B$28,IF(Skills!C24=3,120+Inputs!$B$26+Inputs!$B$28,MAX(0,(Inputs!$B$3-100)*3)+Inputs!$B$27+Inputs!$B$28)))</f>
        <v/>
      </c>
      <c r="E152">
        <f>INDEX(FactorTable!$B$2:$Y$301, MATCH(ROUND(MIN(300,MAX(1,D152)),0), FactorTable!$A$2:$A$301,0), Skills!M24+1)</f>
        <v/>
      </c>
      <c r="F152">
        <f>IF(Skills!N24=TRUE,(Skills!L24/10)*(E152/1000),Skills!L24/10)+Skills!O24</f>
        <v/>
      </c>
      <c r="G152">
        <f>Calc!G24</f>
        <v/>
      </c>
      <c r="H152">
        <f>Calc!H24</f>
        <v/>
      </c>
      <c r="I152">
        <f>IF(Skills!AA24&lt;&gt;"",1+(Skills!AA24/10)*(U131/1000)/100,1)</f>
        <v/>
      </c>
      <c r="J152" t="inlineStr"/>
      <c r="K152" t="inlineStr"/>
      <c r="L152" t="inlineStr"/>
      <c r="M152" t="inlineStr"/>
      <c r="N152" t="inlineStr"/>
      <c r="O152" t="n">
        <v>0</v>
      </c>
      <c r="P152">
        <f>IF(B172=0,0,O152/B172)</f>
        <v/>
      </c>
      <c r="Q152" t="n">
        <v>0</v>
      </c>
      <c r="R152" t="n">
        <v>0</v>
      </c>
      <c r="S152">
        <f>IFERROR(O152/N152,0)</f>
        <v/>
      </c>
    </row>
    <row r="153">
      <c r="A153">
        <f>Skills!A25</f>
        <v/>
      </c>
      <c r="B153">
        <f>Skills!B25</f>
        <v/>
      </c>
      <c r="C153">
        <f>Inputs!$B$3&gt;=45</f>
        <v/>
      </c>
      <c r="D153">
        <f>IF(Skills!C25=1,60+Inputs!$B$24+Inputs!$B$28,IF(Skills!C25=2,90+Inputs!$B$25+Inputs!$B$28,IF(Skills!C25=3,120+Inputs!$B$26+Inputs!$B$28,MAX(0,(Inputs!$B$3-100)*3)+Inputs!$B$27+Inputs!$B$28)))</f>
        <v/>
      </c>
      <c r="E153">
        <f>INDEX(FactorTable!$B$2:$Y$301, MATCH(ROUND(MIN(300,MAX(1,D153)),0), FactorTable!$A$2:$A$301,0), Skills!M25+1)</f>
        <v/>
      </c>
      <c r="F153">
        <f>IF(Skills!N25=TRUE,(Skills!L25/10)*(E153/1000),Skills!L25/10)+Skills!O25</f>
        <v/>
      </c>
      <c r="G153">
        <f>Calc!G25</f>
        <v/>
      </c>
      <c r="H153">
        <f>Calc!H25</f>
        <v/>
      </c>
      <c r="I153">
        <f>IF(Skills!AA25&lt;&gt;"",1+(Skills!AA25/10)*(U131/1000)/100,1)</f>
        <v/>
      </c>
      <c r="J153" t="inlineStr"/>
      <c r="K153" t="inlineStr"/>
      <c r="L153" t="inlineStr"/>
      <c r="M153" t="inlineStr"/>
      <c r="N153" t="inlineStr"/>
      <c r="O153" t="n">
        <v>0</v>
      </c>
      <c r="P153">
        <f>IF(B172=0,0,O153/B172)</f>
        <v/>
      </c>
      <c r="Q153" t="n">
        <v>0</v>
      </c>
      <c r="R153" t="n">
        <v>0</v>
      </c>
      <c r="S153">
        <f>IFERROR(O153/N153,0)</f>
        <v/>
      </c>
    </row>
    <row r="154">
      <c r="A154">
        <f>Skills!A26</f>
        <v/>
      </c>
      <c r="B154">
        <f>Skills!B26</f>
        <v/>
      </c>
      <c r="C154">
        <f>Inputs!$B$3&gt;=45</f>
        <v/>
      </c>
      <c r="D154">
        <f>IF(Skills!C26=1,60+Inputs!$B$24+Inputs!$B$28,IF(Skills!C26=2,90+Inputs!$B$25+Inputs!$B$28,IF(Skills!C26=3,120+Inputs!$B$26+Inputs!$B$28,MAX(0,(Inputs!$B$3-100)*3)+Inputs!$B$27+Inputs!$B$28)))</f>
        <v/>
      </c>
      <c r="E154">
        <f>INDEX(FactorTable!$B$2:$Y$301, MATCH(ROUND(MIN(300,MAX(1,D154)),0), FactorTable!$A$2:$A$301,0), Skills!M26+1)</f>
        <v/>
      </c>
      <c r="F154">
        <f>IF(Skills!N26=TRUE,(Skills!L26/10)*(E154/1000),Skills!L26/10)+Skills!O26</f>
        <v/>
      </c>
      <c r="G154">
        <f>Calc!G26</f>
        <v/>
      </c>
      <c r="H154">
        <f>Calc!H26</f>
        <v/>
      </c>
      <c r="I154">
        <f>IF(Skills!AA26&lt;&gt;"",1+(Skills!AA26/10)*(U131/1000)/100,1)</f>
        <v/>
      </c>
      <c r="J154" t="inlineStr"/>
      <c r="K154" t="inlineStr"/>
      <c r="L154" t="inlineStr"/>
      <c r="M154" t="inlineStr"/>
      <c r="N154" t="inlineStr"/>
      <c r="O154" t="n">
        <v>0</v>
      </c>
      <c r="P154">
        <f>IF(B172=0,0,O154/B172)</f>
        <v/>
      </c>
      <c r="Q154" t="n">
        <v>0</v>
      </c>
      <c r="R154" t="n">
        <v>0</v>
      </c>
      <c r="S154">
        <f>IFERROR(O154/N154,0)</f>
        <v/>
      </c>
    </row>
    <row r="155">
      <c r="A155">
        <f>Skills!A27</f>
        <v/>
      </c>
      <c r="B155">
        <f>Skills!B27</f>
        <v/>
      </c>
      <c r="C155">
        <f>Inputs!$B$3&gt;=72</f>
        <v/>
      </c>
      <c r="D155">
        <f>IF(Skills!C27=1,60+Inputs!$B$24+Inputs!$B$28,IF(Skills!C27=2,90+Inputs!$B$25+Inputs!$B$28,IF(Skills!C27=3,120+Inputs!$B$26+Inputs!$B$28,MAX(0,(Inputs!$B$3-100)*3)+Inputs!$B$27+Inputs!$B$28)))</f>
        <v/>
      </c>
      <c r="E155">
        <f>INDEX(FactorTable!$B$2:$Y$301, MATCH(ROUND(MIN(300,MAX(1,D155)),0), FactorTable!$A$2:$A$301,0), Skills!M27+1)</f>
        <v/>
      </c>
      <c r="F155">
        <f>IF(Skills!N27=TRUE,(Skills!L27/10)*(E155/1000),Skills!L27/10)+Skills!O27</f>
        <v/>
      </c>
      <c r="G155">
        <f>Calc!G27</f>
        <v/>
      </c>
      <c r="H155">
        <f>Calc!H27</f>
        <v/>
      </c>
      <c r="I155">
        <f>IF(Skills!AA27&lt;&gt;"",1+(Skills!AA27/10)*(U131/1000)/100,1)</f>
        <v/>
      </c>
      <c r="J155" t="inlineStr"/>
      <c r="K155" t="inlineStr"/>
      <c r="L155" t="inlineStr"/>
      <c r="M155" t="inlineStr"/>
      <c r="N155" t="inlineStr"/>
      <c r="O155" t="n">
        <v>0</v>
      </c>
      <c r="P155">
        <f>IF(B172=0,0,O155/B172)</f>
        <v/>
      </c>
      <c r="Q155" t="n">
        <v>0</v>
      </c>
      <c r="R155" t="n">
        <v>0</v>
      </c>
      <c r="S155">
        <f>IFERROR(O155/N155,0)</f>
        <v/>
      </c>
    </row>
    <row r="156">
      <c r="A156">
        <f>Skills!A28</f>
        <v/>
      </c>
      <c r="B156">
        <f>Skills!B28</f>
        <v/>
      </c>
      <c r="C156">
        <f>Inputs!$B$3&gt;=75</f>
        <v/>
      </c>
      <c r="D156">
        <f>IF(Skills!C28=1,60+Inputs!$B$24+Inputs!$B$28,IF(Skills!C28=2,90+Inputs!$B$25+Inputs!$B$28,IF(Skills!C28=3,120+Inputs!$B$26+Inputs!$B$28,MAX(0,(Inputs!$B$3-100)*3)+Inputs!$B$27+Inputs!$B$28)))</f>
        <v/>
      </c>
      <c r="E156">
        <f>INDEX(FactorTable!$B$2:$Y$301, MATCH(ROUND(MIN(300,MAX(1,D156)),0), FactorTable!$A$2:$A$301,0), Skills!M28+1)</f>
        <v/>
      </c>
      <c r="F156">
        <f>IF(Skills!N28=TRUE,(Skills!L28/10)*(E156/1000),Skills!L28/10)+Skills!O28</f>
        <v/>
      </c>
      <c r="G156">
        <f>Calc!G28</f>
        <v/>
      </c>
      <c r="H156">
        <f>Calc!H28</f>
        <v/>
      </c>
      <c r="I156">
        <f>IF(Skills!AA28&lt;&gt;"",1+(Skills!AA28/10)*(U131/1000)/100,1)</f>
        <v/>
      </c>
      <c r="J156" t="inlineStr"/>
      <c r="K156" t="inlineStr"/>
      <c r="L156" t="inlineStr"/>
      <c r="M156" t="inlineStr"/>
      <c r="N156" t="inlineStr"/>
      <c r="O156" t="n">
        <v>0</v>
      </c>
      <c r="P156">
        <f>IF(B172=0,0,O156/B172)</f>
        <v/>
      </c>
      <c r="Q156" t="n">
        <v>0</v>
      </c>
      <c r="R156" t="n">
        <v>0</v>
      </c>
      <c r="S156">
        <f>IFERROR(O156/N156,0)</f>
        <v/>
      </c>
    </row>
    <row r="157">
      <c r="A157">
        <f>Skills!A29</f>
        <v/>
      </c>
      <c r="B157">
        <f>Skills!B29</f>
        <v/>
      </c>
      <c r="C157">
        <f>Inputs!$B$3&gt;=120</f>
        <v/>
      </c>
      <c r="D157">
        <f>IF(Skills!C29=1,60+Inputs!$B$24+Inputs!$B$28,IF(Skills!C29=2,90+Inputs!$B$25+Inputs!$B$28,IF(Skills!C29=3,120+Inputs!$B$26+Inputs!$B$28,MAX(0,(Inputs!$B$3-100)*3)+Inputs!$B$27+Inputs!$B$28)))</f>
        <v/>
      </c>
      <c r="E157">
        <f>INDEX(FactorTable!$B$2:$Y$301, MATCH(ROUND(MIN(300,MAX(1,D157)),0), FactorTable!$A$2:$A$301,0), Skills!M29+1)</f>
        <v/>
      </c>
      <c r="F157">
        <f>IF(Skills!N29=TRUE,(Skills!L29/10)*(E157/1000),Skills!L29/10)+Skills!O29</f>
        <v/>
      </c>
      <c r="G157">
        <f>Calc!G29</f>
        <v/>
      </c>
      <c r="H157">
        <f>Calc!H29</f>
        <v/>
      </c>
      <c r="I157">
        <f>IF(Skills!AA29&lt;&gt;"",1+(Skills!AA29/10)*(U131/1000)/100,1)</f>
        <v/>
      </c>
      <c r="J157" t="inlineStr"/>
      <c r="K157" t="inlineStr"/>
      <c r="L157" t="inlineStr"/>
      <c r="M157" t="inlineStr"/>
      <c r="N157" t="inlineStr"/>
      <c r="O157" t="n">
        <v>0</v>
      </c>
      <c r="P157">
        <f>IF(B172=0,0,O157/B172)</f>
        <v/>
      </c>
      <c r="Q157" t="n">
        <v>0</v>
      </c>
      <c r="R157" t="n">
        <v>0</v>
      </c>
      <c r="S157">
        <f>IFERROR(O157/N157,0)</f>
        <v/>
      </c>
    </row>
    <row r="158">
      <c r="A158">
        <f>Skills!A30</f>
        <v/>
      </c>
      <c r="B158">
        <f>Skills!B30</f>
        <v/>
      </c>
      <c r="C158">
        <f>Inputs!$B$3&gt;=125</f>
        <v/>
      </c>
      <c r="D158">
        <f>IF(Skills!C30=1,60+Inputs!$B$24+Inputs!$B$28,IF(Skills!C30=2,90+Inputs!$B$25+Inputs!$B$28,IF(Skills!C30=3,120+Inputs!$B$26+Inputs!$B$28,MAX(0,(Inputs!$B$3-100)*3)+Inputs!$B$27+Inputs!$B$28)))</f>
        <v/>
      </c>
      <c r="E158">
        <f>INDEX(FactorTable!$B$2:$Y$301, MATCH(ROUND(MIN(300,MAX(1,D158)),0), FactorTable!$A$2:$A$301,0), Skills!M30+1)</f>
        <v/>
      </c>
      <c r="F158">
        <f>IF(Skills!N30=TRUE,(Skills!L30/10)*(E158/1000),Skills!L30/10)+Skills!O30</f>
        <v/>
      </c>
      <c r="G158">
        <f>Calc!G30</f>
        <v/>
      </c>
      <c r="H158">
        <f>Calc!H30</f>
        <v/>
      </c>
      <c r="I158">
        <f>IF(Skills!AA30&lt;&gt;"",1+(Skills!AA30/10)*(U131/1000)/100,1)</f>
        <v/>
      </c>
      <c r="J158" t="inlineStr"/>
      <c r="K158" t="inlineStr"/>
      <c r="L158" t="inlineStr"/>
      <c r="M158" t="inlineStr"/>
      <c r="N158" t="inlineStr"/>
      <c r="O158" t="n">
        <v>0</v>
      </c>
      <c r="P158">
        <f>IF(B172=0,0,O158/B172)</f>
        <v/>
      </c>
      <c r="Q158" t="n">
        <v>0</v>
      </c>
      <c r="R158" t="n">
        <v>0</v>
      </c>
      <c r="S158">
        <f>IFERROR(O158/N158,0)</f>
        <v/>
      </c>
    </row>
    <row r="159">
      <c r="A159">
        <f>Skills!A31</f>
        <v/>
      </c>
      <c r="B159">
        <f>Skills!B31</f>
        <v/>
      </c>
      <c r="C159">
        <f>Inputs!$B$3&gt;=107</f>
        <v/>
      </c>
      <c r="D159">
        <f>IF(Skills!C31=1,60+Inputs!$B$24+Inputs!$B$28,IF(Skills!C31=2,90+Inputs!$B$25+Inputs!$B$28,IF(Skills!C31=3,120+Inputs!$B$26+Inputs!$B$28,MAX(0,(Inputs!$B$3-100)*3)+Inputs!$B$27+Inputs!$B$28)))</f>
        <v/>
      </c>
      <c r="E159">
        <f>INDEX(FactorTable!$B$2:$Y$301, MATCH(ROUND(MIN(300,MAX(1,D159)),0), FactorTable!$A$2:$A$301,0), Skills!M31+1)</f>
        <v/>
      </c>
      <c r="F159">
        <f>IF(Skills!N31=TRUE,(Skills!L31/10)*(E159/1000),Skills!L31/10)+Skills!O31</f>
        <v/>
      </c>
      <c r="G159">
        <f>Calc!G31</f>
        <v/>
      </c>
      <c r="H159">
        <f>Calc!H31</f>
        <v/>
      </c>
      <c r="I159">
        <f>IF(Skills!AA31&lt;&gt;"",1+(Skills!AA31/10)*(U131/1000)/100,1)</f>
        <v/>
      </c>
      <c r="J159" t="inlineStr"/>
      <c r="K159" t="inlineStr"/>
      <c r="L159" t="inlineStr"/>
      <c r="M159" t="inlineStr"/>
      <c r="N159" t="inlineStr"/>
      <c r="O159" t="n">
        <v>0</v>
      </c>
      <c r="P159">
        <f>IF(B172=0,0,O159/B172)</f>
        <v/>
      </c>
      <c r="Q159" t="n">
        <v>0</v>
      </c>
      <c r="R159" t="n">
        <v>0</v>
      </c>
      <c r="S159">
        <f>IFERROR(O159/N159,0)</f>
        <v/>
      </c>
    </row>
    <row r="161">
      <c r="A161" t="inlineStr">
        <is>
          <t>Actions Per Second (pre-Adrenalin)</t>
        </is>
      </c>
      <c r="B161">
        <f>1+MIN(150,150*(1-(1-(Inputs!$B$10+((C150=TRUE)*(F150-Calc!F22)))/150)*(1-((C147=TRUE)*F147*IF(AND(Inputs!$B$4&lt;&gt;"pvp",Inputs!$B$35&gt;0),(((S147-1)*(Skills!Y19*(1+Inputs!$B$33/100))+MIN((Skills!Y19*(1+Inputs!$B$33/100)),MAX(0,Inputs!$B$35-((S147-1)*Skills!D19))))/Inputs!$B$35),IF(Inputs!$B$4="pvp",MIN((Skills!Y19*(1+Inputs!$B$33/100)),15)/15,(Skills!Y19*(1+Inputs!$B$33/100))/Skills!D19)))/150)))/100</f>
        <v/>
      </c>
    </row>
    <row r="162">
      <c r="A162" t="inlineStr">
        <is>
          <t>Alchemic Adrenaline Uptime</t>
        </is>
      </c>
      <c r="B162">
        <f>(Skills!Y6*(1+Inputs!$B$33/100))/((Skills!Y6*(1+Inputs!$B$33/100))+(5/B161))</f>
        <v/>
      </c>
    </row>
    <row r="163">
      <c r="A163" t="inlineStr">
        <is>
          <t>Attack Speed Buff Bonus %</t>
        </is>
      </c>
      <c r="B163">
        <f>((C147=TRUE)*F147*IF(AND(Inputs!$B$4&lt;&gt;"pvp",Inputs!$B$35&gt;0),(((S147-1)*(Skills!Y19*(1+Inputs!$B$33/100))+MIN((Skills!Y19*(1+Inputs!$B$33/100)),MAX(0,Inputs!$B$35-((S147-1)*Skills!D19))))/Inputs!$B$35),IF(Inputs!$B$4="pvp",MIN((Skills!Y19*(1+Inputs!$B$33/100)),15)/15,(Skills!Y19*(1+Inputs!$B$33/100))/Skills!D19)))+((C135=TRUE)*F135*B162)</f>
        <v/>
      </c>
    </row>
    <row r="164">
      <c r="A164" t="inlineStr">
        <is>
          <t>Actions Per Second (final)</t>
        </is>
      </c>
      <c r="B164">
        <f>1+MIN(150,150*(1-(1-(Inputs!$B$10+((C150=TRUE)*(F150-Calc!F22)))/150)*(1-B163/150)))/100</f>
        <v/>
      </c>
    </row>
    <row r="165">
      <c r="A165" t="inlineStr">
        <is>
          <t>Skill + Buff Cast Rate</t>
        </is>
      </c>
      <c r="B165">
        <f>IF(AND(Inputs!$B$4&lt;&gt;"pvp",Inputs!$B$35&gt;0),SUMPRODUCT((Skills!E2:E31=TRUE)*(C130:C159=TRUE)*R130:R159*Skills!F2:F31)/Inputs!$B$35,SUMPRODUCT((Skills!E2:E31=TRUE)*(C130:C159=TRUE)*Q130:Q159*Skills!F2:F31))</f>
        <v/>
      </c>
    </row>
    <row r="166">
      <c r="A166" t="inlineStr">
        <is>
          <t>Showdown Casts Per Second</t>
        </is>
      </c>
      <c r="B166">
        <f>MAX(0,B164-B165)</f>
        <v/>
      </c>
    </row>
    <row r="167">
      <c r="A167" t="inlineStr">
        <is>
          <t>Average Buff Multiplier</t>
        </is>
      </c>
      <c r="B167">
        <f>(1+(((C149=TRUE)*F149*IF(AND(Inputs!$B$4&lt;&gt;"pvp",Inputs!$B$35&gt;0),(((S149-1)*(Skills!Y21*(1+Inputs!$B$33/100))+MIN((Skills!Y21*(1+Inputs!$B$33/100)),MAX(0,Inputs!$B$35-((S149-1)*Skills!D21))))/Inputs!$B$35),IF(Inputs!$B$4="pvp",MIN((Skills!Y21*(1+Inputs!$B$33/100)),15)/15,(Skills!Y21*(1+Inputs!$B$33/100))/Skills!D21)))+((C156=TRUE)*(F156-Calc!F28))+((C146=TRUE)*(F146-Calc!F18)))/100)*(1+((C143=TRUE)*F143*IF(AND(Inputs!$B$4&lt;&gt;"pvp",Inputs!$B$35&gt;0),(((S143-1)*(Skills!Y15*(1+Inputs!$B$33/100))+MIN((Skills!Y15*(1+Inputs!$B$33/100)),MAX(0,Inputs!$B$35-((S143-1)*Skills!D15))))/Inputs!$B$35),IF(Inputs!$B$4="pvp",MIN((Skills!Y15*(1+Inputs!$B$33/100)),15)/15,(Skills!Y15*(1+Inputs!$B$33/100))/Skills!D15)))/100)*(1+((C134=TRUE)*F134*B162)/100)</f>
        <v/>
      </c>
    </row>
    <row r="168">
      <c r="A168" t="inlineStr">
        <is>
          <t>Global Crit Rate Bonus %</t>
        </is>
      </c>
      <c r="B168">
        <f>IF(Inputs!$B$3&gt;=47,8,0)+((C148=TRUE)*F148*IF(AND(Inputs!$B$4&lt;&gt;"pvp",Inputs!$B$35&gt;0),(((S148-1)*(Skills!Y20*(1+Inputs!$B$33/100))+MIN((Skills!Y20*(1+Inputs!$B$33/100)),MAX(0,Inputs!$B$35-((S148-1)*Skills!D20))))/Inputs!$B$35),IF(Inputs!$B$4="pvp",MIN((Skills!Y20*(1+Inputs!$B$33/100)),15)/15,(Skills!Y20*(1+Inputs!$B$33/100))/Skills!D20)))</f>
        <v/>
      </c>
    </row>
    <row r="169">
      <c r="A169" t="inlineStr">
        <is>
          <t>Global Monster Damage-Taken Bonus %</t>
        </is>
      </c>
      <c r="B169">
        <f>IF(Inputs!$B$3&gt;=82,15,0)+((C144=TRUE)*F144*IF(AND(Inputs!$B$4&lt;&gt;"pvp",Inputs!$B$35&gt;0),(((S144-1)*(Skills!Y16*(1+Inputs!$B$33/100))+MIN((Skills!Y16*(1+Inputs!$B$33/100)),MAX(0,Inputs!$B$35-((S144-1)*Skills!D16))))/Inputs!$B$35),IF(Inputs!$B$4="pvp",MIN((Skills!Y16*(1+Inputs!$B$33/100)),15)/15,(Skills!Y16*(1+Inputs!$B$33/100))/Skills!D16)))</f>
        <v/>
      </c>
    </row>
    <row r="170">
      <c r="A170" t="inlineStr">
        <is>
          <t>Shadow Partner Average Multiplier</t>
        </is>
      </c>
      <c r="B170">
        <f>1+((C139=TRUE)*F139*I139*Skills!J11/100)/100</f>
        <v/>
      </c>
    </row>
    <row r="171">
      <c r="A171" t="inlineStr">
        <is>
          <t>Global Critical Damage Bonus % (Frailty Curse Mastery Lv.111)</t>
        </is>
      </c>
      <c r="B171">
        <f>IF(Inputs!$B$3&gt;=111,30,0)*IF(AND(Inputs!$B$4&lt;&gt;"pvp",Inputs!$B$35&gt;0),(((S144-1)*(Skills!Y16*(1+Inputs!$B$33/100))+MIN((Skills!Y16*(1+Inputs!$B$33/100)),MAX(0,Inputs!$B$35-((S144-1)*Skills!D16))))/Inputs!$B$35),IF(Inputs!$B$4="pvp",MIN((Skills!Y16*(1+Inputs!$B$33/100)),15)/15,(Skills!Y16*(1+Inputs!$B$33/100))/Skills!D16))</f>
        <v/>
      </c>
    </row>
    <row r="172">
      <c r="A172" s="5" t="inlineStr">
        <is>
          <t>TOTAL DPS</t>
        </is>
      </c>
      <c r="B172" s="5">
        <f>SUM(O130:O159)</f>
        <v/>
      </c>
    </row>
    <row r="175">
      <c r="A175" s="5" t="inlineStr">
        <is>
          <t>Stat: DAMAGE %</t>
        </is>
      </c>
    </row>
    <row r="176">
      <c r="A176" s="8" t="inlineStr">
        <is>
          <t>Key</t>
        </is>
      </c>
      <c r="B176" s="8" t="inlineStr">
        <is>
          <t>Name</t>
        </is>
      </c>
      <c r="C176" s="8" t="inlineStr">
        <is>
          <t>Unlocked</t>
        </is>
      </c>
      <c r="D176" s="8" t="inlineStr">
        <is>
          <t>InputLevel</t>
        </is>
      </c>
      <c r="E176" s="8" t="inlineStr">
        <is>
          <t>Factor</t>
        </is>
      </c>
      <c r="F176" s="8" t="inlineStr">
        <is>
          <t>CoefficientPercent</t>
        </is>
      </c>
      <c r="G176" s="8" t="inlineStr">
        <is>
          <t>EffectiveHits</t>
        </is>
      </c>
      <c r="H176" s="8" t="inlineStr">
        <is>
          <t>ProcProbability</t>
        </is>
      </c>
      <c r="I176" s="8" t="inlineStr">
        <is>
          <t>MapleHeroMultiplier</t>
        </is>
      </c>
      <c r="J176" s="8" t="inlineStr">
        <is>
          <t>BaseDamage</t>
        </is>
      </c>
      <c r="K176" s="8" t="inlineStr">
        <is>
          <t>BaseHitDamage</t>
        </is>
      </c>
      <c r="L176" s="8" t="inlineStr">
        <is>
          <t>NonCritAvg</t>
        </is>
      </c>
      <c r="M176" s="8" t="inlineStr">
        <is>
          <t>CritAvg</t>
        </is>
      </c>
      <c r="N176" s="8" t="inlineStr">
        <is>
          <t>ExpectedDamage(perHit)</t>
        </is>
      </c>
      <c r="O176" s="8" t="inlineStr">
        <is>
          <t>DPS</t>
        </is>
      </c>
      <c r="P176" s="8" t="inlineStr">
        <is>
          <t>% of Total</t>
        </is>
      </c>
      <c r="Q176" s="8" t="inlineStr">
        <is>
          <t>InvCooldown</t>
        </is>
      </c>
      <c r="R176" s="8" t="inlineStr">
        <is>
          <t>CastsInFight</t>
        </is>
      </c>
      <c r="S176" s="8" t="inlineStr">
        <is>
          <t>HitRate(perSec)</t>
        </is>
      </c>
      <c r="U176" t="inlineStr">
        <is>
          <t>helpers</t>
        </is>
      </c>
    </row>
    <row r="177">
      <c r="A177">
        <f>Skills!A2</f>
        <v/>
      </c>
      <c r="B177">
        <f>Skills!B2</f>
        <v/>
      </c>
      <c r="C177">
        <f>Inputs!$B$3&gt;=100</f>
        <v/>
      </c>
      <c r="D177" t="inlineStr"/>
      <c r="E177" t="inlineStr"/>
      <c r="F177">
        <f>U181+Skills!O2</f>
        <v/>
      </c>
      <c r="G177">
        <f>Calc!G2</f>
        <v/>
      </c>
      <c r="H177">
        <f>Calc!H2</f>
        <v/>
      </c>
      <c r="I177">
        <f>IF(Skills!AA2&lt;&gt;"",1+(Skills!AA2/10)*(U178/1000)/100,1)</f>
        <v/>
      </c>
      <c r="J177">
        <f>(Inputs!$B$5*(1+Inputs!$B$6/100))*(F177/100)</f>
        <v/>
      </c>
      <c r="K177">
        <f>J177*(1+((Inputs!$B$11*(1+Inputs!$B$12/100))*0.01+Inputs!$B$13*0.0025)/100)*(1+(Inputs!$B$14+1)/100)*(1+IF(Inputs!$B$4="pvp",0,(1-Summary!$B$55)*(Inputs!$B$19+((C202=TRUE)*(F202-Calc!F27))+Skills!P2+B216)+Summary!$B$55*(Inputs!$B$20+Skills!Q2+B216))/100)*(1+Inputs!$B$15/100)*(5000/(6000+Inputs!$B$7*(1-Inputs!$B$18/100)))*(1+(Inputs!$B$23+((C205=TRUE)*(F205-Calc!F30)))/100)*(1+Skills!R2/100)*(1+(IF(Skills!A2="SHOWDOWN",Inputs!$B$16+((C198=TRUE)*(F198-Calc!F23)),Inputs!$B$17+((C204=TRUE)*(F204-Calc!F29))))/100)*(((1+(((C196=TRUE)*F196*IF(AND(Inputs!$B$4&lt;&gt;"pvp",Inputs!$B$35&gt;0),(((S196-1)*(Skills!Y21*(1+Inputs!$B$33/100))+MIN((Skills!Y21*(1+Inputs!$B$33/100)),MAX(0,Inputs!$B$35-((S196-1)*Skills!D21))))/Inputs!$B$35),IF(Inputs!$B$4="pvp",MIN((Skills!Y21*(1+Inputs!$B$33/100)),15)/15,(Skills!Y21*(1+Inputs!$B$33/100))/Skills!D21)))+((C203=TRUE)*(F203-Calc!F28))+((C193=TRUE)*(F193-Calc!F18)))/100)*(1+((C190=TRUE)*F190*IF(AND(Inputs!$B$4&lt;&gt;"pvp",Inputs!$B$35&gt;0),(((S190-1)*(Skills!Y15*(1+Inputs!$B$33/100))+MIN((Skills!Y15*(1+Inputs!$B$33/100)),MAX(0,Inputs!$B$35-((S190-1)*Skills!D15))))/Inputs!$B$35),IF(Inputs!$B$4="pvp",MIN((Skills!Y15*(1+Inputs!$B$33/100)),15)/15,(Skills!Y15*(1+Inputs!$B$33/100))/Skills!D15)))/100)*(1+((C181=TRUE)*F181*B209)/100))*B217*I177)</f>
        <v/>
      </c>
      <c r="L177">
        <f>K177*(MIN(Inputs!$B$21+((C199=TRUE)*(F199-Calc!F24)),Inputs!$B$22)/100+Inputs!$B$22/100)/2</f>
        <v/>
      </c>
      <c r="M177">
        <f>L177*(1+(Inputs!$B$9+((C201=TRUE)*(F201-Calc!F26))+B218)/100)</f>
        <v/>
      </c>
      <c r="N177">
        <f>L177*(1-MIN((Inputs!$B$8+((C200=TRUE)*(F200-Calc!F25))+B215),100)/100)+M177*(MIN((Inputs!$B$8+((C200=TRUE)*(F200-Calc!F25))+B215),100)/100)</f>
        <v/>
      </c>
      <c r="O177">
        <f>IF(C177,Skills!G2*N177*B213*IF(Inputs!$B$4="pvp",1,(1-Summary!$B$55)*(1)+Summary!$B$55*(MIN((6+Inputs!$B$32),Inputs!$B$37))),0)</f>
        <v/>
      </c>
      <c r="P177">
        <f>IF(B219=0,0,O177/B219)</f>
        <v/>
      </c>
      <c r="Q177" t="n">
        <v>0</v>
      </c>
      <c r="R177" t="n">
        <v>0</v>
      </c>
      <c r="S177">
        <f>IFERROR(O177/N177,0)</f>
        <v/>
      </c>
      <c r="U177">
        <f>MAX(0,(Inputs!$B$3-100)*3)+Inputs!$B$27+Inputs!$B$28</f>
        <v/>
      </c>
    </row>
    <row r="178">
      <c r="A178">
        <f>Skills!A3</f>
        <v/>
      </c>
      <c r="B178">
        <f>Skills!B3</f>
        <v/>
      </c>
      <c r="C178">
        <f>Inputs!$B$3&gt;=35</f>
        <v/>
      </c>
      <c r="D178">
        <f>IF(Skills!C3=1,60+Inputs!$B$24+Inputs!$B$28,IF(Skills!C3=2,90+Inputs!$B$25+Inputs!$B$28,IF(Skills!C3=3,120+Inputs!$B$26+Inputs!$B$28,MAX(0,(Inputs!$B$3-100)*3)+Inputs!$B$27+Inputs!$B$28)))</f>
        <v/>
      </c>
      <c r="E178">
        <f>INDEX(FactorTable!$B$2:$Y$301, MATCH(ROUND(MIN(300,MAX(1,D178)),0), FactorTable!$A$2:$A$301,0), Skills!M3+1)</f>
        <v/>
      </c>
      <c r="F178">
        <f>IF(Skills!N3=TRUE,(Skills!L3/10)*(E178/1000),Skills!L3/10)+Skills!O3</f>
        <v/>
      </c>
      <c r="G178">
        <f>Calc!G3</f>
        <v/>
      </c>
      <c r="H178">
        <f>Calc!H3</f>
        <v/>
      </c>
      <c r="I178">
        <f>IF(Skills!AA3&lt;&gt;"",1+(Skills!AA3/10)*(U178/1000)/100,1)</f>
        <v/>
      </c>
      <c r="J178">
        <f>(Inputs!$B$5*(1+Inputs!$B$6/100))*(F178/100)</f>
        <v/>
      </c>
      <c r="K178">
        <f>J178*(1+((Inputs!$B$11*(1+Inputs!$B$12/100))*0.01+Inputs!$B$13*0.0025)/100)*(1+(Inputs!$B$14+1)/100)*(1+IF(Inputs!$B$4="pvp",0,(1-Summary!$B$55)*(Inputs!$B$19+((C202=TRUE)*(F202-Calc!F27))+Skills!P3+B216)+Summary!$B$55*(Inputs!$B$20+Skills!Q3+B216))/100)*(1+Inputs!$B$15/100)*(5000/(6000+Inputs!$B$7*(1-Inputs!$B$18/100)))*(1+(Inputs!$B$23+((C205=TRUE)*(F205-Calc!F30)))/100)*(1+Skills!R3/100)*(1+(IF(Skills!A3="SHOWDOWN",Inputs!$B$16+((C198=TRUE)*(F198-Calc!F23)),Inputs!$B$17+((C204=TRUE)*(F204-Calc!F29))))/100)*(((1+(((C196=TRUE)*F196*IF(AND(Inputs!$B$4&lt;&gt;"pvp",Inputs!$B$35&gt;0),(((S196-1)*(Skills!Y21*(1+Inputs!$B$33/100))+MIN((Skills!Y21*(1+Inputs!$B$33/100)),MAX(0,Inputs!$B$35-((S196-1)*Skills!D21))))/Inputs!$B$35),IF(Inputs!$B$4="pvp",MIN((Skills!Y21*(1+Inputs!$B$33/100)),15)/15,(Skills!Y21*(1+Inputs!$B$33/100))/Skills!D21)))+((C203=TRUE)*(F203-Calc!F28))+((C193=TRUE)*(F193-Calc!F18)))/100)*(1+((C190=TRUE)*F190*IF(AND(Inputs!$B$4&lt;&gt;"pvp",Inputs!$B$35&gt;0),(((S190-1)*(Skills!Y15*(1+Inputs!$B$33/100))+MIN((Skills!Y15*(1+Inputs!$B$33/100)),MAX(0,Inputs!$B$35-((S190-1)*Skills!D15))))/Inputs!$B$35),IF(Inputs!$B$4="pvp",MIN((Skills!Y15*(1+Inputs!$B$33/100)),15)/15,(Skills!Y15*(1+Inputs!$B$33/100))/Skills!D15)))/100)*(1+((C181=TRUE)*F181*B209)/100))*B217*I178)</f>
        <v/>
      </c>
      <c r="L178">
        <f>K178*(MIN(Inputs!$B$21+((C199=TRUE)*(F199-Calc!F24)),Inputs!$B$22)/100+Inputs!$B$22/100)/2</f>
        <v/>
      </c>
      <c r="M178">
        <f>L178*(1+(Inputs!$B$9+((C201=TRUE)*(F201-Calc!F26))+B218)/100)</f>
        <v/>
      </c>
      <c r="N178">
        <f>L178*(1-MIN((Inputs!$B$8+((C200=TRUE)*(F200-Calc!F25))+B215),100)/100)+M178*(MIN((Inputs!$B$8+((C200=TRUE)*(F200-Calc!F25))+B215),100)/100)</f>
        <v/>
      </c>
      <c r="O178">
        <f>IF(C178,H178*N178*IF(AND(Inputs!$B$4&lt;&gt;"pvp",Inputs!$B$35&gt;0),((Skills!G3*((R178-1)*IF(Skills!H3&gt;0,Skills!I3/Skills!H3,1)+IF(Skills!H3&gt;0,MIN(Skills!I3,MAX(0,Inputs!$B$35-((R178-1)*IF(Inputs!$B$4="pvp",15,MAX(0.1,Skills!D3-IF(Skills!E3=TRUE,Inputs!$B$31,0))))))/Skills!H3,1)))/Inputs!$B$35),G178*Q178)*IF(Inputs!$B$4="pvp",1,(1-Summary!$B$55)*(1)+Summary!$B$55*(MIN(Skills!W3,Inputs!$B$37))),0)</f>
        <v/>
      </c>
      <c r="P178">
        <f>IF(B219=0,0,O178/B219)</f>
        <v/>
      </c>
      <c r="Q178">
        <f>IFERROR(1/IF(Inputs!$B$4="pvp",15,MAX(0.1,Skills!D3-IF(Skills!E3=TRUE,Inputs!$B$31,0))),0)</f>
        <v/>
      </c>
      <c r="R178">
        <f>IF(AND(Inputs!$B$4&lt;&gt;"pvp",Inputs!$B$35&gt;0),(INT(Inputs!$B$35/IF(Inputs!$B$4="pvp",15,MAX(0.1,Skills!D3-IF(Skills!E3=TRUE,Inputs!$B$31,0))))+1),0)</f>
        <v/>
      </c>
      <c r="S178">
        <f>IFERROR(O178/N178,0)</f>
        <v/>
      </c>
      <c r="U178">
        <f>INDEX(FactorTable!$B$2:$Y$301, MATCH(ROUND(MIN(300,MAX(1,U177)),0), FactorTable!$A$2:$A$301,0), 24)</f>
        <v/>
      </c>
    </row>
    <row r="179">
      <c r="A179">
        <f>Skills!A4</f>
        <v/>
      </c>
      <c r="B179">
        <f>Skills!B4</f>
        <v/>
      </c>
      <c r="C179">
        <f>Inputs!$B$3&gt;=40</f>
        <v/>
      </c>
      <c r="D179">
        <f>IF(Skills!C4=1,60+Inputs!$B$24+Inputs!$B$28,IF(Skills!C4=2,90+Inputs!$B$25+Inputs!$B$28,IF(Skills!C4=3,120+Inputs!$B$26+Inputs!$B$28,MAX(0,(Inputs!$B$3-100)*3)+Inputs!$B$27+Inputs!$B$28)))</f>
        <v/>
      </c>
      <c r="E179">
        <f>INDEX(FactorTable!$B$2:$Y$301, MATCH(ROUND(MIN(300,MAX(1,D179)),0), FactorTable!$A$2:$A$301,0), Skills!M4+1)</f>
        <v/>
      </c>
      <c r="F179">
        <f>IF(Skills!N4=TRUE,(Skills!L4/10)*(E179/1000),Skills!L4/10)+Skills!O4</f>
        <v/>
      </c>
      <c r="G179">
        <f>Calc!G4</f>
        <v/>
      </c>
      <c r="H179">
        <f>Calc!H4</f>
        <v/>
      </c>
      <c r="I179">
        <f>IF(Skills!AA4&lt;&gt;"",1+(Skills!AA4/10)*(U178/1000)/100,1)</f>
        <v/>
      </c>
      <c r="J179">
        <f>(Inputs!$B$5*(1+Inputs!$B$6/100))*(F179/100)</f>
        <v/>
      </c>
      <c r="K179">
        <f>J179*(1+((Inputs!$B$11*(1+Inputs!$B$12/100))*0.01+Inputs!$B$13*0.0025)/100)*(1+(Inputs!$B$14+1)/100)*(1+IF(Inputs!$B$4="pvp",0,(1-Summary!$B$55)*(Inputs!$B$19+((C202=TRUE)*(F202-Calc!F27))+Skills!P4+B216)+Summary!$B$55*(Inputs!$B$20+Skills!Q4+B216))/100)*(1+Inputs!$B$15/100)*(5000/(6000+Inputs!$B$7*(1-Inputs!$B$18/100)))*(1+(Inputs!$B$23+((C205=TRUE)*(F205-Calc!F30)))/100)*(1+Skills!R4/100)*(1+(IF(Skills!A4="SHOWDOWN",Inputs!$B$16+((C198=TRUE)*(F198-Calc!F23)),Inputs!$B$17+((C204=TRUE)*(F204-Calc!F29))))/100)*(((1+(((C196=TRUE)*F196*IF(AND(Inputs!$B$4&lt;&gt;"pvp",Inputs!$B$35&gt;0),(((S196-1)*(Skills!Y21*(1+Inputs!$B$33/100))+MIN((Skills!Y21*(1+Inputs!$B$33/100)),MAX(0,Inputs!$B$35-((S196-1)*Skills!D21))))/Inputs!$B$35),IF(Inputs!$B$4="pvp",MIN((Skills!Y21*(1+Inputs!$B$33/100)),15)/15,(Skills!Y21*(1+Inputs!$B$33/100))/Skills!D21)))+((C203=TRUE)*(F203-Calc!F28))+((C193=TRUE)*(F193-Calc!F18)))/100)*(1+((C190=TRUE)*F190*IF(AND(Inputs!$B$4&lt;&gt;"pvp",Inputs!$B$35&gt;0),(((S190-1)*(Skills!Y15*(1+Inputs!$B$33/100))+MIN((Skills!Y15*(1+Inputs!$B$33/100)),MAX(0,Inputs!$B$35-((S190-1)*Skills!D15))))/Inputs!$B$35),IF(Inputs!$B$4="pvp",MIN((Skills!Y15*(1+Inputs!$B$33/100)),15)/15,(Skills!Y15*(1+Inputs!$B$33/100))/Skills!D15)))/100)*(1+((C181=TRUE)*F181*B209)/100))*B217*I179)</f>
        <v/>
      </c>
      <c r="L179">
        <f>K179*(MIN(Inputs!$B$21+((C199=TRUE)*(F199-Calc!F24)),Inputs!$B$22)/100+Inputs!$B$22/100)/2</f>
        <v/>
      </c>
      <c r="M179">
        <f>L179*(1+(Inputs!$B$9+((C201=TRUE)*(F201-Calc!F26))+B218)/100)</f>
        <v/>
      </c>
      <c r="N179">
        <f>L179*(1-MIN((Inputs!$B$8+((C200=TRUE)*(F200-Calc!F25))+B215),100)/100)+M179*(MIN((Inputs!$B$8+((C200=TRUE)*(F200-Calc!F25))+B215),100)/100)</f>
        <v/>
      </c>
      <c r="O179">
        <f>IF(C179,H179*N179*IF(AND(Inputs!$B$4&lt;&gt;"pvp",Inputs!$B$35&gt;0),((Skills!G4*((R179-1)*IF(Skills!H4&gt;0,Skills!I4/Skills!H4,1)+IF(Skills!H4&gt;0,MIN(Skills!I4,MAX(0,Inputs!$B$35-((R179-1)*IF(Inputs!$B$4="pvp",15,MAX(0.1,Skills!D4-IF(Skills!E4=TRUE,Inputs!$B$31,0))))))/Skills!H4,1)))/Inputs!$B$35),G179*Q179)*IF(Inputs!$B$4="pvp",1,(1-Summary!$B$55)*(1)+Summary!$B$55*(MIN(Skills!W4,Inputs!$B$37))),0)</f>
        <v/>
      </c>
      <c r="P179">
        <f>IF(B219=0,0,O179/B219)</f>
        <v/>
      </c>
      <c r="Q179">
        <f>IFERROR(1/IF(Inputs!$B$4="pvp",15,MAX(0.1,Skills!D4-IF(Skills!E4=TRUE,Inputs!$B$31,0))),0)</f>
        <v/>
      </c>
      <c r="R179">
        <f>IF(AND(Inputs!$B$4&lt;&gt;"pvp",Inputs!$B$35&gt;0),(INT(Inputs!$B$35/IF(Inputs!$B$4="pvp",15,MAX(0.1,Skills!D4-IF(Skills!E4=TRUE,Inputs!$B$31,0))))+1),0)</f>
        <v/>
      </c>
      <c r="S179">
        <f>IFERROR(O179/N179,0)</f>
        <v/>
      </c>
      <c r="U179">
        <f>MAX(0,(Inputs!$B$3-100)*3)+Inputs!$B$27+Inputs!$B$28</f>
        <v/>
      </c>
    </row>
    <row r="180">
      <c r="A180">
        <f>Skills!A5</f>
        <v/>
      </c>
      <c r="B180">
        <f>Skills!B5</f>
        <v/>
      </c>
      <c r="C180">
        <f>Inputs!$B$3&gt;=63</f>
        <v/>
      </c>
      <c r="D180">
        <f>IF(Skills!C5=1,60+Inputs!$B$24+Inputs!$B$28,IF(Skills!C5=2,90+Inputs!$B$25+Inputs!$B$28,IF(Skills!C5=3,120+Inputs!$B$26+Inputs!$B$28,MAX(0,(Inputs!$B$3-100)*3)+Inputs!$B$27+Inputs!$B$28)))</f>
        <v/>
      </c>
      <c r="E180">
        <f>INDEX(FactorTable!$B$2:$Y$301, MATCH(ROUND(MIN(300,MAX(1,D180)),0), FactorTable!$A$2:$A$301,0), Skills!M5+1)</f>
        <v/>
      </c>
      <c r="F180">
        <f>IF(Skills!N5=TRUE,(Skills!L5/10)*(E180/1000),Skills!L5/10)+Skills!O5</f>
        <v/>
      </c>
      <c r="G180">
        <f>Calc!G5</f>
        <v/>
      </c>
      <c r="H180">
        <f>Calc!H5</f>
        <v/>
      </c>
      <c r="I180">
        <f>IF(Skills!AA5&lt;&gt;"",1+(Skills!AA5/10)*(U178/1000)/100,1)</f>
        <v/>
      </c>
      <c r="J180">
        <f>(Inputs!$B$5*(1+Inputs!$B$6/100))*(F180/100)</f>
        <v/>
      </c>
      <c r="K180">
        <f>J180*(1+((Inputs!$B$11*(1+Inputs!$B$12/100))*0.01+Inputs!$B$13*0.0025)/100)*(1+(Inputs!$B$14+1)/100)*(1+IF(Inputs!$B$4="pvp",0,(1-Summary!$B$55)*(Inputs!$B$19+((C202=TRUE)*(F202-Calc!F27))+Skills!P5+B216)+Summary!$B$55*(Inputs!$B$20+Skills!Q5+B216))/100)*(1+Inputs!$B$15/100)*(5000/(6000+Inputs!$B$7*(1-Inputs!$B$18/100)))*(1+(Inputs!$B$23+((C205=TRUE)*(F205-Calc!F30)))/100)*(1+Skills!R5/100)*(1+(IF(Skills!A5="SHOWDOWN",Inputs!$B$16+((C198=TRUE)*(F198-Calc!F23)),Inputs!$B$17+((C204=TRUE)*(F204-Calc!F29))))/100)*(((1+(((C196=TRUE)*F196*IF(AND(Inputs!$B$4&lt;&gt;"pvp",Inputs!$B$35&gt;0),(((S196-1)*(Skills!Y21*(1+Inputs!$B$33/100))+MIN((Skills!Y21*(1+Inputs!$B$33/100)),MAX(0,Inputs!$B$35-((S196-1)*Skills!D21))))/Inputs!$B$35),IF(Inputs!$B$4="pvp",MIN((Skills!Y21*(1+Inputs!$B$33/100)),15)/15,(Skills!Y21*(1+Inputs!$B$33/100))/Skills!D21)))+((C203=TRUE)*(F203-Calc!F28))+((C193=TRUE)*(F193-Calc!F18)))/100)*(1+((C190=TRUE)*F190*IF(AND(Inputs!$B$4&lt;&gt;"pvp",Inputs!$B$35&gt;0),(((S190-1)*(Skills!Y15*(1+Inputs!$B$33/100))+MIN((Skills!Y15*(1+Inputs!$B$33/100)),MAX(0,Inputs!$B$35-((S190-1)*Skills!D15))))/Inputs!$B$35),IF(Inputs!$B$4="pvp",MIN((Skills!Y15*(1+Inputs!$B$33/100)),15)/15,(Skills!Y15*(1+Inputs!$B$33/100))/Skills!D15)))/100)*(1+((C181=TRUE)*F181*B209)/100))*B217*I180)</f>
        <v/>
      </c>
      <c r="L180">
        <f>K180*(MIN(Inputs!$B$21+((C199=TRUE)*(F199-Calc!F24)),Inputs!$B$22)/100+Inputs!$B$22/100)/2</f>
        <v/>
      </c>
      <c r="M180">
        <f>L180*(1+(Inputs!$B$9+((C201=TRUE)*(F201-Calc!F26))+B218)/100)</f>
        <v/>
      </c>
      <c r="N180">
        <f>L180*(1-MIN((Inputs!$B$8+((C200=TRUE)*(F200-Calc!F25))+B215),100)/100)+M180*(MIN((Inputs!$B$8+((C200=TRUE)*(F200-Calc!F25))+B215),100)/100)</f>
        <v/>
      </c>
      <c r="O180">
        <f>IF(C180,H180*N180*IF(AND(Inputs!$B$4&lt;&gt;"pvp",Inputs!$B$35&gt;0),((Skills!G5*((R180-1)*IF(Skills!H5&gt;0,Skills!I5/Skills!H5,1)+IF(Skills!H5&gt;0,MIN(Skills!I5,MAX(0,Inputs!$B$35-((R180-1)*IF(Inputs!$B$4="pvp",15,MAX(0.1,Skills!D5-IF(Skills!E5=TRUE,Inputs!$B$31,0))))))/Skills!H5,1)))/Inputs!$B$35),G180*Q180)*IF(Inputs!$B$4="pvp",1,(1-Summary!$B$55)*(1)+Summary!$B$55*(MIN(Skills!W5,Inputs!$B$37))),0)</f>
        <v/>
      </c>
      <c r="P180">
        <f>IF(B219=0,0,O180/B219)</f>
        <v/>
      </c>
      <c r="Q180">
        <f>IFERROR(1/IF(Inputs!$B$4="pvp",15,MAX(0.1,Skills!D5-IF(Skills!E5=TRUE,Inputs!$B$31,0))),0)</f>
        <v/>
      </c>
      <c r="R180">
        <f>IF(AND(Inputs!$B$4&lt;&gt;"pvp",Inputs!$B$35&gt;0),(INT(Inputs!$B$35/IF(Inputs!$B$4="pvp",15,MAX(0.1,Skills!D5-IF(Skills!E5=TRUE,Inputs!$B$31,0))))+1),0)</f>
        <v/>
      </c>
      <c r="S180">
        <f>IFERROR(O180/N180,0)</f>
        <v/>
      </c>
      <c r="U180">
        <f>INDEX(FactorTable!$B$2:$Y$301, MATCH(ROUND(MIN(300,MAX(1,U179)),0), FactorTable!$A$2:$A$301,0), 22)</f>
        <v/>
      </c>
    </row>
    <row r="181">
      <c r="A181">
        <f>Skills!A6</f>
        <v/>
      </c>
      <c r="B181">
        <f>Skills!B6</f>
        <v/>
      </c>
      <c r="C181">
        <f>Inputs!$B$3&gt;=66</f>
        <v/>
      </c>
      <c r="D181">
        <f>IF(Skills!C6=1,60+Inputs!$B$24+Inputs!$B$28,IF(Skills!C6=2,90+Inputs!$B$25+Inputs!$B$28,IF(Skills!C6=3,120+Inputs!$B$26+Inputs!$B$28,MAX(0,(Inputs!$B$3-100)*3)+Inputs!$B$27+Inputs!$B$28)))</f>
        <v/>
      </c>
      <c r="E181">
        <f>INDEX(FactorTable!$B$2:$Y$301, MATCH(ROUND(MIN(300,MAX(1,D181)),0), FactorTable!$A$2:$A$301,0), Skills!M6+1)</f>
        <v/>
      </c>
      <c r="F181">
        <f>IF(Skills!N6=TRUE,(Skills!L6/10)*(E181/1000),Skills!L6/10)+Skills!O6</f>
        <v/>
      </c>
      <c r="G181">
        <f>Calc!G6</f>
        <v/>
      </c>
      <c r="H181">
        <f>Calc!H6</f>
        <v/>
      </c>
      <c r="I181">
        <f>IF(Skills!AA6&lt;&gt;"",1+(Skills!AA6/10)*(U178/1000)/100,1)</f>
        <v/>
      </c>
      <c r="J181" t="inlineStr"/>
      <c r="K181" t="inlineStr"/>
      <c r="L181" t="inlineStr"/>
      <c r="M181" t="inlineStr"/>
      <c r="N181" t="inlineStr"/>
      <c r="O181" t="n">
        <v>0</v>
      </c>
      <c r="P181">
        <f>IF(B219=0,0,O181/B219)</f>
        <v/>
      </c>
      <c r="Q181" t="n">
        <v>0</v>
      </c>
      <c r="R181" t="n">
        <v>0</v>
      </c>
      <c r="S181">
        <f>IFERROR(O181/N181,0)</f>
        <v/>
      </c>
      <c r="U181">
        <f>290*U180/1000</f>
        <v/>
      </c>
    </row>
    <row r="182">
      <c r="A182">
        <f>Skills!A7</f>
        <v/>
      </c>
      <c r="B182">
        <f>Skills!B7</f>
        <v/>
      </c>
      <c r="C182">
        <f>Inputs!$B$3&gt;=66</f>
        <v/>
      </c>
      <c r="D182">
        <f>IF(Skills!C7=1,60+Inputs!$B$24+Inputs!$B$28,IF(Skills!C7=2,90+Inputs!$B$25+Inputs!$B$28,IF(Skills!C7=3,120+Inputs!$B$26+Inputs!$B$28,MAX(0,(Inputs!$B$3-100)*3)+Inputs!$B$27+Inputs!$B$28)))</f>
        <v/>
      </c>
      <c r="E182">
        <f>INDEX(FactorTable!$B$2:$Y$301, MATCH(ROUND(MIN(300,MAX(1,D182)),0), FactorTable!$A$2:$A$301,0), Skills!M7+1)</f>
        <v/>
      </c>
      <c r="F182">
        <f>IF(Skills!N7=TRUE,(Skills!L7/10)*(E182/1000),Skills!L7/10)+Skills!O7</f>
        <v/>
      </c>
      <c r="G182">
        <f>Calc!G7</f>
        <v/>
      </c>
      <c r="H182">
        <f>Calc!H7</f>
        <v/>
      </c>
      <c r="I182">
        <f>IF(Skills!AA7&lt;&gt;"",1+(Skills!AA7/10)*(U178/1000)/100,1)</f>
        <v/>
      </c>
      <c r="J182" t="inlineStr"/>
      <c r="K182" t="inlineStr"/>
      <c r="L182" t="inlineStr"/>
      <c r="M182" t="inlineStr"/>
      <c r="N182" t="inlineStr"/>
      <c r="O182" t="n">
        <v>0</v>
      </c>
      <c r="P182">
        <f>IF(B219=0,0,O182/B219)</f>
        <v/>
      </c>
      <c r="Q182" t="n">
        <v>0</v>
      </c>
      <c r="R182" t="n">
        <v>0</v>
      </c>
      <c r="S182">
        <f>IFERROR(O182/N182,0)</f>
        <v/>
      </c>
    </row>
    <row r="183">
      <c r="A183">
        <f>Skills!A8</f>
        <v/>
      </c>
      <c r="B183">
        <f>Skills!B8</f>
        <v/>
      </c>
      <c r="C183">
        <f>Inputs!$B$3&gt;=69</f>
        <v/>
      </c>
      <c r="D183">
        <f>IF(Skills!C8=1,60+Inputs!$B$24+Inputs!$B$28,IF(Skills!C8=2,90+Inputs!$B$25+Inputs!$B$28,IF(Skills!C8=3,120+Inputs!$B$26+Inputs!$B$28,MAX(0,(Inputs!$B$3-100)*3)+Inputs!$B$27+Inputs!$B$28)))</f>
        <v/>
      </c>
      <c r="E183">
        <f>INDEX(FactorTable!$B$2:$Y$301, MATCH(ROUND(MIN(300,MAX(1,D183)),0), FactorTable!$A$2:$A$301,0), Skills!M8+1)</f>
        <v/>
      </c>
      <c r="F183">
        <f>IF(Skills!N8=TRUE,(Skills!L8/10)*(E183/1000),Skills!L8/10)+Skills!O8</f>
        <v/>
      </c>
      <c r="G183">
        <f>Calc!G8</f>
        <v/>
      </c>
      <c r="H183">
        <f>Calc!H8</f>
        <v/>
      </c>
      <c r="I183">
        <f>IF(Skills!AA8&lt;&gt;"",1+(Skills!AA8/10)*(U178/1000)/100,1)</f>
        <v/>
      </c>
      <c r="J183">
        <f>(Inputs!$B$5*(1+Inputs!$B$6/100))*(F183/100)</f>
        <v/>
      </c>
      <c r="K183">
        <f>J183*(1+((Inputs!$B$11*(1+Inputs!$B$12/100))*0.01+Inputs!$B$13*0.0025)/100)*(1+(Inputs!$B$14+1)/100)*(1+IF(Inputs!$B$4="pvp",0,(1-Summary!$B$55)*(Inputs!$B$19+((C202=TRUE)*(F202-Calc!F27))+Skills!P8+B216)+Summary!$B$55*(Inputs!$B$20+Skills!Q8+B216))/100)*(1+Inputs!$B$15/100)*(5000/(6000+Inputs!$B$7*(1-Inputs!$B$18/100)))*(1+(Inputs!$B$23+((C205=TRUE)*(F205-Calc!F30)))/100)*(1+Skills!R8/100)*(1+(IF(Skills!A8="SHOWDOWN",Inputs!$B$16+((C198=TRUE)*(F198-Calc!F23)),Inputs!$B$17+((C204=TRUE)*(F204-Calc!F29))))/100)*(((1+(((C196=TRUE)*F196*IF(AND(Inputs!$B$4&lt;&gt;"pvp",Inputs!$B$35&gt;0),(((S196-1)*(Skills!Y21*(1+Inputs!$B$33/100))+MIN((Skills!Y21*(1+Inputs!$B$33/100)),MAX(0,Inputs!$B$35-((S196-1)*Skills!D21))))/Inputs!$B$35),IF(Inputs!$B$4="pvp",MIN((Skills!Y21*(1+Inputs!$B$33/100)),15)/15,(Skills!Y21*(1+Inputs!$B$33/100))/Skills!D21)))+((C203=TRUE)*(F203-Calc!F28))+((C193=TRUE)*(F193-Calc!F18)))/100)*(1+((C190=TRUE)*F190*IF(AND(Inputs!$B$4&lt;&gt;"pvp",Inputs!$B$35&gt;0),(((S190-1)*(Skills!Y15*(1+Inputs!$B$33/100))+MIN((Skills!Y15*(1+Inputs!$B$33/100)),MAX(0,Inputs!$B$35-((S190-1)*Skills!D15))))/Inputs!$B$35),IF(Inputs!$B$4="pvp",MIN((Skills!Y15*(1+Inputs!$B$33/100)),15)/15,(Skills!Y15*(1+Inputs!$B$33/100))/Skills!D15)))/100)*(1+((C181=TRUE)*F181*B209)/100))*B217*I183)</f>
        <v/>
      </c>
      <c r="L183">
        <f>K183*(MIN(Inputs!$B$21+((C199=TRUE)*(F199-Calc!F24)),Inputs!$B$22)/100+Inputs!$B$22/100)/2</f>
        <v/>
      </c>
      <c r="M183">
        <f>L183*(1+(Inputs!$B$9+((C201=TRUE)*(F201-Calc!F26))+B218)/100)</f>
        <v/>
      </c>
      <c r="N183">
        <f>L183*(1-MIN((Inputs!$B$8+((C200=TRUE)*(F200-Calc!F25))+B215),100)/100)+M183*(MIN((Inputs!$B$8+((C200=TRUE)*(F200-Calc!F25))+B215),100)/100)</f>
        <v/>
      </c>
      <c r="O183">
        <f>IF(C183,H183*N183*IF(AND(Inputs!$B$4&lt;&gt;"pvp",Inputs!$B$35&gt;0),((Skills!G8*((R183-1)*IF(Skills!H8&gt;0,Skills!I8/Skills!H8,1)+IF(Skills!H8&gt;0,MIN(Skills!I8,MAX(0,Inputs!$B$35-((R183-1)*IF(Inputs!$B$4="pvp",15,MAX(0.1,Skills!D8-IF(Skills!E8=TRUE,Inputs!$B$31,0))))))/Skills!H8,1)))/Inputs!$B$35),G183*Q183)*IF(Inputs!$B$4="pvp",1,(1-Summary!$B$55)*(1)+Summary!$B$55*(MIN(Skills!W8,Inputs!$B$37))),0)</f>
        <v/>
      </c>
      <c r="P183">
        <f>IF(B219=0,0,O183/B219)</f>
        <v/>
      </c>
      <c r="Q183">
        <f>IFERROR(1/IF(Inputs!$B$4="pvp",15,MAX(0.1,Skills!D8-IF(Skills!E8=TRUE,Inputs!$B$31,0))),0)</f>
        <v/>
      </c>
      <c r="R183">
        <f>IF(AND(Inputs!$B$4&lt;&gt;"pvp",Inputs!$B$35&gt;0),(INT(Inputs!$B$35/IF(Inputs!$B$4="pvp",15,MAX(0.1,Skills!D8-IF(Skills!E8=TRUE,Inputs!$B$31,0))))+1),0)</f>
        <v/>
      </c>
      <c r="S183">
        <f>IFERROR(O183/N183,0)</f>
        <v/>
      </c>
    </row>
    <row r="184">
      <c r="A184">
        <f>Skills!A9</f>
        <v/>
      </c>
      <c r="B184">
        <f>Skills!B9</f>
        <v/>
      </c>
      <c r="C184">
        <f>Inputs!$B$3&gt;=72</f>
        <v/>
      </c>
      <c r="D184">
        <f>IF(Skills!C9=1,60+Inputs!$B$24+Inputs!$B$28,IF(Skills!C9=2,90+Inputs!$B$25+Inputs!$B$28,IF(Skills!C9=3,120+Inputs!$B$26+Inputs!$B$28,MAX(0,(Inputs!$B$3-100)*3)+Inputs!$B$27+Inputs!$B$28)))</f>
        <v/>
      </c>
      <c r="E184">
        <f>INDEX(FactorTable!$B$2:$Y$301, MATCH(ROUND(MIN(300,MAX(1,D184)),0), FactorTable!$A$2:$A$301,0), Skills!M9+1)</f>
        <v/>
      </c>
      <c r="F184">
        <f>IF(Skills!N9=TRUE,(Skills!L9/10)*(E184/1000),Skills!L9/10)+Skills!O9</f>
        <v/>
      </c>
      <c r="G184">
        <f>Calc!G9</f>
        <v/>
      </c>
      <c r="H184">
        <f>Calc!H9</f>
        <v/>
      </c>
      <c r="I184">
        <f>IF(Skills!AA9&lt;&gt;"",1+(Skills!AA9/10)*(U178/1000)/100,1)</f>
        <v/>
      </c>
      <c r="J184">
        <f>(Inputs!$B$5*(1+Inputs!$B$6/100))*(F184/100)</f>
        <v/>
      </c>
      <c r="K184">
        <f>J184*(1+((Inputs!$B$11*(1+Inputs!$B$12/100))*0.01+Inputs!$B$13*0.0025)/100)*(1+(Inputs!$B$14+1)/100)*(1+IF(Inputs!$B$4="pvp",0,(1-Summary!$B$55)*(Inputs!$B$19+((C202=TRUE)*(F202-Calc!F27))+Skills!P9+B216)+Summary!$B$55*(Inputs!$B$20+Skills!Q9+B216))/100)*(1+Inputs!$B$15/100)*(5000/(6000+Inputs!$B$7*(1-Inputs!$B$18/100)))*(1+(Inputs!$B$23+((C205=TRUE)*(F205-Calc!F30)))/100)*(1+Skills!R9/100)*(1+(IF(Skills!A9="SHOWDOWN",Inputs!$B$16+((C198=TRUE)*(F198-Calc!F23)),Inputs!$B$17+((C204=TRUE)*(F204-Calc!F29))))/100)*(((1+(((C196=TRUE)*F196*IF(AND(Inputs!$B$4&lt;&gt;"pvp",Inputs!$B$35&gt;0),(((S196-1)*(Skills!Y21*(1+Inputs!$B$33/100))+MIN((Skills!Y21*(1+Inputs!$B$33/100)),MAX(0,Inputs!$B$35-((S196-1)*Skills!D21))))/Inputs!$B$35),IF(Inputs!$B$4="pvp",MIN((Skills!Y21*(1+Inputs!$B$33/100)),15)/15,(Skills!Y21*(1+Inputs!$B$33/100))/Skills!D21)))+((C203=TRUE)*(F203-Calc!F28))+((C193=TRUE)*(F193-Calc!F18)))/100)*(1+((C190=TRUE)*F190*IF(AND(Inputs!$B$4&lt;&gt;"pvp",Inputs!$B$35&gt;0),(((S190-1)*(Skills!Y15*(1+Inputs!$B$33/100))+MIN((Skills!Y15*(1+Inputs!$B$33/100)),MAX(0,Inputs!$B$35-((S190-1)*Skills!D15))))/Inputs!$B$35),IF(Inputs!$B$4="pvp",MIN((Skills!Y15*(1+Inputs!$B$33/100)),15)/15,(Skills!Y15*(1+Inputs!$B$33/100))/Skills!D15)))/100)*(1+((C181=TRUE)*F181*B209)/100))*B217*I184)</f>
        <v/>
      </c>
      <c r="L184">
        <f>K184*(MIN(Inputs!$B$21+((C199=TRUE)*(F199-Calc!F24)),Inputs!$B$22)/100+Inputs!$B$22/100)/2</f>
        <v/>
      </c>
      <c r="M184">
        <f>L184*(1+(Inputs!$B$9+((C201=TRUE)*(F201-Calc!F26))+B218)/100)</f>
        <v/>
      </c>
      <c r="N184">
        <f>L184*(1-MIN((Inputs!$B$8+((C200=TRUE)*(F200-Calc!F25))+B215),100)/100)+M184*(MIN((Inputs!$B$8+((C200=TRUE)*(F200-Calc!F25))+B215),100)/100)</f>
        <v/>
      </c>
      <c r="O184">
        <f>IF(C184,H184*N184*IF(AND(Inputs!$B$4&lt;&gt;"pvp",Inputs!$B$35&gt;0),((Skills!G9*((R184-1)*IF(Skills!H9&gt;0,Skills!I9/Skills!H9,1)+IF(Skills!H9&gt;0,MIN(Skills!I9,MAX(0,Inputs!$B$35-((R184-1)*IF(Inputs!$B$4="pvp",15,MAX(0.1,Skills!D9-IF(Skills!E9=TRUE,Inputs!$B$31,0))))))/Skills!H9,1)))/Inputs!$B$35),G184*Q184)*IF(Inputs!$B$4="pvp",1,(1-Summary!$B$55)*(1)+Summary!$B$55*(MIN(Skills!W9,Inputs!$B$37))),0)</f>
        <v/>
      </c>
      <c r="P184">
        <f>IF(B219=0,0,O184/B219)</f>
        <v/>
      </c>
      <c r="Q184">
        <f>IFERROR(1/IF(Inputs!$B$4="pvp",15,MAX(0.1,Skills!D9-IF(Skills!E9=TRUE,Inputs!$B$31,0))),0)</f>
        <v/>
      </c>
      <c r="R184">
        <f>IF(AND(Inputs!$B$4&lt;&gt;"pvp",Inputs!$B$35&gt;0),(INT(Inputs!$B$35/IF(Inputs!$B$4="pvp",15,MAX(0.1,Skills!D9-IF(Skills!E9=TRUE,Inputs!$B$31,0))))+1),0)</f>
        <v/>
      </c>
      <c r="S184">
        <f>IFERROR(O184/N184,0)</f>
        <v/>
      </c>
    </row>
    <row r="185">
      <c r="A185">
        <f>Skills!A10</f>
        <v/>
      </c>
      <c r="B185">
        <f>Skills!B10</f>
        <v/>
      </c>
      <c r="C185">
        <f>Inputs!$B$3&gt;=117</f>
        <v/>
      </c>
      <c r="D185">
        <f>IF(Skills!C10=1,60+Inputs!$B$24+Inputs!$B$28,IF(Skills!C10=2,90+Inputs!$B$25+Inputs!$B$28,IF(Skills!C10=3,120+Inputs!$B$26+Inputs!$B$28,MAX(0,(Inputs!$B$3-100)*3)+Inputs!$B$27+Inputs!$B$28)))</f>
        <v/>
      </c>
      <c r="E185">
        <f>INDEX(FactorTable!$B$2:$Y$301, MATCH(ROUND(MIN(300,MAX(1,D185)),0), FactorTable!$A$2:$A$301,0), Skills!M10+1)</f>
        <v/>
      </c>
      <c r="F185">
        <f>IF(Skills!N10=TRUE,(Skills!L10/10)*(E185/1000),Skills!L10/10)+Skills!O10</f>
        <v/>
      </c>
      <c r="G185">
        <f>Calc!G10</f>
        <v/>
      </c>
      <c r="H185">
        <f>Calc!H10</f>
        <v/>
      </c>
      <c r="I185">
        <f>IF(Skills!AA10&lt;&gt;"",1+(Skills!AA10/10)*(U178/1000)/100,1)</f>
        <v/>
      </c>
      <c r="J185">
        <f>(Inputs!$B$5*(1+Inputs!$B$6/100))*(F185/100)</f>
        <v/>
      </c>
      <c r="K185">
        <f>J185*(1+((Inputs!$B$11*(1+Inputs!$B$12/100))*0.01+Inputs!$B$13*0.0025)/100)*(1+(Inputs!$B$14+1)/100)*(1+IF(Inputs!$B$4="pvp",0,(1-Summary!$B$55)*(Inputs!$B$19+((C202=TRUE)*(F202-Calc!F27))+Skills!P10+B216)+Summary!$B$55*(Inputs!$B$20+Skills!Q10+B216))/100)*(1+Inputs!$B$15/100)*(5000/(6000+Inputs!$B$7*(1-Inputs!$B$18/100)))*(1+(Inputs!$B$23+((C205=TRUE)*(F205-Calc!F30)))/100)*(1+Skills!R10/100)*(1+(IF(Skills!A10="SHOWDOWN",Inputs!$B$16+((C198=TRUE)*(F198-Calc!F23)),Inputs!$B$17+((C204=TRUE)*(F204-Calc!F29))))/100)*(((1+(((C196=TRUE)*F196*IF(AND(Inputs!$B$4&lt;&gt;"pvp",Inputs!$B$35&gt;0),(((S196-1)*(Skills!Y21*(1+Inputs!$B$33/100))+MIN((Skills!Y21*(1+Inputs!$B$33/100)),MAX(0,Inputs!$B$35-((S196-1)*Skills!D21))))/Inputs!$B$35),IF(Inputs!$B$4="pvp",MIN((Skills!Y21*(1+Inputs!$B$33/100)),15)/15,(Skills!Y21*(1+Inputs!$B$33/100))/Skills!D21)))+((C203=TRUE)*(F203-Calc!F28))+((C193=TRUE)*(F193-Calc!F18)))/100)*(1+((C190=TRUE)*F190*IF(AND(Inputs!$B$4&lt;&gt;"pvp",Inputs!$B$35&gt;0),(((S190-1)*(Skills!Y15*(1+Inputs!$B$33/100))+MIN((Skills!Y15*(1+Inputs!$B$33/100)),MAX(0,Inputs!$B$35-((S190-1)*Skills!D15))))/Inputs!$B$35),IF(Inputs!$B$4="pvp",MIN((Skills!Y15*(1+Inputs!$B$33/100)),15)/15,(Skills!Y15*(1+Inputs!$B$33/100))/Skills!D15)))/100)*(1+((C181=TRUE)*F181*B209)/100))*B217*I185)</f>
        <v/>
      </c>
      <c r="L185">
        <f>K185*(MIN(Inputs!$B$21+((C199=TRUE)*(F199-Calc!F24)),Inputs!$B$22)/100+Inputs!$B$22/100)/2</f>
        <v/>
      </c>
      <c r="M185">
        <f>L185*(1+(Inputs!$B$9+((C201=TRUE)*(F201-Calc!F26))+B218)/100)</f>
        <v/>
      </c>
      <c r="N185">
        <f>L185*(1-MIN((Inputs!$B$8+((C200=TRUE)*(F200-Calc!F25))+B215),100)/100)+M185*(MIN((Inputs!$B$8+((C200=TRUE)*(F200-Calc!F25))+B215),100)/100)</f>
        <v/>
      </c>
      <c r="O185">
        <f>IF(C185,0.2*SUMPRODUCT((Skills!Z2:Z31=TRUE)*(C177:C206=TRUE)*S177:S206)*N185,0)</f>
        <v/>
      </c>
      <c r="P185">
        <f>IF(B219=0,0,O185/B219)</f>
        <v/>
      </c>
      <c r="Q185" t="n">
        <v>0</v>
      </c>
      <c r="R185" t="n">
        <v>0</v>
      </c>
      <c r="S185" t="n">
        <v>0</v>
      </c>
    </row>
    <row r="186">
      <c r="A186">
        <f>Skills!A11</f>
        <v/>
      </c>
      <c r="B186">
        <f>Skills!B11</f>
        <v/>
      </c>
      <c r="C186">
        <f>Inputs!$B$3&gt;=60</f>
        <v/>
      </c>
      <c r="D186">
        <f>IF(Skills!C11=1,60+Inputs!$B$24+Inputs!$B$28,IF(Skills!C11=2,90+Inputs!$B$25+Inputs!$B$28,IF(Skills!C11=3,120+Inputs!$B$26+Inputs!$B$28,MAX(0,(Inputs!$B$3-100)*3)+Inputs!$B$27+Inputs!$B$28)))</f>
        <v/>
      </c>
      <c r="E186">
        <f>INDEX(FactorTable!$B$2:$Y$301, MATCH(ROUND(MIN(300,MAX(1,D186)),0), FactorTable!$A$2:$A$301,0), Skills!M11+1)</f>
        <v/>
      </c>
      <c r="F186">
        <f>IF(Skills!N11=TRUE,(Skills!L11/10)*(E186/1000),Skills!L11/10)+Skills!O11</f>
        <v/>
      </c>
      <c r="G186">
        <f>Calc!G11</f>
        <v/>
      </c>
      <c r="H186">
        <f>Calc!H11</f>
        <v/>
      </c>
      <c r="I186">
        <f>IF(Skills!AA11&lt;&gt;"",1+(Skills!AA11/10)*(U178/1000)/100,1)</f>
        <v/>
      </c>
      <c r="J186" t="inlineStr"/>
      <c r="K186" t="inlineStr"/>
      <c r="L186" t="inlineStr"/>
      <c r="M186" t="inlineStr"/>
      <c r="N186" t="inlineStr"/>
      <c r="O186" t="n">
        <v>0</v>
      </c>
      <c r="P186">
        <f>IF(B219=0,0,O186/B219)</f>
        <v/>
      </c>
      <c r="Q186" t="n">
        <v>0</v>
      </c>
      <c r="R186" t="n">
        <v>0</v>
      </c>
      <c r="S186">
        <f>IFERROR(O186/N186,0)</f>
        <v/>
      </c>
    </row>
    <row r="187">
      <c r="A187">
        <f>Skills!A12</f>
        <v/>
      </c>
      <c r="B187">
        <f>Skills!B12</f>
        <v/>
      </c>
      <c r="C187">
        <f>Inputs!$B$3&gt;=103</f>
        <v/>
      </c>
      <c r="D187">
        <f>IF(Skills!C12=1,60+Inputs!$B$24+Inputs!$B$28,IF(Skills!C12=2,90+Inputs!$B$25+Inputs!$B$28,IF(Skills!C12=3,120+Inputs!$B$26+Inputs!$B$28,MAX(0,(Inputs!$B$3-100)*3)+Inputs!$B$27+Inputs!$B$28)))</f>
        <v/>
      </c>
      <c r="E187">
        <f>INDEX(FactorTable!$B$2:$Y$301, MATCH(ROUND(MIN(300,MAX(1,D187)),0), FactorTable!$A$2:$A$301,0), Skills!M12+1)</f>
        <v/>
      </c>
      <c r="F187">
        <f>IF(Skills!N12=TRUE,(Skills!L12/10)*(E187/1000),Skills!L12/10)+Skills!O12</f>
        <v/>
      </c>
      <c r="G187">
        <f>Calc!G12</f>
        <v/>
      </c>
      <c r="H187">
        <f>Calc!H12</f>
        <v/>
      </c>
      <c r="I187">
        <f>IF(Skills!AA12&lt;&gt;"",1+(Skills!AA12/10)*(U178/1000)/100,1)</f>
        <v/>
      </c>
      <c r="J187">
        <f>(Inputs!$B$5*(1+Inputs!$B$6/100))*(F187/100)</f>
        <v/>
      </c>
      <c r="K187">
        <f>J187*(1+((Inputs!$B$11*(1+Inputs!$B$12/100))*0.01+Inputs!$B$13*0.0025)/100)*(1+(Inputs!$B$14+1)/100)*(1+IF(Inputs!$B$4="pvp",0,(1-Summary!$B$55)*(Inputs!$B$19+((C202=TRUE)*(F202-Calc!F27))+Skills!P12+B216)+Summary!$B$55*(Inputs!$B$20+Skills!Q12+B216))/100)*(1+Inputs!$B$15/100)*(5000/(6000+Inputs!$B$7*(1-Inputs!$B$18/100)))*(1+(Inputs!$B$23+((C205=TRUE)*(F205-Calc!F30)))/100)*(1+Skills!R12/100)*(1+(IF(Skills!A12="SHOWDOWN",Inputs!$B$16+((C198=TRUE)*(F198-Calc!F23)),Inputs!$B$17+((C204=TRUE)*(F204-Calc!F29))))/100)*(((1+(((C196=TRUE)*F196*IF(AND(Inputs!$B$4&lt;&gt;"pvp",Inputs!$B$35&gt;0),(((S196-1)*(Skills!Y21*(1+Inputs!$B$33/100))+MIN((Skills!Y21*(1+Inputs!$B$33/100)),MAX(0,Inputs!$B$35-((S196-1)*Skills!D21))))/Inputs!$B$35),IF(Inputs!$B$4="pvp",MIN((Skills!Y21*(1+Inputs!$B$33/100)),15)/15,(Skills!Y21*(1+Inputs!$B$33/100))/Skills!D21)))+((C203=TRUE)*(F203-Calc!F28))+((C193=TRUE)*(F193-Calc!F18)))/100)*(1+((C190=TRUE)*F190*IF(AND(Inputs!$B$4&lt;&gt;"pvp",Inputs!$B$35&gt;0),(((S190-1)*(Skills!Y15*(1+Inputs!$B$33/100))+MIN((Skills!Y15*(1+Inputs!$B$33/100)),MAX(0,Inputs!$B$35-((S190-1)*Skills!D15))))/Inputs!$B$35),IF(Inputs!$B$4="pvp",MIN((Skills!Y15*(1+Inputs!$B$33/100)),15)/15,(Skills!Y15*(1+Inputs!$B$33/100))/Skills!D15)))/100)*(1+((C181=TRUE)*F181*B209)/100))*B217*I187)</f>
        <v/>
      </c>
      <c r="L187">
        <f>K187*(MIN(Inputs!$B$21+((C199=TRUE)*(F199-Calc!F24)),Inputs!$B$22)/100+Inputs!$B$22/100)/2</f>
        <v/>
      </c>
      <c r="M187">
        <f>L187*(1+(Inputs!$B$9+((C201=TRUE)*(F201-Calc!F26))+B218)/100)</f>
        <v/>
      </c>
      <c r="N187">
        <f>L187*(1-MIN((Inputs!$B$8+((C200=TRUE)*(F200-Calc!F25))+B215),100)/100)+M187*(MIN((Inputs!$B$8+((C200=TRUE)*(F200-Calc!F25))+B215),100)/100)</f>
        <v/>
      </c>
      <c r="O187">
        <f>IF(C187,H187*N187*IF(AND(Inputs!$B$4&lt;&gt;"pvp",Inputs!$B$35&gt;0),((Skills!G12*((R187-1)*IF(Skills!H12&gt;0,Skills!I12/Skills!H12,1)+IF(Skills!H12&gt;0,MIN(Skills!I12,MAX(0,Inputs!$B$35-((R187-1)*IF(Inputs!$B$4="pvp",15,MAX(0.1,Skills!D12-IF(Skills!E12=TRUE,Inputs!$B$31,0))))))/Skills!H12,1)))/Inputs!$B$35),G187*Q187)*IF(Inputs!$B$4="pvp",1,(1-Summary!$B$55)*(1)+Summary!$B$55*(MIN(Skills!W12,Inputs!$B$37))),0)</f>
        <v/>
      </c>
      <c r="P187">
        <f>IF(B219=0,0,O187/B219)</f>
        <v/>
      </c>
      <c r="Q187">
        <f>IFERROR(1/IF(Inputs!$B$4="pvp",15,MAX(0.1,Skills!D12-IF(Skills!E12=TRUE,Inputs!$B$31,0))),0)</f>
        <v/>
      </c>
      <c r="R187">
        <f>IF(AND(Inputs!$B$4&lt;&gt;"pvp",Inputs!$B$35&gt;0),(INT(Inputs!$B$35/IF(Inputs!$B$4="pvp",15,MAX(0.1,Skills!D12-IF(Skills!E12=TRUE,Inputs!$B$31,0))))+1),0)</f>
        <v/>
      </c>
      <c r="S187">
        <f>IFERROR(O187/N187,0)</f>
        <v/>
      </c>
    </row>
    <row r="188">
      <c r="A188">
        <f>Skills!A13</f>
        <v/>
      </c>
      <c r="B188">
        <f>Skills!B13</f>
        <v/>
      </c>
      <c r="C188">
        <f>Inputs!$B$3&gt;=105</f>
        <v/>
      </c>
      <c r="D188">
        <f>IF(Skills!C13=1,60+Inputs!$B$24+Inputs!$B$28,IF(Skills!C13=2,90+Inputs!$B$25+Inputs!$B$28,IF(Skills!C13=3,120+Inputs!$B$26+Inputs!$B$28,MAX(0,(Inputs!$B$3-100)*3)+Inputs!$B$27+Inputs!$B$28)))</f>
        <v/>
      </c>
      <c r="E188">
        <f>INDEX(FactorTable!$B$2:$Y$301, MATCH(ROUND(MIN(300,MAX(1,D188)),0), FactorTable!$A$2:$A$301,0), Skills!M13+1)</f>
        <v/>
      </c>
      <c r="F188">
        <f>IF(Skills!N13=TRUE,(Skills!L13/10)*(E188/1000),Skills!L13/10)+Skills!O13</f>
        <v/>
      </c>
      <c r="G188">
        <f>Calc!G13</f>
        <v/>
      </c>
      <c r="H188">
        <f>Calc!H13</f>
        <v/>
      </c>
      <c r="I188">
        <f>IF(Skills!AA13&lt;&gt;"",1+(Skills!AA13/10)*(U178/1000)/100,1)</f>
        <v/>
      </c>
      <c r="J188">
        <f>(Inputs!$B$5*(1+Inputs!$B$6/100))*(F188/100)</f>
        <v/>
      </c>
      <c r="K188">
        <f>J188*(1+((Inputs!$B$11*(1+Inputs!$B$12/100))*0.01+Inputs!$B$13*0.0025)/100)*(1+(Inputs!$B$14+1)/100)*(1+IF(Inputs!$B$4="pvp",0,(1-Summary!$B$55)*(Inputs!$B$19+((C202=TRUE)*(F202-Calc!F27))+Skills!P13+B216)+Summary!$B$55*(Inputs!$B$20+Skills!Q13+B216))/100)*(1+Inputs!$B$15/100)*(5000/(6000+Inputs!$B$7*(1-Inputs!$B$18/100)))*(1+(Inputs!$B$23+((C205=TRUE)*(F205-Calc!F30)))/100)*(1+Skills!R13/100)*(1+(IF(Skills!A13="SHOWDOWN",Inputs!$B$16+((C198=TRUE)*(F198-Calc!F23)),Inputs!$B$17+((C204=TRUE)*(F204-Calc!F29))))/100)*(((1+(((C196=TRUE)*F196*IF(AND(Inputs!$B$4&lt;&gt;"pvp",Inputs!$B$35&gt;0),(((S196-1)*(Skills!Y21*(1+Inputs!$B$33/100))+MIN((Skills!Y21*(1+Inputs!$B$33/100)),MAX(0,Inputs!$B$35-((S196-1)*Skills!D21))))/Inputs!$B$35),IF(Inputs!$B$4="pvp",MIN((Skills!Y21*(1+Inputs!$B$33/100)),15)/15,(Skills!Y21*(1+Inputs!$B$33/100))/Skills!D21)))+((C203=TRUE)*(F203-Calc!F28))+((C193=TRUE)*(F193-Calc!F18)))/100)*(1+((C190=TRUE)*F190*IF(AND(Inputs!$B$4&lt;&gt;"pvp",Inputs!$B$35&gt;0),(((S190-1)*(Skills!Y15*(1+Inputs!$B$33/100))+MIN((Skills!Y15*(1+Inputs!$B$33/100)),MAX(0,Inputs!$B$35-((S190-1)*Skills!D15))))/Inputs!$B$35),IF(Inputs!$B$4="pvp",MIN((Skills!Y15*(1+Inputs!$B$33/100)),15)/15,(Skills!Y15*(1+Inputs!$B$33/100))/Skills!D15)))/100)*(1+((C181=TRUE)*F181*B209)/100))*B217*I188)</f>
        <v/>
      </c>
      <c r="L188">
        <f>K188*(MIN(Inputs!$B$21+((C199=TRUE)*(F199-Calc!F24)),Inputs!$B$22)/100+Inputs!$B$22/100)/2</f>
        <v/>
      </c>
      <c r="M188">
        <f>L188*(1+(Inputs!$B$9+((C201=TRUE)*(F201-Calc!F26))+B218)/100)</f>
        <v/>
      </c>
      <c r="N188">
        <f>L188*(1-MIN((Inputs!$B$8+((C200=TRUE)*(F200-Calc!F25))+B215),100)/100)+M188*(MIN((Inputs!$B$8+((C200=TRUE)*(F200-Calc!F25))+B215),100)/100)</f>
        <v/>
      </c>
      <c r="O188">
        <f>IF(C188,H188*N188*IF(AND(Inputs!$B$4&lt;&gt;"pvp",Inputs!$B$35&gt;0),((Skills!G13*((R188-1)*IF(Skills!H13&gt;0,Skills!I13/Skills!H13,1)+IF(Skills!H13&gt;0,MIN(Skills!I13,MAX(0,Inputs!$B$35-((R188-1)*IF(Inputs!$B$4="pvp",15,MAX(0.1,Skills!D13-IF(Skills!E13=TRUE,Inputs!$B$31,0))))))/Skills!H13,1)))/Inputs!$B$35),G188*Q188)*IF(Inputs!$B$4="pvp",1,(1-Summary!$B$55)*(1)+Summary!$B$55*(MIN(Skills!W13,Inputs!$B$37))),0)</f>
        <v/>
      </c>
      <c r="P188">
        <f>IF(B219=0,0,O188/B219)</f>
        <v/>
      </c>
      <c r="Q188">
        <f>IFERROR(1/IF(Inputs!$B$4="pvp",15,MAX(0.1,Skills!D13-IF(Skills!E13=TRUE,Inputs!$B$31,0))),0)</f>
        <v/>
      </c>
      <c r="R188">
        <f>IF(AND(Inputs!$B$4&lt;&gt;"pvp",Inputs!$B$35&gt;0),(INT(Inputs!$B$35/IF(Inputs!$B$4="pvp",15,MAX(0.1,Skills!D13-IF(Skills!E13=TRUE,Inputs!$B$31,0))))+1),0)</f>
        <v/>
      </c>
      <c r="S188">
        <f>IFERROR(O188/N188,0)</f>
        <v/>
      </c>
    </row>
    <row r="189">
      <c r="A189">
        <f>Skills!A14</f>
        <v/>
      </c>
      <c r="B189">
        <f>Skills!B14</f>
        <v/>
      </c>
      <c r="C189">
        <f>Inputs!$B$3&gt;=105</f>
        <v/>
      </c>
      <c r="D189">
        <f>IF(Skills!C14=1,60+Inputs!$B$24+Inputs!$B$28,IF(Skills!C14=2,90+Inputs!$B$25+Inputs!$B$28,IF(Skills!C14=3,120+Inputs!$B$26+Inputs!$B$28,MAX(0,(Inputs!$B$3-100)*3)+Inputs!$B$27+Inputs!$B$28)))</f>
        <v/>
      </c>
      <c r="E189">
        <f>INDEX(FactorTable!$B$2:$Y$301, MATCH(ROUND(MIN(300,MAX(1,D189)),0), FactorTable!$A$2:$A$301,0), Skills!M14+1)</f>
        <v/>
      </c>
      <c r="F189">
        <f>IF(Skills!N14=TRUE,(Skills!L14/10)*(E189/1000),Skills!L14/10)+Skills!O14</f>
        <v/>
      </c>
      <c r="G189">
        <f>Calc!G14</f>
        <v/>
      </c>
      <c r="H189">
        <f>Calc!H14</f>
        <v/>
      </c>
      <c r="I189">
        <f>IF(Skills!AA14&lt;&gt;"",1+(Skills!AA14/10)*(U178/1000)/100,1)</f>
        <v/>
      </c>
      <c r="J189">
        <f>(Inputs!$B$5*(1+Inputs!$B$6/100))*(F189/100)</f>
        <v/>
      </c>
      <c r="K189">
        <f>J189*(1+((Inputs!$B$11*(1+Inputs!$B$12/100))*0.01+Inputs!$B$13*0.0025)/100)*(1+(Inputs!$B$14+1)/100)*(1+IF(Inputs!$B$4="pvp",0,(1-Summary!$B$55)*(Inputs!$B$19+((C202=TRUE)*(F202-Calc!F27))+Skills!P14+B216)+Summary!$B$55*(Inputs!$B$20+Skills!Q14+B216))/100)*(1+Inputs!$B$15/100)*(5000/(6000+Inputs!$B$7*(1-Inputs!$B$18/100)))*(1+(Inputs!$B$23+((C205=TRUE)*(F205-Calc!F30)))/100)*(1+Skills!R14/100)*(1+(IF(Skills!A14="SHOWDOWN",Inputs!$B$16+((C198=TRUE)*(F198-Calc!F23)),Inputs!$B$17+((C204=TRUE)*(F204-Calc!F29))))/100)*(((1+(((C196=TRUE)*F196*IF(AND(Inputs!$B$4&lt;&gt;"pvp",Inputs!$B$35&gt;0),(((S196-1)*(Skills!Y21*(1+Inputs!$B$33/100))+MIN((Skills!Y21*(1+Inputs!$B$33/100)),MAX(0,Inputs!$B$35-((S196-1)*Skills!D21))))/Inputs!$B$35),IF(Inputs!$B$4="pvp",MIN((Skills!Y21*(1+Inputs!$B$33/100)),15)/15,(Skills!Y21*(1+Inputs!$B$33/100))/Skills!D21)))+((C203=TRUE)*(F203-Calc!F28))+((C193=TRUE)*(F193-Calc!F18)))/100)*(1+((C190=TRUE)*F190*IF(AND(Inputs!$B$4&lt;&gt;"pvp",Inputs!$B$35&gt;0),(((S190-1)*(Skills!Y15*(1+Inputs!$B$33/100))+MIN((Skills!Y15*(1+Inputs!$B$33/100)),MAX(0,Inputs!$B$35-((S190-1)*Skills!D15))))/Inputs!$B$35),IF(Inputs!$B$4="pvp",MIN((Skills!Y15*(1+Inputs!$B$33/100)),15)/15,(Skills!Y15*(1+Inputs!$B$33/100))/Skills!D15)))/100)*(1+((C181=TRUE)*F181*B209)/100))*B217*I189)</f>
        <v/>
      </c>
      <c r="L189">
        <f>K189*(MIN(Inputs!$B$21+((C199=TRUE)*(F199-Calc!F24)),Inputs!$B$22)/100+Inputs!$B$22/100)/2</f>
        <v/>
      </c>
      <c r="M189">
        <f>L189*(1+(Inputs!$B$9+((C201=TRUE)*(F201-Calc!F26))+B218)/100)</f>
        <v/>
      </c>
      <c r="N189">
        <f>L189*(1-MIN((Inputs!$B$8+((C200=TRUE)*(F200-Calc!F25))+B215),100)/100)+M189*(MIN((Inputs!$B$8+((C200=TRUE)*(F200-Calc!F25))+B215),100)/100)</f>
        <v/>
      </c>
      <c r="O189">
        <f>IF(C189,H189*N189*IF(AND(Inputs!$B$4&lt;&gt;"pvp",Inputs!$B$35&gt;0),((Skills!G14*((R189-1)*IF(Skills!H14&gt;0,Skills!I14/Skills!H14,1)+IF(Skills!H14&gt;0,MIN(Skills!I14,MAX(0,Inputs!$B$35-((R189-1)*IF(Inputs!$B$4="pvp",15,MAX(0.1,Skills!D14-IF(Skills!E14=TRUE,Inputs!$B$31,0))))))/Skills!H14,1)))/Inputs!$B$35),G189*Q189)*IF(Inputs!$B$4="pvp",1,(1-Summary!$B$55)*(1)+Summary!$B$55*(MIN(Skills!W14,Inputs!$B$37))),0)</f>
        <v/>
      </c>
      <c r="P189">
        <f>IF(B219=0,0,O189/B219)</f>
        <v/>
      </c>
      <c r="Q189">
        <f>IFERROR(1/IF(Inputs!$B$4="pvp",15,MAX(0.1,Skills!D14-IF(Skills!E14=TRUE,Inputs!$B$31,0))),0)</f>
        <v/>
      </c>
      <c r="R189">
        <f>IF(AND(Inputs!$B$4&lt;&gt;"pvp",Inputs!$B$35&gt;0),(INT(Inputs!$B$35/IF(Inputs!$B$4="pvp",15,MAX(0.1,Skills!D14-IF(Skills!E14=TRUE,Inputs!$B$31,0))))+1),0)</f>
        <v/>
      </c>
      <c r="S189">
        <f>IFERROR(O189/N189,0)</f>
        <v/>
      </c>
    </row>
    <row r="190">
      <c r="A190">
        <f>Skills!A15</f>
        <v/>
      </c>
      <c r="B190">
        <f>Skills!B15</f>
        <v/>
      </c>
      <c r="C190">
        <f>Inputs!$B$3&gt;=110</f>
        <v/>
      </c>
      <c r="D190">
        <f>IF(Skills!C15=1,60+Inputs!$B$24+Inputs!$B$28,IF(Skills!C15=2,90+Inputs!$B$25+Inputs!$B$28,IF(Skills!C15=3,120+Inputs!$B$26+Inputs!$B$28,MAX(0,(Inputs!$B$3-100)*3)+Inputs!$B$27+Inputs!$B$28)))</f>
        <v/>
      </c>
      <c r="E190">
        <f>INDEX(FactorTable!$B$2:$Y$301, MATCH(ROUND(MIN(300,MAX(1,D190)),0), FactorTable!$A$2:$A$301,0), Skills!M15+1)</f>
        <v/>
      </c>
      <c r="F190">
        <f>IF(Skills!N15=TRUE,(Skills!L15/10)*(E190/1000),Skills!L15/10)+Skills!O15</f>
        <v/>
      </c>
      <c r="G190">
        <f>Calc!G15</f>
        <v/>
      </c>
      <c r="H190">
        <f>Calc!H15</f>
        <v/>
      </c>
      <c r="I190">
        <f>IF(Skills!AA15&lt;&gt;"",1+(Skills!AA15/10)*(U178/1000)/100,1)</f>
        <v/>
      </c>
      <c r="J190" t="inlineStr"/>
      <c r="K190" t="inlineStr"/>
      <c r="L190" t="inlineStr"/>
      <c r="M190" t="inlineStr"/>
      <c r="N190" t="inlineStr"/>
      <c r="O190" t="n">
        <v>0</v>
      </c>
      <c r="P190">
        <f>IF(B219=0,0,O190/B219)</f>
        <v/>
      </c>
      <c r="Q190">
        <f>IFERROR(1/IF(Inputs!$B$4="pvp",15,MAX(0.1,Skills!D15-IF(Skills!E15=TRUE,Inputs!$B$31,0))),0)</f>
        <v/>
      </c>
      <c r="R190">
        <f>IF(AND(Inputs!$B$4&lt;&gt;"pvp",Inputs!$B$35&gt;0),(INT(Inputs!$B$35/IF(Inputs!$B$4="pvp",15,MAX(0.1,Skills!D15-IF(Skills!E15=TRUE,Inputs!$B$31,0))))+1),0)</f>
        <v/>
      </c>
      <c r="S190">
        <f>IFERROR(O190/N190,0)</f>
        <v/>
      </c>
    </row>
    <row r="191">
      <c r="A191">
        <f>Skills!A16</f>
        <v/>
      </c>
      <c r="B191">
        <f>Skills!B16</f>
        <v/>
      </c>
      <c r="C191">
        <f>Inputs!$B$3&gt;=110</f>
        <v/>
      </c>
      <c r="D191">
        <f>IF(Skills!C16=1,60+Inputs!$B$24+Inputs!$B$28,IF(Skills!C16=2,90+Inputs!$B$25+Inputs!$B$28,IF(Skills!C16=3,120+Inputs!$B$26+Inputs!$B$28,MAX(0,(Inputs!$B$3-100)*3)+Inputs!$B$27+Inputs!$B$28)))</f>
        <v/>
      </c>
      <c r="E191">
        <f>INDEX(FactorTable!$B$2:$Y$301, MATCH(ROUND(MIN(300,MAX(1,D191)),0), FactorTable!$A$2:$A$301,0), Skills!M16+1)</f>
        <v/>
      </c>
      <c r="F191">
        <f>IF(Skills!N16=TRUE,(Skills!L16/10)*(E191/1000),Skills!L16/10)+Skills!O16</f>
        <v/>
      </c>
      <c r="G191">
        <f>Calc!G16</f>
        <v/>
      </c>
      <c r="H191">
        <f>Calc!H16</f>
        <v/>
      </c>
      <c r="I191">
        <f>IF(Skills!AA16&lt;&gt;"",1+(Skills!AA16/10)*(U178/1000)/100,1)</f>
        <v/>
      </c>
      <c r="J191" t="inlineStr"/>
      <c r="K191" t="inlineStr"/>
      <c r="L191" t="inlineStr"/>
      <c r="M191" t="inlineStr"/>
      <c r="N191" t="inlineStr"/>
      <c r="O191" t="n">
        <v>0</v>
      </c>
      <c r="P191">
        <f>IF(B219=0,0,O191/B219)</f>
        <v/>
      </c>
      <c r="Q191">
        <f>IFERROR(1/IF(Inputs!$B$4="pvp",15,MAX(0.1,Skills!D16-IF(Skills!E16=TRUE,Inputs!$B$31,0))),0)</f>
        <v/>
      </c>
      <c r="R191">
        <f>IF(AND(Inputs!$B$4&lt;&gt;"pvp",Inputs!$B$35&gt;0),(INT(Inputs!$B$35/IF(Inputs!$B$4="pvp",15,MAX(0.1,Skills!D16-IF(Skills!E16=TRUE,Inputs!$B$31,0))))+1),0)</f>
        <v/>
      </c>
      <c r="S191">
        <f>IFERROR(O191/N191,0)</f>
        <v/>
      </c>
    </row>
    <row r="192">
      <c r="A192">
        <f>Skills!A17</f>
        <v/>
      </c>
      <c r="B192">
        <f>Skills!B17</f>
        <v/>
      </c>
      <c r="C192">
        <f>Inputs!$B$3&gt;=115</f>
        <v/>
      </c>
      <c r="D192">
        <f>IF(Skills!C17=1,60+Inputs!$B$24+Inputs!$B$28,IF(Skills!C17=2,90+Inputs!$B$25+Inputs!$B$28,IF(Skills!C17=3,120+Inputs!$B$26+Inputs!$B$28,MAX(0,(Inputs!$B$3-100)*3)+Inputs!$B$27+Inputs!$B$28)))</f>
        <v/>
      </c>
      <c r="E192">
        <f>INDEX(FactorTable!$B$2:$Y$301, MATCH(ROUND(MIN(300,MAX(1,D192)),0), FactorTable!$A$2:$A$301,0), Skills!M17+1)</f>
        <v/>
      </c>
      <c r="F192">
        <f>IF(Skills!N17=TRUE,(Skills!L17/10)*(E192/1000),Skills!L17/10)+Skills!O17</f>
        <v/>
      </c>
      <c r="G192">
        <f>Calc!G17</f>
        <v/>
      </c>
      <c r="H192">
        <f>Calc!H17</f>
        <v/>
      </c>
      <c r="I192">
        <f>IF(Skills!AA17&lt;&gt;"",1+(Skills!AA17/10)*(U178/1000)/100,1)</f>
        <v/>
      </c>
      <c r="J192">
        <f>(Inputs!$B$5*(1+Inputs!$B$6/100))*(F192/100)</f>
        <v/>
      </c>
      <c r="K192">
        <f>J192*(1+((Inputs!$B$11*(1+Inputs!$B$12/100))*0.01+Inputs!$B$13*0.0025)/100)*(1+(Inputs!$B$14+1)/100)*(1+IF(Inputs!$B$4="pvp",0,(1-Summary!$B$55)*(Inputs!$B$19+((C202=TRUE)*(F202-Calc!F27))+Skills!P17+B216)+Summary!$B$55*(Inputs!$B$20+Skills!Q17+B216))/100)*(1+Inputs!$B$15/100)*(5000/(6000+Inputs!$B$7*(1-Inputs!$B$18/100)))*(1+(Inputs!$B$23+((C205=TRUE)*(F205-Calc!F30)))/100)*(1+Skills!R17/100)*(1+(IF(Skills!A17="SHOWDOWN",Inputs!$B$16+((C198=TRUE)*(F198-Calc!F23)),Inputs!$B$17+((C204=TRUE)*(F204-Calc!F29))))/100)*(((1+(((C196=TRUE)*F196*IF(AND(Inputs!$B$4&lt;&gt;"pvp",Inputs!$B$35&gt;0),(((S196-1)*(Skills!Y21*(1+Inputs!$B$33/100))+MIN((Skills!Y21*(1+Inputs!$B$33/100)),MAX(0,Inputs!$B$35-((S196-1)*Skills!D21))))/Inputs!$B$35),IF(Inputs!$B$4="pvp",MIN((Skills!Y21*(1+Inputs!$B$33/100)),15)/15,(Skills!Y21*(1+Inputs!$B$33/100))/Skills!D21)))+((C203=TRUE)*(F203-Calc!F28))+((C193=TRUE)*(F193-Calc!F18)))/100)*(1+((C190=TRUE)*F190*IF(AND(Inputs!$B$4&lt;&gt;"pvp",Inputs!$B$35&gt;0),(((S190-1)*(Skills!Y15*(1+Inputs!$B$33/100))+MIN((Skills!Y15*(1+Inputs!$B$33/100)),MAX(0,Inputs!$B$35-((S190-1)*Skills!D15))))/Inputs!$B$35),IF(Inputs!$B$4="pvp",MIN((Skills!Y15*(1+Inputs!$B$33/100)),15)/15,(Skills!Y15*(1+Inputs!$B$33/100))/Skills!D15)))/100)*(1+((C181=TRUE)*F181*B209)/100))*B217*I192)</f>
        <v/>
      </c>
      <c r="L192">
        <f>K192*(MIN(Inputs!$B$21+((C199=TRUE)*(F199-Calc!F24)),Inputs!$B$22)/100+Inputs!$B$22/100)/2</f>
        <v/>
      </c>
      <c r="M192">
        <f>L192*(1+(Inputs!$B$9+((C201=TRUE)*(F201-Calc!F26))+B218)/100)</f>
        <v/>
      </c>
      <c r="N192">
        <f>L192*(1-MIN((Inputs!$B$8+((C200=TRUE)*(F200-Calc!F25))+B215),100)/100)+M192*(MIN((Inputs!$B$8+((C200=TRUE)*(F200-Calc!F25))+B215),100)/100)</f>
        <v/>
      </c>
      <c r="O192">
        <f>IF(C192,Inputs!$B$38*0.2*N192,0)</f>
        <v/>
      </c>
      <c r="P192">
        <f>IF(B219=0,0,O192/B219)</f>
        <v/>
      </c>
      <c r="Q192" t="n">
        <v>0</v>
      </c>
      <c r="R192" t="n">
        <v>0</v>
      </c>
      <c r="S192">
        <f>IFERROR(O192/N192,0)</f>
        <v/>
      </c>
    </row>
    <row r="193">
      <c r="A193">
        <f>Skills!A18</f>
        <v/>
      </c>
      <c r="B193">
        <f>Skills!B18</f>
        <v/>
      </c>
      <c r="C193">
        <f>Inputs!$B$3&gt;=115</f>
        <v/>
      </c>
      <c r="D193">
        <f>IF(Skills!C18=1,60+Inputs!$B$24+Inputs!$B$28,IF(Skills!C18=2,90+Inputs!$B$25+Inputs!$B$28,IF(Skills!C18=3,120+Inputs!$B$26+Inputs!$B$28,MAX(0,(Inputs!$B$3-100)*3)+Inputs!$B$27+Inputs!$B$28)))</f>
        <v/>
      </c>
      <c r="E193">
        <f>INDEX(FactorTable!$B$2:$Y$301, MATCH(ROUND(MIN(300,MAX(1,D193)),0), FactorTable!$A$2:$A$301,0), Skills!M18+1)</f>
        <v/>
      </c>
      <c r="F193">
        <f>IF(Skills!N18=TRUE,(Skills!L18/10)*(E193/1000),Skills!L18/10)+Skills!O18</f>
        <v/>
      </c>
      <c r="G193">
        <f>Calc!G18</f>
        <v/>
      </c>
      <c r="H193">
        <f>Calc!H18</f>
        <v/>
      </c>
      <c r="I193">
        <f>IF(Skills!AA18&lt;&gt;"",1+(Skills!AA18/10)*(U178/1000)/100,1)</f>
        <v/>
      </c>
      <c r="J193" t="inlineStr"/>
      <c r="K193" t="inlineStr"/>
      <c r="L193" t="inlineStr"/>
      <c r="M193" t="inlineStr"/>
      <c r="N193" t="inlineStr"/>
      <c r="O193" t="n">
        <v>0</v>
      </c>
      <c r="P193">
        <f>IF(B219=0,0,O193/B219)</f>
        <v/>
      </c>
      <c r="Q193" t="n">
        <v>0</v>
      </c>
      <c r="R193" t="n">
        <v>0</v>
      </c>
      <c r="S193">
        <f>IFERROR(O193/N193,0)</f>
        <v/>
      </c>
    </row>
    <row r="194">
      <c r="A194">
        <f>Skills!A19</f>
        <v/>
      </c>
      <c r="B194">
        <f>Skills!B19</f>
        <v/>
      </c>
      <c r="C194">
        <f>TRUE</f>
        <v/>
      </c>
      <c r="D194">
        <f>IF(Skills!C19=1,60+Inputs!$B$24+Inputs!$B$28,IF(Skills!C19=2,90+Inputs!$B$25+Inputs!$B$28,IF(Skills!C19=3,120+Inputs!$B$26+Inputs!$B$28,MAX(0,(Inputs!$B$3-100)*3)+Inputs!$B$27+Inputs!$B$28)))</f>
        <v/>
      </c>
      <c r="E194">
        <f>INDEX(FactorTable!$B$2:$Y$301, MATCH(ROUND(MIN(300,MAX(1,D194)),0), FactorTable!$A$2:$A$301,0), Skills!M19+1)</f>
        <v/>
      </c>
      <c r="F194">
        <f>IF(Skills!N19=TRUE,(Skills!L19/10)*(E194/1000),Skills!L19/10)+Skills!O19</f>
        <v/>
      </c>
      <c r="G194">
        <f>Calc!G19</f>
        <v/>
      </c>
      <c r="H194">
        <f>Calc!H19</f>
        <v/>
      </c>
      <c r="I194">
        <f>IF(Skills!AA19&lt;&gt;"",1+(Skills!AA19/10)*(U178/1000)/100,1)</f>
        <v/>
      </c>
      <c r="J194" t="inlineStr"/>
      <c r="K194" t="inlineStr"/>
      <c r="L194" t="inlineStr"/>
      <c r="M194" t="inlineStr"/>
      <c r="N194" t="inlineStr"/>
      <c r="O194" t="n">
        <v>0</v>
      </c>
      <c r="P194">
        <f>IF(B219=0,0,O194/B219)</f>
        <v/>
      </c>
      <c r="Q194">
        <f>IFERROR(1/IF(Inputs!$B$4="pvp",15,MAX(0.1,Skills!D19-IF(Skills!E19=TRUE,Inputs!$B$31,0))),0)</f>
        <v/>
      </c>
      <c r="R194">
        <f>IF(AND(Inputs!$B$4&lt;&gt;"pvp",Inputs!$B$35&gt;0),(INT(Inputs!$B$35/IF(Inputs!$B$4="pvp",15,MAX(0.1,Skills!D19-IF(Skills!E19=TRUE,Inputs!$B$31,0))))+1),0)</f>
        <v/>
      </c>
      <c r="S194">
        <f>IFERROR(O194/N194,0)</f>
        <v/>
      </c>
    </row>
    <row r="195">
      <c r="A195">
        <f>Skills!A20</f>
        <v/>
      </c>
      <c r="B195">
        <f>Skills!B20</f>
        <v/>
      </c>
      <c r="C195">
        <f>Inputs!$B$3&gt;=15</f>
        <v/>
      </c>
      <c r="D195">
        <f>IF(Skills!C20=1,60+Inputs!$B$24+Inputs!$B$28,IF(Skills!C20=2,90+Inputs!$B$25+Inputs!$B$28,IF(Skills!C20=3,120+Inputs!$B$26+Inputs!$B$28,MAX(0,(Inputs!$B$3-100)*3)+Inputs!$B$27+Inputs!$B$28)))</f>
        <v/>
      </c>
      <c r="E195">
        <f>INDEX(FactorTable!$B$2:$Y$301, MATCH(ROUND(MIN(300,MAX(1,D195)),0), FactorTable!$A$2:$A$301,0), Skills!M20+1)</f>
        <v/>
      </c>
      <c r="F195">
        <f>IF(Skills!N20=TRUE,(Skills!L20/10)*(E195/1000),Skills!L20/10)+Skills!O20</f>
        <v/>
      </c>
      <c r="G195">
        <f>Calc!G20</f>
        <v/>
      </c>
      <c r="H195">
        <f>Calc!H20</f>
        <v/>
      </c>
      <c r="I195">
        <f>IF(Skills!AA20&lt;&gt;"",1+(Skills!AA20/10)*(U178/1000)/100,1)</f>
        <v/>
      </c>
      <c r="J195" t="inlineStr"/>
      <c r="K195" t="inlineStr"/>
      <c r="L195" t="inlineStr"/>
      <c r="M195" t="inlineStr"/>
      <c r="N195" t="inlineStr"/>
      <c r="O195" t="n">
        <v>0</v>
      </c>
      <c r="P195">
        <f>IF(B219=0,0,O195/B219)</f>
        <v/>
      </c>
      <c r="Q195">
        <f>IFERROR(1/IF(Inputs!$B$4="pvp",15,MAX(0.1,Skills!D20-IF(Skills!E20=TRUE,Inputs!$B$31,0))),0)</f>
        <v/>
      </c>
      <c r="R195">
        <f>IF(AND(Inputs!$B$4&lt;&gt;"pvp",Inputs!$B$35&gt;0),(INT(Inputs!$B$35/IF(Inputs!$B$4="pvp",15,MAX(0.1,Skills!D20-IF(Skills!E20=TRUE,Inputs!$B$31,0))))+1),0)</f>
        <v/>
      </c>
      <c r="S195">
        <f>IFERROR(O195/N195,0)</f>
        <v/>
      </c>
    </row>
    <row r="196">
      <c r="A196">
        <f>Skills!A21</f>
        <v/>
      </c>
      <c r="B196">
        <f>Skills!B21</f>
        <v/>
      </c>
      <c r="C196">
        <f>Inputs!$B$3&gt;=15</f>
        <v/>
      </c>
      <c r="D196">
        <f>IF(Skills!C21=1,60+Inputs!$B$24+Inputs!$B$28,IF(Skills!C21=2,90+Inputs!$B$25+Inputs!$B$28,IF(Skills!C21=3,120+Inputs!$B$26+Inputs!$B$28,MAX(0,(Inputs!$B$3-100)*3)+Inputs!$B$27+Inputs!$B$28)))</f>
        <v/>
      </c>
      <c r="E196">
        <f>INDEX(FactorTable!$B$2:$Y$301, MATCH(ROUND(MIN(300,MAX(1,D196)),0), FactorTable!$A$2:$A$301,0), Skills!M21+1)</f>
        <v/>
      </c>
      <c r="F196">
        <f>IF(Skills!N21=TRUE,(Skills!L21/10)*(E196/1000),Skills!L21/10)+Skills!O21</f>
        <v/>
      </c>
      <c r="G196">
        <f>Calc!G21</f>
        <v/>
      </c>
      <c r="H196">
        <f>Calc!H21</f>
        <v/>
      </c>
      <c r="I196">
        <f>IF(Skills!AA21&lt;&gt;"",1+(Skills!AA21/10)*(U178/1000)/100,1)</f>
        <v/>
      </c>
      <c r="J196" t="inlineStr"/>
      <c r="K196" t="inlineStr"/>
      <c r="L196" t="inlineStr"/>
      <c r="M196" t="inlineStr"/>
      <c r="N196" t="inlineStr"/>
      <c r="O196" t="n">
        <v>0</v>
      </c>
      <c r="P196">
        <f>IF(B219=0,0,O196/B219)</f>
        <v/>
      </c>
      <c r="Q196">
        <f>IFERROR(1/IF(Inputs!$B$4="pvp",15,MAX(0.1,Skills!D21-IF(Skills!E21=TRUE,Inputs!$B$31,0))),0)</f>
        <v/>
      </c>
      <c r="R196">
        <f>IF(AND(Inputs!$B$4&lt;&gt;"pvp",Inputs!$B$35&gt;0),(INT(Inputs!$B$35/IF(Inputs!$B$4="pvp",15,MAX(0.1,Skills!D21-IF(Skills!E21=TRUE,Inputs!$B$31,0))))+1),0)</f>
        <v/>
      </c>
      <c r="S196">
        <f>IFERROR(O196/N196,0)</f>
        <v/>
      </c>
    </row>
    <row r="197">
      <c r="A197">
        <f>Skills!A22</f>
        <v/>
      </c>
      <c r="B197">
        <f>Skills!B22</f>
        <v/>
      </c>
      <c r="C197">
        <f>Inputs!$B$3&gt;=33</f>
        <v/>
      </c>
      <c r="D197">
        <f>IF(Skills!C22=1,60+Inputs!$B$24+Inputs!$B$28,IF(Skills!C22=2,90+Inputs!$B$25+Inputs!$B$28,IF(Skills!C22=3,120+Inputs!$B$26+Inputs!$B$28,MAX(0,(Inputs!$B$3-100)*3)+Inputs!$B$27+Inputs!$B$28)))</f>
        <v/>
      </c>
      <c r="E197">
        <f>INDEX(FactorTable!$B$2:$Y$301, MATCH(ROUND(MIN(300,MAX(1,D197)),0), FactorTable!$A$2:$A$301,0), Skills!M22+1)</f>
        <v/>
      </c>
      <c r="F197">
        <f>IF(Skills!N22=TRUE,(Skills!L22/10)*(E197/1000),Skills!L22/10)+Skills!O22</f>
        <v/>
      </c>
      <c r="G197">
        <f>Calc!G22</f>
        <v/>
      </c>
      <c r="H197">
        <f>Calc!H22</f>
        <v/>
      </c>
      <c r="I197">
        <f>IF(Skills!AA22&lt;&gt;"",1+(Skills!AA22/10)*(U178/1000)/100,1)</f>
        <v/>
      </c>
      <c r="J197" t="inlineStr"/>
      <c r="K197" t="inlineStr"/>
      <c r="L197" t="inlineStr"/>
      <c r="M197" t="inlineStr"/>
      <c r="N197" t="inlineStr"/>
      <c r="O197" t="n">
        <v>0</v>
      </c>
      <c r="P197">
        <f>IF(B219=0,0,O197/B219)</f>
        <v/>
      </c>
      <c r="Q197" t="n">
        <v>0</v>
      </c>
      <c r="R197" t="n">
        <v>0</v>
      </c>
      <c r="S197">
        <f>IFERROR(O197/N197,0)</f>
        <v/>
      </c>
    </row>
    <row r="198">
      <c r="A198">
        <f>Skills!A23</f>
        <v/>
      </c>
      <c r="B198">
        <f>Skills!B23</f>
        <v/>
      </c>
      <c r="C198">
        <f>Inputs!$B$3&gt;=38</f>
        <v/>
      </c>
      <c r="D198">
        <f>IF(Skills!C23=1,60+Inputs!$B$24+Inputs!$B$28,IF(Skills!C23=2,90+Inputs!$B$25+Inputs!$B$28,IF(Skills!C23=3,120+Inputs!$B$26+Inputs!$B$28,MAX(0,(Inputs!$B$3-100)*3)+Inputs!$B$27+Inputs!$B$28)))</f>
        <v/>
      </c>
      <c r="E198">
        <f>INDEX(FactorTable!$B$2:$Y$301, MATCH(ROUND(MIN(300,MAX(1,D198)),0), FactorTable!$A$2:$A$301,0), Skills!M23+1)</f>
        <v/>
      </c>
      <c r="F198">
        <f>IF(Skills!N23=TRUE,(Skills!L23/10)*(E198/1000),Skills!L23/10)+Skills!O23</f>
        <v/>
      </c>
      <c r="G198">
        <f>Calc!G23</f>
        <v/>
      </c>
      <c r="H198">
        <f>Calc!H23</f>
        <v/>
      </c>
      <c r="I198">
        <f>IF(Skills!AA23&lt;&gt;"",1+(Skills!AA23/10)*(U178/1000)/100,1)</f>
        <v/>
      </c>
      <c r="J198" t="inlineStr"/>
      <c r="K198" t="inlineStr"/>
      <c r="L198" t="inlineStr"/>
      <c r="M198" t="inlineStr"/>
      <c r="N198" t="inlineStr"/>
      <c r="O198" t="n">
        <v>0</v>
      </c>
      <c r="P198">
        <f>IF(B219=0,0,O198/B219)</f>
        <v/>
      </c>
      <c r="Q198" t="n">
        <v>0</v>
      </c>
      <c r="R198" t="n">
        <v>0</v>
      </c>
      <c r="S198">
        <f>IFERROR(O198/N198,0)</f>
        <v/>
      </c>
    </row>
    <row r="199">
      <c r="A199">
        <f>Skills!A24</f>
        <v/>
      </c>
      <c r="B199">
        <f>Skills!B24</f>
        <v/>
      </c>
      <c r="C199">
        <f>Inputs!$B$3&gt;=40</f>
        <v/>
      </c>
      <c r="D199">
        <f>IF(Skills!C24=1,60+Inputs!$B$24+Inputs!$B$28,IF(Skills!C24=2,90+Inputs!$B$25+Inputs!$B$28,IF(Skills!C24=3,120+Inputs!$B$26+Inputs!$B$28,MAX(0,(Inputs!$B$3-100)*3)+Inputs!$B$27+Inputs!$B$28)))</f>
        <v/>
      </c>
      <c r="E199">
        <f>INDEX(FactorTable!$B$2:$Y$301, MATCH(ROUND(MIN(300,MAX(1,D199)),0), FactorTable!$A$2:$A$301,0), Skills!M24+1)</f>
        <v/>
      </c>
      <c r="F199">
        <f>IF(Skills!N24=TRUE,(Skills!L24/10)*(E199/1000),Skills!L24/10)+Skills!O24</f>
        <v/>
      </c>
      <c r="G199">
        <f>Calc!G24</f>
        <v/>
      </c>
      <c r="H199">
        <f>Calc!H24</f>
        <v/>
      </c>
      <c r="I199">
        <f>IF(Skills!AA24&lt;&gt;"",1+(Skills!AA24/10)*(U178/1000)/100,1)</f>
        <v/>
      </c>
      <c r="J199" t="inlineStr"/>
      <c r="K199" t="inlineStr"/>
      <c r="L199" t="inlineStr"/>
      <c r="M199" t="inlineStr"/>
      <c r="N199" t="inlineStr"/>
      <c r="O199" t="n">
        <v>0</v>
      </c>
      <c r="P199">
        <f>IF(B219=0,0,O199/B219)</f>
        <v/>
      </c>
      <c r="Q199" t="n">
        <v>0</v>
      </c>
      <c r="R199" t="n">
        <v>0</v>
      </c>
      <c r="S199">
        <f>IFERROR(O199/N199,0)</f>
        <v/>
      </c>
    </row>
    <row r="200">
      <c r="A200">
        <f>Skills!A25</f>
        <v/>
      </c>
      <c r="B200">
        <f>Skills!B25</f>
        <v/>
      </c>
      <c r="C200">
        <f>Inputs!$B$3&gt;=45</f>
        <v/>
      </c>
      <c r="D200">
        <f>IF(Skills!C25=1,60+Inputs!$B$24+Inputs!$B$28,IF(Skills!C25=2,90+Inputs!$B$25+Inputs!$B$28,IF(Skills!C25=3,120+Inputs!$B$26+Inputs!$B$28,MAX(0,(Inputs!$B$3-100)*3)+Inputs!$B$27+Inputs!$B$28)))</f>
        <v/>
      </c>
      <c r="E200">
        <f>INDEX(FactorTable!$B$2:$Y$301, MATCH(ROUND(MIN(300,MAX(1,D200)),0), FactorTable!$A$2:$A$301,0), Skills!M25+1)</f>
        <v/>
      </c>
      <c r="F200">
        <f>IF(Skills!N25=TRUE,(Skills!L25/10)*(E200/1000),Skills!L25/10)+Skills!O25</f>
        <v/>
      </c>
      <c r="G200">
        <f>Calc!G25</f>
        <v/>
      </c>
      <c r="H200">
        <f>Calc!H25</f>
        <v/>
      </c>
      <c r="I200">
        <f>IF(Skills!AA25&lt;&gt;"",1+(Skills!AA25/10)*(U178/1000)/100,1)</f>
        <v/>
      </c>
      <c r="J200" t="inlineStr"/>
      <c r="K200" t="inlineStr"/>
      <c r="L200" t="inlineStr"/>
      <c r="M200" t="inlineStr"/>
      <c r="N200" t="inlineStr"/>
      <c r="O200" t="n">
        <v>0</v>
      </c>
      <c r="P200">
        <f>IF(B219=0,0,O200/B219)</f>
        <v/>
      </c>
      <c r="Q200" t="n">
        <v>0</v>
      </c>
      <c r="R200" t="n">
        <v>0</v>
      </c>
      <c r="S200">
        <f>IFERROR(O200/N200,0)</f>
        <v/>
      </c>
    </row>
    <row r="201">
      <c r="A201">
        <f>Skills!A26</f>
        <v/>
      </c>
      <c r="B201">
        <f>Skills!B26</f>
        <v/>
      </c>
      <c r="C201">
        <f>Inputs!$B$3&gt;=45</f>
        <v/>
      </c>
      <c r="D201">
        <f>IF(Skills!C26=1,60+Inputs!$B$24+Inputs!$B$28,IF(Skills!C26=2,90+Inputs!$B$25+Inputs!$B$28,IF(Skills!C26=3,120+Inputs!$B$26+Inputs!$B$28,MAX(0,(Inputs!$B$3-100)*3)+Inputs!$B$27+Inputs!$B$28)))</f>
        <v/>
      </c>
      <c r="E201">
        <f>INDEX(FactorTable!$B$2:$Y$301, MATCH(ROUND(MIN(300,MAX(1,D201)),0), FactorTable!$A$2:$A$301,0), Skills!M26+1)</f>
        <v/>
      </c>
      <c r="F201">
        <f>IF(Skills!N26=TRUE,(Skills!L26/10)*(E201/1000),Skills!L26/10)+Skills!O26</f>
        <v/>
      </c>
      <c r="G201">
        <f>Calc!G26</f>
        <v/>
      </c>
      <c r="H201">
        <f>Calc!H26</f>
        <v/>
      </c>
      <c r="I201">
        <f>IF(Skills!AA26&lt;&gt;"",1+(Skills!AA26/10)*(U178/1000)/100,1)</f>
        <v/>
      </c>
      <c r="J201" t="inlineStr"/>
      <c r="K201" t="inlineStr"/>
      <c r="L201" t="inlineStr"/>
      <c r="M201" t="inlineStr"/>
      <c r="N201" t="inlineStr"/>
      <c r="O201" t="n">
        <v>0</v>
      </c>
      <c r="P201">
        <f>IF(B219=0,0,O201/B219)</f>
        <v/>
      </c>
      <c r="Q201" t="n">
        <v>0</v>
      </c>
      <c r="R201" t="n">
        <v>0</v>
      </c>
      <c r="S201">
        <f>IFERROR(O201/N201,0)</f>
        <v/>
      </c>
    </row>
    <row r="202">
      <c r="A202">
        <f>Skills!A27</f>
        <v/>
      </c>
      <c r="B202">
        <f>Skills!B27</f>
        <v/>
      </c>
      <c r="C202">
        <f>Inputs!$B$3&gt;=72</f>
        <v/>
      </c>
      <c r="D202">
        <f>IF(Skills!C27=1,60+Inputs!$B$24+Inputs!$B$28,IF(Skills!C27=2,90+Inputs!$B$25+Inputs!$B$28,IF(Skills!C27=3,120+Inputs!$B$26+Inputs!$B$28,MAX(0,(Inputs!$B$3-100)*3)+Inputs!$B$27+Inputs!$B$28)))</f>
        <v/>
      </c>
      <c r="E202">
        <f>INDEX(FactorTable!$B$2:$Y$301, MATCH(ROUND(MIN(300,MAX(1,D202)),0), FactorTable!$A$2:$A$301,0), Skills!M27+1)</f>
        <v/>
      </c>
      <c r="F202">
        <f>IF(Skills!N27=TRUE,(Skills!L27/10)*(E202/1000),Skills!L27/10)+Skills!O27</f>
        <v/>
      </c>
      <c r="G202">
        <f>Calc!G27</f>
        <v/>
      </c>
      <c r="H202">
        <f>Calc!H27</f>
        <v/>
      </c>
      <c r="I202">
        <f>IF(Skills!AA27&lt;&gt;"",1+(Skills!AA27/10)*(U178/1000)/100,1)</f>
        <v/>
      </c>
      <c r="J202" t="inlineStr"/>
      <c r="K202" t="inlineStr"/>
      <c r="L202" t="inlineStr"/>
      <c r="M202" t="inlineStr"/>
      <c r="N202" t="inlineStr"/>
      <c r="O202" t="n">
        <v>0</v>
      </c>
      <c r="P202">
        <f>IF(B219=0,0,O202/B219)</f>
        <v/>
      </c>
      <c r="Q202" t="n">
        <v>0</v>
      </c>
      <c r="R202" t="n">
        <v>0</v>
      </c>
      <c r="S202">
        <f>IFERROR(O202/N202,0)</f>
        <v/>
      </c>
    </row>
    <row r="203">
      <c r="A203">
        <f>Skills!A28</f>
        <v/>
      </c>
      <c r="B203">
        <f>Skills!B28</f>
        <v/>
      </c>
      <c r="C203">
        <f>Inputs!$B$3&gt;=75</f>
        <v/>
      </c>
      <c r="D203">
        <f>IF(Skills!C28=1,60+Inputs!$B$24+Inputs!$B$28,IF(Skills!C28=2,90+Inputs!$B$25+Inputs!$B$28,IF(Skills!C28=3,120+Inputs!$B$26+Inputs!$B$28,MAX(0,(Inputs!$B$3-100)*3)+Inputs!$B$27+Inputs!$B$28)))</f>
        <v/>
      </c>
      <c r="E203">
        <f>INDEX(FactorTable!$B$2:$Y$301, MATCH(ROUND(MIN(300,MAX(1,D203)),0), FactorTable!$A$2:$A$301,0), Skills!M28+1)</f>
        <v/>
      </c>
      <c r="F203">
        <f>IF(Skills!N28=TRUE,(Skills!L28/10)*(E203/1000),Skills!L28/10)+Skills!O28</f>
        <v/>
      </c>
      <c r="G203">
        <f>Calc!G28</f>
        <v/>
      </c>
      <c r="H203">
        <f>Calc!H28</f>
        <v/>
      </c>
      <c r="I203">
        <f>IF(Skills!AA28&lt;&gt;"",1+(Skills!AA28/10)*(U178/1000)/100,1)</f>
        <v/>
      </c>
      <c r="J203" t="inlineStr"/>
      <c r="K203" t="inlineStr"/>
      <c r="L203" t="inlineStr"/>
      <c r="M203" t="inlineStr"/>
      <c r="N203" t="inlineStr"/>
      <c r="O203" t="n">
        <v>0</v>
      </c>
      <c r="P203">
        <f>IF(B219=0,0,O203/B219)</f>
        <v/>
      </c>
      <c r="Q203" t="n">
        <v>0</v>
      </c>
      <c r="R203" t="n">
        <v>0</v>
      </c>
      <c r="S203">
        <f>IFERROR(O203/N203,0)</f>
        <v/>
      </c>
    </row>
    <row r="204">
      <c r="A204">
        <f>Skills!A29</f>
        <v/>
      </c>
      <c r="B204">
        <f>Skills!B29</f>
        <v/>
      </c>
      <c r="C204">
        <f>Inputs!$B$3&gt;=120</f>
        <v/>
      </c>
      <c r="D204">
        <f>IF(Skills!C29=1,60+Inputs!$B$24+Inputs!$B$28,IF(Skills!C29=2,90+Inputs!$B$25+Inputs!$B$28,IF(Skills!C29=3,120+Inputs!$B$26+Inputs!$B$28,MAX(0,(Inputs!$B$3-100)*3)+Inputs!$B$27+Inputs!$B$28)))</f>
        <v/>
      </c>
      <c r="E204">
        <f>INDEX(FactorTable!$B$2:$Y$301, MATCH(ROUND(MIN(300,MAX(1,D204)),0), FactorTable!$A$2:$A$301,0), Skills!M29+1)</f>
        <v/>
      </c>
      <c r="F204">
        <f>IF(Skills!N29=TRUE,(Skills!L29/10)*(E204/1000),Skills!L29/10)+Skills!O29</f>
        <v/>
      </c>
      <c r="G204">
        <f>Calc!G29</f>
        <v/>
      </c>
      <c r="H204">
        <f>Calc!H29</f>
        <v/>
      </c>
      <c r="I204">
        <f>IF(Skills!AA29&lt;&gt;"",1+(Skills!AA29/10)*(U178/1000)/100,1)</f>
        <v/>
      </c>
      <c r="J204" t="inlineStr"/>
      <c r="K204" t="inlineStr"/>
      <c r="L204" t="inlineStr"/>
      <c r="M204" t="inlineStr"/>
      <c r="N204" t="inlineStr"/>
      <c r="O204" t="n">
        <v>0</v>
      </c>
      <c r="P204">
        <f>IF(B219=0,0,O204/B219)</f>
        <v/>
      </c>
      <c r="Q204" t="n">
        <v>0</v>
      </c>
      <c r="R204" t="n">
        <v>0</v>
      </c>
      <c r="S204">
        <f>IFERROR(O204/N204,0)</f>
        <v/>
      </c>
    </row>
    <row r="205">
      <c r="A205">
        <f>Skills!A30</f>
        <v/>
      </c>
      <c r="B205">
        <f>Skills!B30</f>
        <v/>
      </c>
      <c r="C205">
        <f>Inputs!$B$3&gt;=125</f>
        <v/>
      </c>
      <c r="D205">
        <f>IF(Skills!C30=1,60+Inputs!$B$24+Inputs!$B$28,IF(Skills!C30=2,90+Inputs!$B$25+Inputs!$B$28,IF(Skills!C30=3,120+Inputs!$B$26+Inputs!$B$28,MAX(0,(Inputs!$B$3-100)*3)+Inputs!$B$27+Inputs!$B$28)))</f>
        <v/>
      </c>
      <c r="E205">
        <f>INDEX(FactorTable!$B$2:$Y$301, MATCH(ROUND(MIN(300,MAX(1,D205)),0), FactorTable!$A$2:$A$301,0), Skills!M30+1)</f>
        <v/>
      </c>
      <c r="F205">
        <f>IF(Skills!N30=TRUE,(Skills!L30/10)*(E205/1000),Skills!L30/10)+Skills!O30</f>
        <v/>
      </c>
      <c r="G205">
        <f>Calc!G30</f>
        <v/>
      </c>
      <c r="H205">
        <f>Calc!H30</f>
        <v/>
      </c>
      <c r="I205">
        <f>IF(Skills!AA30&lt;&gt;"",1+(Skills!AA30/10)*(U178/1000)/100,1)</f>
        <v/>
      </c>
      <c r="J205" t="inlineStr"/>
      <c r="K205" t="inlineStr"/>
      <c r="L205" t="inlineStr"/>
      <c r="M205" t="inlineStr"/>
      <c r="N205" t="inlineStr"/>
      <c r="O205" t="n">
        <v>0</v>
      </c>
      <c r="P205">
        <f>IF(B219=0,0,O205/B219)</f>
        <v/>
      </c>
      <c r="Q205" t="n">
        <v>0</v>
      </c>
      <c r="R205" t="n">
        <v>0</v>
      </c>
      <c r="S205">
        <f>IFERROR(O205/N205,0)</f>
        <v/>
      </c>
    </row>
    <row r="206">
      <c r="A206">
        <f>Skills!A31</f>
        <v/>
      </c>
      <c r="B206">
        <f>Skills!B31</f>
        <v/>
      </c>
      <c r="C206">
        <f>Inputs!$B$3&gt;=107</f>
        <v/>
      </c>
      <c r="D206">
        <f>IF(Skills!C31=1,60+Inputs!$B$24+Inputs!$B$28,IF(Skills!C31=2,90+Inputs!$B$25+Inputs!$B$28,IF(Skills!C31=3,120+Inputs!$B$26+Inputs!$B$28,MAX(0,(Inputs!$B$3-100)*3)+Inputs!$B$27+Inputs!$B$28)))</f>
        <v/>
      </c>
      <c r="E206">
        <f>INDEX(FactorTable!$B$2:$Y$301, MATCH(ROUND(MIN(300,MAX(1,D206)),0), FactorTable!$A$2:$A$301,0), Skills!M31+1)</f>
        <v/>
      </c>
      <c r="F206">
        <f>IF(Skills!N31=TRUE,(Skills!L31/10)*(E206/1000),Skills!L31/10)+Skills!O31</f>
        <v/>
      </c>
      <c r="G206">
        <f>Calc!G31</f>
        <v/>
      </c>
      <c r="H206">
        <f>Calc!H31</f>
        <v/>
      </c>
      <c r="I206">
        <f>IF(Skills!AA31&lt;&gt;"",1+(Skills!AA31/10)*(U178/1000)/100,1)</f>
        <v/>
      </c>
      <c r="J206" t="inlineStr"/>
      <c r="K206" t="inlineStr"/>
      <c r="L206" t="inlineStr"/>
      <c r="M206" t="inlineStr"/>
      <c r="N206" t="inlineStr"/>
      <c r="O206" t="n">
        <v>0</v>
      </c>
      <c r="P206">
        <f>IF(B219=0,0,O206/B219)</f>
        <v/>
      </c>
      <c r="Q206" t="n">
        <v>0</v>
      </c>
      <c r="R206" t="n">
        <v>0</v>
      </c>
      <c r="S206">
        <f>IFERROR(O206/N206,0)</f>
        <v/>
      </c>
    </row>
    <row r="208">
      <c r="A208" t="inlineStr">
        <is>
          <t>Actions Per Second (pre-Adrenalin)</t>
        </is>
      </c>
      <c r="B208">
        <f>1+MIN(150,150*(1-(1-(Inputs!$B$10+((C197=TRUE)*(F197-Calc!F22)))/150)*(1-((C194=TRUE)*F194*IF(AND(Inputs!$B$4&lt;&gt;"pvp",Inputs!$B$35&gt;0),(((S194-1)*(Skills!Y19*(1+Inputs!$B$33/100))+MIN((Skills!Y19*(1+Inputs!$B$33/100)),MAX(0,Inputs!$B$35-((S194-1)*Skills!D19))))/Inputs!$B$35),IF(Inputs!$B$4="pvp",MIN((Skills!Y19*(1+Inputs!$B$33/100)),15)/15,(Skills!Y19*(1+Inputs!$B$33/100))/Skills!D19)))/150)))/100</f>
        <v/>
      </c>
    </row>
    <row r="209">
      <c r="A209" t="inlineStr">
        <is>
          <t>Alchemic Adrenaline Uptime</t>
        </is>
      </c>
      <c r="B209">
        <f>(Skills!Y6*(1+Inputs!$B$33/100))/((Skills!Y6*(1+Inputs!$B$33/100))+(5/B208))</f>
        <v/>
      </c>
    </row>
    <row r="210">
      <c r="A210" t="inlineStr">
        <is>
          <t>Attack Speed Buff Bonus %</t>
        </is>
      </c>
      <c r="B210">
        <f>((C194=TRUE)*F194*IF(AND(Inputs!$B$4&lt;&gt;"pvp",Inputs!$B$35&gt;0),(((S194-1)*(Skills!Y19*(1+Inputs!$B$33/100))+MIN((Skills!Y19*(1+Inputs!$B$33/100)),MAX(0,Inputs!$B$35-((S194-1)*Skills!D19))))/Inputs!$B$35),IF(Inputs!$B$4="pvp",MIN((Skills!Y19*(1+Inputs!$B$33/100)),15)/15,(Skills!Y19*(1+Inputs!$B$33/100))/Skills!D19)))+((C182=TRUE)*F182*B209)</f>
        <v/>
      </c>
    </row>
    <row r="211">
      <c r="A211" t="inlineStr">
        <is>
          <t>Actions Per Second (final)</t>
        </is>
      </c>
      <c r="B211">
        <f>1+MIN(150,150*(1-(1-(Inputs!$B$10+((C197=TRUE)*(F197-Calc!F22)))/150)*(1-B210/150)))/100</f>
        <v/>
      </c>
    </row>
    <row r="212">
      <c r="A212" t="inlineStr">
        <is>
          <t>Skill + Buff Cast Rate</t>
        </is>
      </c>
      <c r="B212">
        <f>IF(AND(Inputs!$B$4&lt;&gt;"pvp",Inputs!$B$35&gt;0),SUMPRODUCT((Skills!E2:E31=TRUE)*(C177:C206=TRUE)*R177:R206*Skills!F2:F31)/Inputs!$B$35,SUMPRODUCT((Skills!E2:E31=TRUE)*(C177:C206=TRUE)*Q177:Q206*Skills!F2:F31))</f>
        <v/>
      </c>
    </row>
    <row r="213">
      <c r="A213" t="inlineStr">
        <is>
          <t>Showdown Casts Per Second</t>
        </is>
      </c>
      <c r="B213">
        <f>MAX(0,B211-B212)</f>
        <v/>
      </c>
    </row>
    <row r="214">
      <c r="A214" t="inlineStr">
        <is>
          <t>Average Buff Multiplier</t>
        </is>
      </c>
      <c r="B214">
        <f>(1+(((C196=TRUE)*F196*IF(AND(Inputs!$B$4&lt;&gt;"pvp",Inputs!$B$35&gt;0),(((S196-1)*(Skills!Y21*(1+Inputs!$B$33/100))+MIN((Skills!Y21*(1+Inputs!$B$33/100)),MAX(0,Inputs!$B$35-((S196-1)*Skills!D21))))/Inputs!$B$35),IF(Inputs!$B$4="pvp",MIN((Skills!Y21*(1+Inputs!$B$33/100)),15)/15,(Skills!Y21*(1+Inputs!$B$33/100))/Skills!D21)))+((C203=TRUE)*(F203-Calc!F28))+((C193=TRUE)*(F193-Calc!F18)))/100)*(1+((C190=TRUE)*F190*IF(AND(Inputs!$B$4&lt;&gt;"pvp",Inputs!$B$35&gt;0),(((S190-1)*(Skills!Y15*(1+Inputs!$B$33/100))+MIN((Skills!Y15*(1+Inputs!$B$33/100)),MAX(0,Inputs!$B$35-((S190-1)*Skills!D15))))/Inputs!$B$35),IF(Inputs!$B$4="pvp",MIN((Skills!Y15*(1+Inputs!$B$33/100)),15)/15,(Skills!Y15*(1+Inputs!$B$33/100))/Skills!D15)))/100)*(1+((C181=TRUE)*F181*B209)/100)</f>
        <v/>
      </c>
    </row>
    <row r="215">
      <c r="A215" t="inlineStr">
        <is>
          <t>Global Crit Rate Bonus %</t>
        </is>
      </c>
      <c r="B215">
        <f>IF(Inputs!$B$3&gt;=47,8,0)+((C195=TRUE)*F195*IF(AND(Inputs!$B$4&lt;&gt;"pvp",Inputs!$B$35&gt;0),(((S195-1)*(Skills!Y20*(1+Inputs!$B$33/100))+MIN((Skills!Y20*(1+Inputs!$B$33/100)),MAX(0,Inputs!$B$35-((S195-1)*Skills!D20))))/Inputs!$B$35),IF(Inputs!$B$4="pvp",MIN((Skills!Y20*(1+Inputs!$B$33/100)),15)/15,(Skills!Y20*(1+Inputs!$B$33/100))/Skills!D20)))</f>
        <v/>
      </c>
    </row>
    <row r="216">
      <c r="A216" t="inlineStr">
        <is>
          <t>Global Monster Damage-Taken Bonus %</t>
        </is>
      </c>
      <c r="B216">
        <f>IF(Inputs!$B$3&gt;=82,15,0)+((C191=TRUE)*F191*IF(AND(Inputs!$B$4&lt;&gt;"pvp",Inputs!$B$35&gt;0),(((S191-1)*(Skills!Y16*(1+Inputs!$B$33/100))+MIN((Skills!Y16*(1+Inputs!$B$33/100)),MAX(0,Inputs!$B$35-((S191-1)*Skills!D16))))/Inputs!$B$35),IF(Inputs!$B$4="pvp",MIN((Skills!Y16*(1+Inputs!$B$33/100)),15)/15,(Skills!Y16*(1+Inputs!$B$33/100))/Skills!D16)))</f>
        <v/>
      </c>
    </row>
    <row r="217">
      <c r="A217" t="inlineStr">
        <is>
          <t>Shadow Partner Average Multiplier</t>
        </is>
      </c>
      <c r="B217">
        <f>1+((C186=TRUE)*F186*I186*Skills!J11/100)/100</f>
        <v/>
      </c>
    </row>
    <row r="218">
      <c r="A218" t="inlineStr">
        <is>
          <t>Global Critical Damage Bonus % (Frailty Curse Mastery Lv.111)</t>
        </is>
      </c>
      <c r="B218">
        <f>IF(Inputs!$B$3&gt;=111,30,0)*IF(AND(Inputs!$B$4&lt;&gt;"pvp",Inputs!$B$35&gt;0),(((S191-1)*(Skills!Y16*(1+Inputs!$B$33/100))+MIN((Skills!Y16*(1+Inputs!$B$33/100)),MAX(0,Inputs!$B$35-((S191-1)*Skills!D16))))/Inputs!$B$35),IF(Inputs!$B$4="pvp",MIN((Skills!Y16*(1+Inputs!$B$33/100)),15)/15,(Skills!Y16*(1+Inputs!$B$33/100))/Skills!D16))</f>
        <v/>
      </c>
    </row>
    <row r="219">
      <c r="A219" s="5" t="inlineStr">
        <is>
          <t>TOTAL DPS</t>
        </is>
      </c>
      <c r="B219" s="5">
        <f>SUM(O177:O206)</f>
        <v/>
      </c>
    </row>
    <row r="222">
      <c r="A222" s="5" t="inlineStr">
        <is>
          <t>Stat: DAMAGE_AMP %</t>
        </is>
      </c>
    </row>
    <row r="223">
      <c r="A223" s="8" t="inlineStr">
        <is>
          <t>Key</t>
        </is>
      </c>
      <c r="B223" s="8" t="inlineStr">
        <is>
          <t>Name</t>
        </is>
      </c>
      <c r="C223" s="8" t="inlineStr">
        <is>
          <t>Unlocked</t>
        </is>
      </c>
      <c r="D223" s="8" t="inlineStr">
        <is>
          <t>InputLevel</t>
        </is>
      </c>
      <c r="E223" s="8" t="inlineStr">
        <is>
          <t>Factor</t>
        </is>
      </c>
      <c r="F223" s="8" t="inlineStr">
        <is>
          <t>CoefficientPercent</t>
        </is>
      </c>
      <c r="G223" s="8" t="inlineStr">
        <is>
          <t>EffectiveHits</t>
        </is>
      </c>
      <c r="H223" s="8" t="inlineStr">
        <is>
          <t>ProcProbability</t>
        </is>
      </c>
      <c r="I223" s="8" t="inlineStr">
        <is>
          <t>MapleHeroMultiplier</t>
        </is>
      </c>
      <c r="J223" s="8" t="inlineStr">
        <is>
          <t>BaseDamage</t>
        </is>
      </c>
      <c r="K223" s="8" t="inlineStr">
        <is>
          <t>BaseHitDamage</t>
        </is>
      </c>
      <c r="L223" s="8" t="inlineStr">
        <is>
          <t>NonCritAvg</t>
        </is>
      </c>
      <c r="M223" s="8" t="inlineStr">
        <is>
          <t>CritAvg</t>
        </is>
      </c>
      <c r="N223" s="8" t="inlineStr">
        <is>
          <t>ExpectedDamage(perHit)</t>
        </is>
      </c>
      <c r="O223" s="8" t="inlineStr">
        <is>
          <t>DPS</t>
        </is>
      </c>
      <c r="P223" s="8" t="inlineStr">
        <is>
          <t>% of Total</t>
        </is>
      </c>
      <c r="Q223" s="8" t="inlineStr">
        <is>
          <t>InvCooldown</t>
        </is>
      </c>
      <c r="R223" s="8" t="inlineStr">
        <is>
          <t>CastsInFight</t>
        </is>
      </c>
      <c r="S223" s="8" t="inlineStr">
        <is>
          <t>HitRate(perSec)</t>
        </is>
      </c>
      <c r="U223" t="inlineStr">
        <is>
          <t>helpers</t>
        </is>
      </c>
    </row>
    <row r="224">
      <c r="A224">
        <f>Skills!A2</f>
        <v/>
      </c>
      <c r="B224">
        <f>Skills!B2</f>
        <v/>
      </c>
      <c r="C224">
        <f>Inputs!$B$3&gt;=100</f>
        <v/>
      </c>
      <c r="D224" t="inlineStr"/>
      <c r="E224" t="inlineStr"/>
      <c r="F224">
        <f>U228+Skills!O2</f>
        <v/>
      </c>
      <c r="G224">
        <f>Calc!G2</f>
        <v/>
      </c>
      <c r="H224">
        <f>Calc!H2</f>
        <v/>
      </c>
      <c r="I224">
        <f>IF(Skills!AA2&lt;&gt;"",1+(Skills!AA2/10)*(U225/1000)/100,1)</f>
        <v/>
      </c>
      <c r="J224">
        <f>(Inputs!$B$5*(1+Inputs!$B$6/100))*(F224/100)</f>
        <v/>
      </c>
      <c r="K224">
        <f>J224*(1+((Inputs!$B$11*(1+Inputs!$B$12/100))*0.01+Inputs!$B$13*0.0025)/100)*(1+Inputs!$B$14/100)*(1+IF(Inputs!$B$4="pvp",0,(1-Summary!$B$55)*(Inputs!$B$19+((C249=TRUE)*(F249-Calc!F27))+Skills!P2+B263)+Summary!$B$55*(Inputs!$B$20+Skills!Q2+B263))/100)*(1+(Inputs!$B$15+1)/100)*(5000/(6000+Inputs!$B$7*(1-Inputs!$B$18/100)))*(1+(Inputs!$B$23+((C252=TRUE)*(F252-Calc!F30)))/100)*(1+Skills!R2/100)*(1+(IF(Skills!A2="SHOWDOWN",Inputs!$B$16+((C245=TRUE)*(F245-Calc!F23)),Inputs!$B$17+((C251=TRUE)*(F251-Calc!F29))))/100)*(((1+(((C243=TRUE)*F243*IF(AND(Inputs!$B$4&lt;&gt;"pvp",Inputs!$B$35&gt;0),(((S243-1)*(Skills!Y21*(1+Inputs!$B$33/100))+MIN((Skills!Y21*(1+Inputs!$B$33/100)),MAX(0,Inputs!$B$35-((S243-1)*Skills!D21))))/Inputs!$B$35),IF(Inputs!$B$4="pvp",MIN((Skills!Y21*(1+Inputs!$B$33/100)),15)/15,(Skills!Y21*(1+Inputs!$B$33/100))/Skills!D21)))+((C250=TRUE)*(F250-Calc!F28))+((C240=TRUE)*(F240-Calc!F18)))/100)*(1+((C237=TRUE)*F237*IF(AND(Inputs!$B$4&lt;&gt;"pvp",Inputs!$B$35&gt;0),(((S237-1)*(Skills!Y15*(1+Inputs!$B$33/100))+MIN((Skills!Y15*(1+Inputs!$B$33/100)),MAX(0,Inputs!$B$35-((S237-1)*Skills!D15))))/Inputs!$B$35),IF(Inputs!$B$4="pvp",MIN((Skills!Y15*(1+Inputs!$B$33/100)),15)/15,(Skills!Y15*(1+Inputs!$B$33/100))/Skills!D15)))/100)*(1+((C228=TRUE)*F228*B256)/100))*B264*I224)</f>
        <v/>
      </c>
      <c r="L224">
        <f>K224*(MIN(Inputs!$B$21+((C246=TRUE)*(F246-Calc!F24)),Inputs!$B$22)/100+Inputs!$B$22/100)/2</f>
        <v/>
      </c>
      <c r="M224">
        <f>L224*(1+(Inputs!$B$9+((C248=TRUE)*(F248-Calc!F26))+B265)/100)</f>
        <v/>
      </c>
      <c r="N224">
        <f>L224*(1-MIN((Inputs!$B$8+((C247=TRUE)*(F247-Calc!F25))+B262),100)/100)+M224*(MIN((Inputs!$B$8+((C247=TRUE)*(F247-Calc!F25))+B262),100)/100)</f>
        <v/>
      </c>
      <c r="O224">
        <f>IF(C224,Skills!G2*N224*B260*IF(Inputs!$B$4="pvp",1,(1-Summary!$B$55)*(1)+Summary!$B$55*(MIN((6+Inputs!$B$32),Inputs!$B$37))),0)</f>
        <v/>
      </c>
      <c r="P224">
        <f>IF(B266=0,0,O224/B266)</f>
        <v/>
      </c>
      <c r="Q224" t="n">
        <v>0</v>
      </c>
      <c r="R224" t="n">
        <v>0</v>
      </c>
      <c r="S224">
        <f>IFERROR(O224/N224,0)</f>
        <v/>
      </c>
      <c r="U224">
        <f>MAX(0,(Inputs!$B$3-100)*3)+Inputs!$B$27+Inputs!$B$28</f>
        <v/>
      </c>
    </row>
    <row r="225">
      <c r="A225">
        <f>Skills!A3</f>
        <v/>
      </c>
      <c r="B225">
        <f>Skills!B3</f>
        <v/>
      </c>
      <c r="C225">
        <f>Inputs!$B$3&gt;=35</f>
        <v/>
      </c>
      <c r="D225">
        <f>IF(Skills!C3=1,60+Inputs!$B$24+Inputs!$B$28,IF(Skills!C3=2,90+Inputs!$B$25+Inputs!$B$28,IF(Skills!C3=3,120+Inputs!$B$26+Inputs!$B$28,MAX(0,(Inputs!$B$3-100)*3)+Inputs!$B$27+Inputs!$B$28)))</f>
        <v/>
      </c>
      <c r="E225">
        <f>INDEX(FactorTable!$B$2:$Y$301, MATCH(ROUND(MIN(300,MAX(1,D225)),0), FactorTable!$A$2:$A$301,0), Skills!M3+1)</f>
        <v/>
      </c>
      <c r="F225">
        <f>IF(Skills!N3=TRUE,(Skills!L3/10)*(E225/1000),Skills!L3/10)+Skills!O3</f>
        <v/>
      </c>
      <c r="G225">
        <f>Calc!G3</f>
        <v/>
      </c>
      <c r="H225">
        <f>Calc!H3</f>
        <v/>
      </c>
      <c r="I225">
        <f>IF(Skills!AA3&lt;&gt;"",1+(Skills!AA3/10)*(U225/1000)/100,1)</f>
        <v/>
      </c>
      <c r="J225">
        <f>(Inputs!$B$5*(1+Inputs!$B$6/100))*(F225/100)</f>
        <v/>
      </c>
      <c r="K225">
        <f>J225*(1+((Inputs!$B$11*(1+Inputs!$B$12/100))*0.01+Inputs!$B$13*0.0025)/100)*(1+Inputs!$B$14/100)*(1+IF(Inputs!$B$4="pvp",0,(1-Summary!$B$55)*(Inputs!$B$19+((C249=TRUE)*(F249-Calc!F27))+Skills!P3+B263)+Summary!$B$55*(Inputs!$B$20+Skills!Q3+B263))/100)*(1+(Inputs!$B$15+1)/100)*(5000/(6000+Inputs!$B$7*(1-Inputs!$B$18/100)))*(1+(Inputs!$B$23+((C252=TRUE)*(F252-Calc!F30)))/100)*(1+Skills!R3/100)*(1+(IF(Skills!A3="SHOWDOWN",Inputs!$B$16+((C245=TRUE)*(F245-Calc!F23)),Inputs!$B$17+((C251=TRUE)*(F251-Calc!F29))))/100)*(((1+(((C243=TRUE)*F243*IF(AND(Inputs!$B$4&lt;&gt;"pvp",Inputs!$B$35&gt;0),(((S243-1)*(Skills!Y21*(1+Inputs!$B$33/100))+MIN((Skills!Y21*(1+Inputs!$B$33/100)),MAX(0,Inputs!$B$35-((S243-1)*Skills!D21))))/Inputs!$B$35),IF(Inputs!$B$4="pvp",MIN((Skills!Y21*(1+Inputs!$B$33/100)),15)/15,(Skills!Y21*(1+Inputs!$B$33/100))/Skills!D21)))+((C250=TRUE)*(F250-Calc!F28))+((C240=TRUE)*(F240-Calc!F18)))/100)*(1+((C237=TRUE)*F237*IF(AND(Inputs!$B$4&lt;&gt;"pvp",Inputs!$B$35&gt;0),(((S237-1)*(Skills!Y15*(1+Inputs!$B$33/100))+MIN((Skills!Y15*(1+Inputs!$B$33/100)),MAX(0,Inputs!$B$35-((S237-1)*Skills!D15))))/Inputs!$B$35),IF(Inputs!$B$4="pvp",MIN((Skills!Y15*(1+Inputs!$B$33/100)),15)/15,(Skills!Y15*(1+Inputs!$B$33/100))/Skills!D15)))/100)*(1+((C228=TRUE)*F228*B256)/100))*B264*I225)</f>
        <v/>
      </c>
      <c r="L225">
        <f>K225*(MIN(Inputs!$B$21+((C246=TRUE)*(F246-Calc!F24)),Inputs!$B$22)/100+Inputs!$B$22/100)/2</f>
        <v/>
      </c>
      <c r="M225">
        <f>L225*(1+(Inputs!$B$9+((C248=TRUE)*(F248-Calc!F26))+B265)/100)</f>
        <v/>
      </c>
      <c r="N225">
        <f>L225*(1-MIN((Inputs!$B$8+((C247=TRUE)*(F247-Calc!F25))+B262),100)/100)+M225*(MIN((Inputs!$B$8+((C247=TRUE)*(F247-Calc!F25))+B262),100)/100)</f>
        <v/>
      </c>
      <c r="O225">
        <f>IF(C225,H225*N225*IF(AND(Inputs!$B$4&lt;&gt;"pvp",Inputs!$B$35&gt;0),((Skills!G3*((R225-1)*IF(Skills!H3&gt;0,Skills!I3/Skills!H3,1)+IF(Skills!H3&gt;0,MIN(Skills!I3,MAX(0,Inputs!$B$35-((R225-1)*IF(Inputs!$B$4="pvp",15,MAX(0.1,Skills!D3-IF(Skills!E3=TRUE,Inputs!$B$31,0))))))/Skills!H3,1)))/Inputs!$B$35),G225*Q225)*IF(Inputs!$B$4="pvp",1,(1-Summary!$B$55)*(1)+Summary!$B$55*(MIN(Skills!W3,Inputs!$B$37))),0)</f>
        <v/>
      </c>
      <c r="P225">
        <f>IF(B266=0,0,O225/B266)</f>
        <v/>
      </c>
      <c r="Q225">
        <f>IFERROR(1/IF(Inputs!$B$4="pvp",15,MAX(0.1,Skills!D3-IF(Skills!E3=TRUE,Inputs!$B$31,0))),0)</f>
        <v/>
      </c>
      <c r="R225">
        <f>IF(AND(Inputs!$B$4&lt;&gt;"pvp",Inputs!$B$35&gt;0),(INT(Inputs!$B$35/IF(Inputs!$B$4="pvp",15,MAX(0.1,Skills!D3-IF(Skills!E3=TRUE,Inputs!$B$31,0))))+1),0)</f>
        <v/>
      </c>
      <c r="S225">
        <f>IFERROR(O225/N225,0)</f>
        <v/>
      </c>
      <c r="U225">
        <f>INDEX(FactorTable!$B$2:$Y$301, MATCH(ROUND(MIN(300,MAX(1,U224)),0), FactorTable!$A$2:$A$301,0), 24)</f>
        <v/>
      </c>
    </row>
    <row r="226">
      <c r="A226">
        <f>Skills!A4</f>
        <v/>
      </c>
      <c r="B226">
        <f>Skills!B4</f>
        <v/>
      </c>
      <c r="C226">
        <f>Inputs!$B$3&gt;=40</f>
        <v/>
      </c>
      <c r="D226">
        <f>IF(Skills!C4=1,60+Inputs!$B$24+Inputs!$B$28,IF(Skills!C4=2,90+Inputs!$B$25+Inputs!$B$28,IF(Skills!C4=3,120+Inputs!$B$26+Inputs!$B$28,MAX(0,(Inputs!$B$3-100)*3)+Inputs!$B$27+Inputs!$B$28)))</f>
        <v/>
      </c>
      <c r="E226">
        <f>INDEX(FactorTable!$B$2:$Y$301, MATCH(ROUND(MIN(300,MAX(1,D226)),0), FactorTable!$A$2:$A$301,0), Skills!M4+1)</f>
        <v/>
      </c>
      <c r="F226">
        <f>IF(Skills!N4=TRUE,(Skills!L4/10)*(E226/1000),Skills!L4/10)+Skills!O4</f>
        <v/>
      </c>
      <c r="G226">
        <f>Calc!G4</f>
        <v/>
      </c>
      <c r="H226">
        <f>Calc!H4</f>
        <v/>
      </c>
      <c r="I226">
        <f>IF(Skills!AA4&lt;&gt;"",1+(Skills!AA4/10)*(U225/1000)/100,1)</f>
        <v/>
      </c>
      <c r="J226">
        <f>(Inputs!$B$5*(1+Inputs!$B$6/100))*(F226/100)</f>
        <v/>
      </c>
      <c r="K226">
        <f>J226*(1+((Inputs!$B$11*(1+Inputs!$B$12/100))*0.01+Inputs!$B$13*0.0025)/100)*(1+Inputs!$B$14/100)*(1+IF(Inputs!$B$4="pvp",0,(1-Summary!$B$55)*(Inputs!$B$19+((C249=TRUE)*(F249-Calc!F27))+Skills!P4+B263)+Summary!$B$55*(Inputs!$B$20+Skills!Q4+B263))/100)*(1+(Inputs!$B$15+1)/100)*(5000/(6000+Inputs!$B$7*(1-Inputs!$B$18/100)))*(1+(Inputs!$B$23+((C252=TRUE)*(F252-Calc!F30)))/100)*(1+Skills!R4/100)*(1+(IF(Skills!A4="SHOWDOWN",Inputs!$B$16+((C245=TRUE)*(F245-Calc!F23)),Inputs!$B$17+((C251=TRUE)*(F251-Calc!F29))))/100)*(((1+(((C243=TRUE)*F243*IF(AND(Inputs!$B$4&lt;&gt;"pvp",Inputs!$B$35&gt;0),(((S243-1)*(Skills!Y21*(1+Inputs!$B$33/100))+MIN((Skills!Y21*(1+Inputs!$B$33/100)),MAX(0,Inputs!$B$35-((S243-1)*Skills!D21))))/Inputs!$B$35),IF(Inputs!$B$4="pvp",MIN((Skills!Y21*(1+Inputs!$B$33/100)),15)/15,(Skills!Y21*(1+Inputs!$B$33/100))/Skills!D21)))+((C250=TRUE)*(F250-Calc!F28))+((C240=TRUE)*(F240-Calc!F18)))/100)*(1+((C237=TRUE)*F237*IF(AND(Inputs!$B$4&lt;&gt;"pvp",Inputs!$B$35&gt;0),(((S237-1)*(Skills!Y15*(1+Inputs!$B$33/100))+MIN((Skills!Y15*(1+Inputs!$B$33/100)),MAX(0,Inputs!$B$35-((S237-1)*Skills!D15))))/Inputs!$B$35),IF(Inputs!$B$4="pvp",MIN((Skills!Y15*(1+Inputs!$B$33/100)),15)/15,(Skills!Y15*(1+Inputs!$B$33/100))/Skills!D15)))/100)*(1+((C228=TRUE)*F228*B256)/100))*B264*I226)</f>
        <v/>
      </c>
      <c r="L226">
        <f>K226*(MIN(Inputs!$B$21+((C246=TRUE)*(F246-Calc!F24)),Inputs!$B$22)/100+Inputs!$B$22/100)/2</f>
        <v/>
      </c>
      <c r="M226">
        <f>L226*(1+(Inputs!$B$9+((C248=TRUE)*(F248-Calc!F26))+B265)/100)</f>
        <v/>
      </c>
      <c r="N226">
        <f>L226*(1-MIN((Inputs!$B$8+((C247=TRUE)*(F247-Calc!F25))+B262),100)/100)+M226*(MIN((Inputs!$B$8+((C247=TRUE)*(F247-Calc!F25))+B262),100)/100)</f>
        <v/>
      </c>
      <c r="O226">
        <f>IF(C226,H226*N226*IF(AND(Inputs!$B$4&lt;&gt;"pvp",Inputs!$B$35&gt;0),((Skills!G4*((R226-1)*IF(Skills!H4&gt;0,Skills!I4/Skills!H4,1)+IF(Skills!H4&gt;0,MIN(Skills!I4,MAX(0,Inputs!$B$35-((R226-1)*IF(Inputs!$B$4="pvp",15,MAX(0.1,Skills!D4-IF(Skills!E4=TRUE,Inputs!$B$31,0))))))/Skills!H4,1)))/Inputs!$B$35),G226*Q226)*IF(Inputs!$B$4="pvp",1,(1-Summary!$B$55)*(1)+Summary!$B$55*(MIN(Skills!W4,Inputs!$B$37))),0)</f>
        <v/>
      </c>
      <c r="P226">
        <f>IF(B266=0,0,O226/B266)</f>
        <v/>
      </c>
      <c r="Q226">
        <f>IFERROR(1/IF(Inputs!$B$4="pvp",15,MAX(0.1,Skills!D4-IF(Skills!E4=TRUE,Inputs!$B$31,0))),0)</f>
        <v/>
      </c>
      <c r="R226">
        <f>IF(AND(Inputs!$B$4&lt;&gt;"pvp",Inputs!$B$35&gt;0),(INT(Inputs!$B$35/IF(Inputs!$B$4="pvp",15,MAX(0.1,Skills!D4-IF(Skills!E4=TRUE,Inputs!$B$31,0))))+1),0)</f>
        <v/>
      </c>
      <c r="S226">
        <f>IFERROR(O226/N226,0)</f>
        <v/>
      </c>
      <c r="U226">
        <f>MAX(0,(Inputs!$B$3-100)*3)+Inputs!$B$27+Inputs!$B$28</f>
        <v/>
      </c>
    </row>
    <row r="227">
      <c r="A227">
        <f>Skills!A5</f>
        <v/>
      </c>
      <c r="B227">
        <f>Skills!B5</f>
        <v/>
      </c>
      <c r="C227">
        <f>Inputs!$B$3&gt;=63</f>
        <v/>
      </c>
      <c r="D227">
        <f>IF(Skills!C5=1,60+Inputs!$B$24+Inputs!$B$28,IF(Skills!C5=2,90+Inputs!$B$25+Inputs!$B$28,IF(Skills!C5=3,120+Inputs!$B$26+Inputs!$B$28,MAX(0,(Inputs!$B$3-100)*3)+Inputs!$B$27+Inputs!$B$28)))</f>
        <v/>
      </c>
      <c r="E227">
        <f>INDEX(FactorTable!$B$2:$Y$301, MATCH(ROUND(MIN(300,MAX(1,D227)),0), FactorTable!$A$2:$A$301,0), Skills!M5+1)</f>
        <v/>
      </c>
      <c r="F227">
        <f>IF(Skills!N5=TRUE,(Skills!L5/10)*(E227/1000),Skills!L5/10)+Skills!O5</f>
        <v/>
      </c>
      <c r="G227">
        <f>Calc!G5</f>
        <v/>
      </c>
      <c r="H227">
        <f>Calc!H5</f>
        <v/>
      </c>
      <c r="I227">
        <f>IF(Skills!AA5&lt;&gt;"",1+(Skills!AA5/10)*(U225/1000)/100,1)</f>
        <v/>
      </c>
      <c r="J227">
        <f>(Inputs!$B$5*(1+Inputs!$B$6/100))*(F227/100)</f>
        <v/>
      </c>
      <c r="K227">
        <f>J227*(1+((Inputs!$B$11*(1+Inputs!$B$12/100))*0.01+Inputs!$B$13*0.0025)/100)*(1+Inputs!$B$14/100)*(1+IF(Inputs!$B$4="pvp",0,(1-Summary!$B$55)*(Inputs!$B$19+((C249=TRUE)*(F249-Calc!F27))+Skills!P5+B263)+Summary!$B$55*(Inputs!$B$20+Skills!Q5+B263))/100)*(1+(Inputs!$B$15+1)/100)*(5000/(6000+Inputs!$B$7*(1-Inputs!$B$18/100)))*(1+(Inputs!$B$23+((C252=TRUE)*(F252-Calc!F30)))/100)*(1+Skills!R5/100)*(1+(IF(Skills!A5="SHOWDOWN",Inputs!$B$16+((C245=TRUE)*(F245-Calc!F23)),Inputs!$B$17+((C251=TRUE)*(F251-Calc!F29))))/100)*(((1+(((C243=TRUE)*F243*IF(AND(Inputs!$B$4&lt;&gt;"pvp",Inputs!$B$35&gt;0),(((S243-1)*(Skills!Y21*(1+Inputs!$B$33/100))+MIN((Skills!Y21*(1+Inputs!$B$33/100)),MAX(0,Inputs!$B$35-((S243-1)*Skills!D21))))/Inputs!$B$35),IF(Inputs!$B$4="pvp",MIN((Skills!Y21*(1+Inputs!$B$33/100)),15)/15,(Skills!Y21*(1+Inputs!$B$33/100))/Skills!D21)))+((C250=TRUE)*(F250-Calc!F28))+((C240=TRUE)*(F240-Calc!F18)))/100)*(1+((C237=TRUE)*F237*IF(AND(Inputs!$B$4&lt;&gt;"pvp",Inputs!$B$35&gt;0),(((S237-1)*(Skills!Y15*(1+Inputs!$B$33/100))+MIN((Skills!Y15*(1+Inputs!$B$33/100)),MAX(0,Inputs!$B$35-((S237-1)*Skills!D15))))/Inputs!$B$35),IF(Inputs!$B$4="pvp",MIN((Skills!Y15*(1+Inputs!$B$33/100)),15)/15,(Skills!Y15*(1+Inputs!$B$33/100))/Skills!D15)))/100)*(1+((C228=TRUE)*F228*B256)/100))*B264*I227)</f>
        <v/>
      </c>
      <c r="L227">
        <f>K227*(MIN(Inputs!$B$21+((C246=TRUE)*(F246-Calc!F24)),Inputs!$B$22)/100+Inputs!$B$22/100)/2</f>
        <v/>
      </c>
      <c r="M227">
        <f>L227*(1+(Inputs!$B$9+((C248=TRUE)*(F248-Calc!F26))+B265)/100)</f>
        <v/>
      </c>
      <c r="N227">
        <f>L227*(1-MIN((Inputs!$B$8+((C247=TRUE)*(F247-Calc!F25))+B262),100)/100)+M227*(MIN((Inputs!$B$8+((C247=TRUE)*(F247-Calc!F25))+B262),100)/100)</f>
        <v/>
      </c>
      <c r="O227">
        <f>IF(C227,H227*N227*IF(AND(Inputs!$B$4&lt;&gt;"pvp",Inputs!$B$35&gt;0),((Skills!G5*((R227-1)*IF(Skills!H5&gt;0,Skills!I5/Skills!H5,1)+IF(Skills!H5&gt;0,MIN(Skills!I5,MAX(0,Inputs!$B$35-((R227-1)*IF(Inputs!$B$4="pvp",15,MAX(0.1,Skills!D5-IF(Skills!E5=TRUE,Inputs!$B$31,0))))))/Skills!H5,1)))/Inputs!$B$35),G227*Q227)*IF(Inputs!$B$4="pvp",1,(1-Summary!$B$55)*(1)+Summary!$B$55*(MIN(Skills!W5,Inputs!$B$37))),0)</f>
        <v/>
      </c>
      <c r="P227">
        <f>IF(B266=0,0,O227/B266)</f>
        <v/>
      </c>
      <c r="Q227">
        <f>IFERROR(1/IF(Inputs!$B$4="pvp",15,MAX(0.1,Skills!D5-IF(Skills!E5=TRUE,Inputs!$B$31,0))),0)</f>
        <v/>
      </c>
      <c r="R227">
        <f>IF(AND(Inputs!$B$4&lt;&gt;"pvp",Inputs!$B$35&gt;0),(INT(Inputs!$B$35/IF(Inputs!$B$4="pvp",15,MAX(0.1,Skills!D5-IF(Skills!E5=TRUE,Inputs!$B$31,0))))+1),0)</f>
        <v/>
      </c>
      <c r="S227">
        <f>IFERROR(O227/N227,0)</f>
        <v/>
      </c>
      <c r="U227">
        <f>INDEX(FactorTable!$B$2:$Y$301, MATCH(ROUND(MIN(300,MAX(1,U226)),0), FactorTable!$A$2:$A$301,0), 22)</f>
        <v/>
      </c>
    </row>
    <row r="228">
      <c r="A228">
        <f>Skills!A6</f>
        <v/>
      </c>
      <c r="B228">
        <f>Skills!B6</f>
        <v/>
      </c>
      <c r="C228">
        <f>Inputs!$B$3&gt;=66</f>
        <v/>
      </c>
      <c r="D228">
        <f>IF(Skills!C6=1,60+Inputs!$B$24+Inputs!$B$28,IF(Skills!C6=2,90+Inputs!$B$25+Inputs!$B$28,IF(Skills!C6=3,120+Inputs!$B$26+Inputs!$B$28,MAX(0,(Inputs!$B$3-100)*3)+Inputs!$B$27+Inputs!$B$28)))</f>
        <v/>
      </c>
      <c r="E228">
        <f>INDEX(FactorTable!$B$2:$Y$301, MATCH(ROUND(MIN(300,MAX(1,D228)),0), FactorTable!$A$2:$A$301,0), Skills!M6+1)</f>
        <v/>
      </c>
      <c r="F228">
        <f>IF(Skills!N6=TRUE,(Skills!L6/10)*(E228/1000),Skills!L6/10)+Skills!O6</f>
        <v/>
      </c>
      <c r="G228">
        <f>Calc!G6</f>
        <v/>
      </c>
      <c r="H228">
        <f>Calc!H6</f>
        <v/>
      </c>
      <c r="I228">
        <f>IF(Skills!AA6&lt;&gt;"",1+(Skills!AA6/10)*(U225/1000)/100,1)</f>
        <v/>
      </c>
      <c r="J228" t="inlineStr"/>
      <c r="K228" t="inlineStr"/>
      <c r="L228" t="inlineStr"/>
      <c r="M228" t="inlineStr"/>
      <c r="N228" t="inlineStr"/>
      <c r="O228" t="n">
        <v>0</v>
      </c>
      <c r="P228">
        <f>IF(B266=0,0,O228/B266)</f>
        <v/>
      </c>
      <c r="Q228" t="n">
        <v>0</v>
      </c>
      <c r="R228" t="n">
        <v>0</v>
      </c>
      <c r="S228">
        <f>IFERROR(O228/N228,0)</f>
        <v/>
      </c>
      <c r="U228">
        <f>290*U227/1000</f>
        <v/>
      </c>
    </row>
    <row r="229">
      <c r="A229">
        <f>Skills!A7</f>
        <v/>
      </c>
      <c r="B229">
        <f>Skills!B7</f>
        <v/>
      </c>
      <c r="C229">
        <f>Inputs!$B$3&gt;=66</f>
        <v/>
      </c>
      <c r="D229">
        <f>IF(Skills!C7=1,60+Inputs!$B$24+Inputs!$B$28,IF(Skills!C7=2,90+Inputs!$B$25+Inputs!$B$28,IF(Skills!C7=3,120+Inputs!$B$26+Inputs!$B$28,MAX(0,(Inputs!$B$3-100)*3)+Inputs!$B$27+Inputs!$B$28)))</f>
        <v/>
      </c>
      <c r="E229">
        <f>INDEX(FactorTable!$B$2:$Y$301, MATCH(ROUND(MIN(300,MAX(1,D229)),0), FactorTable!$A$2:$A$301,0), Skills!M7+1)</f>
        <v/>
      </c>
      <c r="F229">
        <f>IF(Skills!N7=TRUE,(Skills!L7/10)*(E229/1000),Skills!L7/10)+Skills!O7</f>
        <v/>
      </c>
      <c r="G229">
        <f>Calc!G7</f>
        <v/>
      </c>
      <c r="H229">
        <f>Calc!H7</f>
        <v/>
      </c>
      <c r="I229">
        <f>IF(Skills!AA7&lt;&gt;"",1+(Skills!AA7/10)*(U225/1000)/100,1)</f>
        <v/>
      </c>
      <c r="J229" t="inlineStr"/>
      <c r="K229" t="inlineStr"/>
      <c r="L229" t="inlineStr"/>
      <c r="M229" t="inlineStr"/>
      <c r="N229" t="inlineStr"/>
      <c r="O229" t="n">
        <v>0</v>
      </c>
      <c r="P229">
        <f>IF(B266=0,0,O229/B266)</f>
        <v/>
      </c>
      <c r="Q229" t="n">
        <v>0</v>
      </c>
      <c r="R229" t="n">
        <v>0</v>
      </c>
      <c r="S229">
        <f>IFERROR(O229/N229,0)</f>
        <v/>
      </c>
    </row>
    <row r="230">
      <c r="A230">
        <f>Skills!A8</f>
        <v/>
      </c>
      <c r="B230">
        <f>Skills!B8</f>
        <v/>
      </c>
      <c r="C230">
        <f>Inputs!$B$3&gt;=69</f>
        <v/>
      </c>
      <c r="D230">
        <f>IF(Skills!C8=1,60+Inputs!$B$24+Inputs!$B$28,IF(Skills!C8=2,90+Inputs!$B$25+Inputs!$B$28,IF(Skills!C8=3,120+Inputs!$B$26+Inputs!$B$28,MAX(0,(Inputs!$B$3-100)*3)+Inputs!$B$27+Inputs!$B$28)))</f>
        <v/>
      </c>
      <c r="E230">
        <f>INDEX(FactorTable!$B$2:$Y$301, MATCH(ROUND(MIN(300,MAX(1,D230)),0), FactorTable!$A$2:$A$301,0), Skills!M8+1)</f>
        <v/>
      </c>
      <c r="F230">
        <f>IF(Skills!N8=TRUE,(Skills!L8/10)*(E230/1000),Skills!L8/10)+Skills!O8</f>
        <v/>
      </c>
      <c r="G230">
        <f>Calc!G8</f>
        <v/>
      </c>
      <c r="H230">
        <f>Calc!H8</f>
        <v/>
      </c>
      <c r="I230">
        <f>IF(Skills!AA8&lt;&gt;"",1+(Skills!AA8/10)*(U225/1000)/100,1)</f>
        <v/>
      </c>
      <c r="J230">
        <f>(Inputs!$B$5*(1+Inputs!$B$6/100))*(F230/100)</f>
        <v/>
      </c>
      <c r="K230">
        <f>J230*(1+((Inputs!$B$11*(1+Inputs!$B$12/100))*0.01+Inputs!$B$13*0.0025)/100)*(1+Inputs!$B$14/100)*(1+IF(Inputs!$B$4="pvp",0,(1-Summary!$B$55)*(Inputs!$B$19+((C249=TRUE)*(F249-Calc!F27))+Skills!P8+B263)+Summary!$B$55*(Inputs!$B$20+Skills!Q8+B263))/100)*(1+(Inputs!$B$15+1)/100)*(5000/(6000+Inputs!$B$7*(1-Inputs!$B$18/100)))*(1+(Inputs!$B$23+((C252=TRUE)*(F252-Calc!F30)))/100)*(1+Skills!R8/100)*(1+(IF(Skills!A8="SHOWDOWN",Inputs!$B$16+((C245=TRUE)*(F245-Calc!F23)),Inputs!$B$17+((C251=TRUE)*(F251-Calc!F29))))/100)*(((1+(((C243=TRUE)*F243*IF(AND(Inputs!$B$4&lt;&gt;"pvp",Inputs!$B$35&gt;0),(((S243-1)*(Skills!Y21*(1+Inputs!$B$33/100))+MIN((Skills!Y21*(1+Inputs!$B$33/100)),MAX(0,Inputs!$B$35-((S243-1)*Skills!D21))))/Inputs!$B$35),IF(Inputs!$B$4="pvp",MIN((Skills!Y21*(1+Inputs!$B$33/100)),15)/15,(Skills!Y21*(1+Inputs!$B$33/100))/Skills!D21)))+((C250=TRUE)*(F250-Calc!F28))+((C240=TRUE)*(F240-Calc!F18)))/100)*(1+((C237=TRUE)*F237*IF(AND(Inputs!$B$4&lt;&gt;"pvp",Inputs!$B$35&gt;0),(((S237-1)*(Skills!Y15*(1+Inputs!$B$33/100))+MIN((Skills!Y15*(1+Inputs!$B$33/100)),MAX(0,Inputs!$B$35-((S237-1)*Skills!D15))))/Inputs!$B$35),IF(Inputs!$B$4="pvp",MIN((Skills!Y15*(1+Inputs!$B$33/100)),15)/15,(Skills!Y15*(1+Inputs!$B$33/100))/Skills!D15)))/100)*(1+((C228=TRUE)*F228*B256)/100))*B264*I230)</f>
        <v/>
      </c>
      <c r="L230">
        <f>K230*(MIN(Inputs!$B$21+((C246=TRUE)*(F246-Calc!F24)),Inputs!$B$22)/100+Inputs!$B$22/100)/2</f>
        <v/>
      </c>
      <c r="M230">
        <f>L230*(1+(Inputs!$B$9+((C248=TRUE)*(F248-Calc!F26))+B265)/100)</f>
        <v/>
      </c>
      <c r="N230">
        <f>L230*(1-MIN((Inputs!$B$8+((C247=TRUE)*(F247-Calc!F25))+B262),100)/100)+M230*(MIN((Inputs!$B$8+((C247=TRUE)*(F247-Calc!F25))+B262),100)/100)</f>
        <v/>
      </c>
      <c r="O230">
        <f>IF(C230,H230*N230*IF(AND(Inputs!$B$4&lt;&gt;"pvp",Inputs!$B$35&gt;0),((Skills!G8*((R230-1)*IF(Skills!H8&gt;0,Skills!I8/Skills!H8,1)+IF(Skills!H8&gt;0,MIN(Skills!I8,MAX(0,Inputs!$B$35-((R230-1)*IF(Inputs!$B$4="pvp",15,MAX(0.1,Skills!D8-IF(Skills!E8=TRUE,Inputs!$B$31,0))))))/Skills!H8,1)))/Inputs!$B$35),G230*Q230)*IF(Inputs!$B$4="pvp",1,(1-Summary!$B$55)*(1)+Summary!$B$55*(MIN(Skills!W8,Inputs!$B$37))),0)</f>
        <v/>
      </c>
      <c r="P230">
        <f>IF(B266=0,0,O230/B266)</f>
        <v/>
      </c>
      <c r="Q230">
        <f>IFERROR(1/IF(Inputs!$B$4="pvp",15,MAX(0.1,Skills!D8-IF(Skills!E8=TRUE,Inputs!$B$31,0))),0)</f>
        <v/>
      </c>
      <c r="R230">
        <f>IF(AND(Inputs!$B$4&lt;&gt;"pvp",Inputs!$B$35&gt;0),(INT(Inputs!$B$35/IF(Inputs!$B$4="pvp",15,MAX(0.1,Skills!D8-IF(Skills!E8=TRUE,Inputs!$B$31,0))))+1),0)</f>
        <v/>
      </c>
      <c r="S230">
        <f>IFERROR(O230/N230,0)</f>
        <v/>
      </c>
    </row>
    <row r="231">
      <c r="A231">
        <f>Skills!A9</f>
        <v/>
      </c>
      <c r="B231">
        <f>Skills!B9</f>
        <v/>
      </c>
      <c r="C231">
        <f>Inputs!$B$3&gt;=72</f>
        <v/>
      </c>
      <c r="D231">
        <f>IF(Skills!C9=1,60+Inputs!$B$24+Inputs!$B$28,IF(Skills!C9=2,90+Inputs!$B$25+Inputs!$B$28,IF(Skills!C9=3,120+Inputs!$B$26+Inputs!$B$28,MAX(0,(Inputs!$B$3-100)*3)+Inputs!$B$27+Inputs!$B$28)))</f>
        <v/>
      </c>
      <c r="E231">
        <f>INDEX(FactorTable!$B$2:$Y$301, MATCH(ROUND(MIN(300,MAX(1,D231)),0), FactorTable!$A$2:$A$301,0), Skills!M9+1)</f>
        <v/>
      </c>
      <c r="F231">
        <f>IF(Skills!N9=TRUE,(Skills!L9/10)*(E231/1000),Skills!L9/10)+Skills!O9</f>
        <v/>
      </c>
      <c r="G231">
        <f>Calc!G9</f>
        <v/>
      </c>
      <c r="H231">
        <f>Calc!H9</f>
        <v/>
      </c>
      <c r="I231">
        <f>IF(Skills!AA9&lt;&gt;"",1+(Skills!AA9/10)*(U225/1000)/100,1)</f>
        <v/>
      </c>
      <c r="J231">
        <f>(Inputs!$B$5*(1+Inputs!$B$6/100))*(F231/100)</f>
        <v/>
      </c>
      <c r="K231">
        <f>J231*(1+((Inputs!$B$11*(1+Inputs!$B$12/100))*0.01+Inputs!$B$13*0.0025)/100)*(1+Inputs!$B$14/100)*(1+IF(Inputs!$B$4="pvp",0,(1-Summary!$B$55)*(Inputs!$B$19+((C249=TRUE)*(F249-Calc!F27))+Skills!P9+B263)+Summary!$B$55*(Inputs!$B$20+Skills!Q9+B263))/100)*(1+(Inputs!$B$15+1)/100)*(5000/(6000+Inputs!$B$7*(1-Inputs!$B$18/100)))*(1+(Inputs!$B$23+((C252=TRUE)*(F252-Calc!F30)))/100)*(1+Skills!R9/100)*(1+(IF(Skills!A9="SHOWDOWN",Inputs!$B$16+((C245=TRUE)*(F245-Calc!F23)),Inputs!$B$17+((C251=TRUE)*(F251-Calc!F29))))/100)*(((1+(((C243=TRUE)*F243*IF(AND(Inputs!$B$4&lt;&gt;"pvp",Inputs!$B$35&gt;0),(((S243-1)*(Skills!Y21*(1+Inputs!$B$33/100))+MIN((Skills!Y21*(1+Inputs!$B$33/100)),MAX(0,Inputs!$B$35-((S243-1)*Skills!D21))))/Inputs!$B$35),IF(Inputs!$B$4="pvp",MIN((Skills!Y21*(1+Inputs!$B$33/100)),15)/15,(Skills!Y21*(1+Inputs!$B$33/100))/Skills!D21)))+((C250=TRUE)*(F250-Calc!F28))+((C240=TRUE)*(F240-Calc!F18)))/100)*(1+((C237=TRUE)*F237*IF(AND(Inputs!$B$4&lt;&gt;"pvp",Inputs!$B$35&gt;0),(((S237-1)*(Skills!Y15*(1+Inputs!$B$33/100))+MIN((Skills!Y15*(1+Inputs!$B$33/100)),MAX(0,Inputs!$B$35-((S237-1)*Skills!D15))))/Inputs!$B$35),IF(Inputs!$B$4="pvp",MIN((Skills!Y15*(1+Inputs!$B$33/100)),15)/15,(Skills!Y15*(1+Inputs!$B$33/100))/Skills!D15)))/100)*(1+((C228=TRUE)*F228*B256)/100))*B264*I231)</f>
        <v/>
      </c>
      <c r="L231">
        <f>K231*(MIN(Inputs!$B$21+((C246=TRUE)*(F246-Calc!F24)),Inputs!$B$22)/100+Inputs!$B$22/100)/2</f>
        <v/>
      </c>
      <c r="M231">
        <f>L231*(1+(Inputs!$B$9+((C248=TRUE)*(F248-Calc!F26))+B265)/100)</f>
        <v/>
      </c>
      <c r="N231">
        <f>L231*(1-MIN((Inputs!$B$8+((C247=TRUE)*(F247-Calc!F25))+B262),100)/100)+M231*(MIN((Inputs!$B$8+((C247=TRUE)*(F247-Calc!F25))+B262),100)/100)</f>
        <v/>
      </c>
      <c r="O231">
        <f>IF(C231,H231*N231*IF(AND(Inputs!$B$4&lt;&gt;"pvp",Inputs!$B$35&gt;0),((Skills!G9*((R231-1)*IF(Skills!H9&gt;0,Skills!I9/Skills!H9,1)+IF(Skills!H9&gt;0,MIN(Skills!I9,MAX(0,Inputs!$B$35-((R231-1)*IF(Inputs!$B$4="pvp",15,MAX(0.1,Skills!D9-IF(Skills!E9=TRUE,Inputs!$B$31,0))))))/Skills!H9,1)))/Inputs!$B$35),G231*Q231)*IF(Inputs!$B$4="pvp",1,(1-Summary!$B$55)*(1)+Summary!$B$55*(MIN(Skills!W9,Inputs!$B$37))),0)</f>
        <v/>
      </c>
      <c r="P231">
        <f>IF(B266=0,0,O231/B266)</f>
        <v/>
      </c>
      <c r="Q231">
        <f>IFERROR(1/IF(Inputs!$B$4="pvp",15,MAX(0.1,Skills!D9-IF(Skills!E9=TRUE,Inputs!$B$31,0))),0)</f>
        <v/>
      </c>
      <c r="R231">
        <f>IF(AND(Inputs!$B$4&lt;&gt;"pvp",Inputs!$B$35&gt;0),(INT(Inputs!$B$35/IF(Inputs!$B$4="pvp",15,MAX(0.1,Skills!D9-IF(Skills!E9=TRUE,Inputs!$B$31,0))))+1),0)</f>
        <v/>
      </c>
      <c r="S231">
        <f>IFERROR(O231/N231,0)</f>
        <v/>
      </c>
    </row>
    <row r="232">
      <c r="A232">
        <f>Skills!A10</f>
        <v/>
      </c>
      <c r="B232">
        <f>Skills!B10</f>
        <v/>
      </c>
      <c r="C232">
        <f>Inputs!$B$3&gt;=117</f>
        <v/>
      </c>
      <c r="D232">
        <f>IF(Skills!C10=1,60+Inputs!$B$24+Inputs!$B$28,IF(Skills!C10=2,90+Inputs!$B$25+Inputs!$B$28,IF(Skills!C10=3,120+Inputs!$B$26+Inputs!$B$28,MAX(0,(Inputs!$B$3-100)*3)+Inputs!$B$27+Inputs!$B$28)))</f>
        <v/>
      </c>
      <c r="E232">
        <f>INDEX(FactorTable!$B$2:$Y$301, MATCH(ROUND(MIN(300,MAX(1,D232)),0), FactorTable!$A$2:$A$301,0), Skills!M10+1)</f>
        <v/>
      </c>
      <c r="F232">
        <f>IF(Skills!N10=TRUE,(Skills!L10/10)*(E232/1000),Skills!L10/10)+Skills!O10</f>
        <v/>
      </c>
      <c r="G232">
        <f>Calc!G10</f>
        <v/>
      </c>
      <c r="H232">
        <f>Calc!H10</f>
        <v/>
      </c>
      <c r="I232">
        <f>IF(Skills!AA10&lt;&gt;"",1+(Skills!AA10/10)*(U225/1000)/100,1)</f>
        <v/>
      </c>
      <c r="J232">
        <f>(Inputs!$B$5*(1+Inputs!$B$6/100))*(F232/100)</f>
        <v/>
      </c>
      <c r="K232">
        <f>J232*(1+((Inputs!$B$11*(1+Inputs!$B$12/100))*0.01+Inputs!$B$13*0.0025)/100)*(1+Inputs!$B$14/100)*(1+IF(Inputs!$B$4="pvp",0,(1-Summary!$B$55)*(Inputs!$B$19+((C249=TRUE)*(F249-Calc!F27))+Skills!P10+B263)+Summary!$B$55*(Inputs!$B$20+Skills!Q10+B263))/100)*(1+(Inputs!$B$15+1)/100)*(5000/(6000+Inputs!$B$7*(1-Inputs!$B$18/100)))*(1+(Inputs!$B$23+((C252=TRUE)*(F252-Calc!F30)))/100)*(1+Skills!R10/100)*(1+(IF(Skills!A10="SHOWDOWN",Inputs!$B$16+((C245=TRUE)*(F245-Calc!F23)),Inputs!$B$17+((C251=TRUE)*(F251-Calc!F29))))/100)*(((1+(((C243=TRUE)*F243*IF(AND(Inputs!$B$4&lt;&gt;"pvp",Inputs!$B$35&gt;0),(((S243-1)*(Skills!Y21*(1+Inputs!$B$33/100))+MIN((Skills!Y21*(1+Inputs!$B$33/100)),MAX(0,Inputs!$B$35-((S243-1)*Skills!D21))))/Inputs!$B$35),IF(Inputs!$B$4="pvp",MIN((Skills!Y21*(1+Inputs!$B$33/100)),15)/15,(Skills!Y21*(1+Inputs!$B$33/100))/Skills!D21)))+((C250=TRUE)*(F250-Calc!F28))+((C240=TRUE)*(F240-Calc!F18)))/100)*(1+((C237=TRUE)*F237*IF(AND(Inputs!$B$4&lt;&gt;"pvp",Inputs!$B$35&gt;0),(((S237-1)*(Skills!Y15*(1+Inputs!$B$33/100))+MIN((Skills!Y15*(1+Inputs!$B$33/100)),MAX(0,Inputs!$B$35-((S237-1)*Skills!D15))))/Inputs!$B$35),IF(Inputs!$B$4="pvp",MIN((Skills!Y15*(1+Inputs!$B$33/100)),15)/15,(Skills!Y15*(1+Inputs!$B$33/100))/Skills!D15)))/100)*(1+((C228=TRUE)*F228*B256)/100))*B264*I232)</f>
        <v/>
      </c>
      <c r="L232">
        <f>K232*(MIN(Inputs!$B$21+((C246=TRUE)*(F246-Calc!F24)),Inputs!$B$22)/100+Inputs!$B$22/100)/2</f>
        <v/>
      </c>
      <c r="M232">
        <f>L232*(1+(Inputs!$B$9+((C248=TRUE)*(F248-Calc!F26))+B265)/100)</f>
        <v/>
      </c>
      <c r="N232">
        <f>L232*(1-MIN((Inputs!$B$8+((C247=TRUE)*(F247-Calc!F25))+B262),100)/100)+M232*(MIN((Inputs!$B$8+((C247=TRUE)*(F247-Calc!F25))+B262),100)/100)</f>
        <v/>
      </c>
      <c r="O232">
        <f>IF(C232,0.2*SUMPRODUCT((Skills!Z2:Z31=TRUE)*(C224:C253=TRUE)*S224:S253)*N232,0)</f>
        <v/>
      </c>
      <c r="P232">
        <f>IF(B266=0,0,O232/B266)</f>
        <v/>
      </c>
      <c r="Q232" t="n">
        <v>0</v>
      </c>
      <c r="R232" t="n">
        <v>0</v>
      </c>
      <c r="S232" t="n">
        <v>0</v>
      </c>
    </row>
    <row r="233">
      <c r="A233">
        <f>Skills!A11</f>
        <v/>
      </c>
      <c r="B233">
        <f>Skills!B11</f>
        <v/>
      </c>
      <c r="C233">
        <f>Inputs!$B$3&gt;=60</f>
        <v/>
      </c>
      <c r="D233">
        <f>IF(Skills!C11=1,60+Inputs!$B$24+Inputs!$B$28,IF(Skills!C11=2,90+Inputs!$B$25+Inputs!$B$28,IF(Skills!C11=3,120+Inputs!$B$26+Inputs!$B$28,MAX(0,(Inputs!$B$3-100)*3)+Inputs!$B$27+Inputs!$B$28)))</f>
        <v/>
      </c>
      <c r="E233">
        <f>INDEX(FactorTable!$B$2:$Y$301, MATCH(ROUND(MIN(300,MAX(1,D233)),0), FactorTable!$A$2:$A$301,0), Skills!M11+1)</f>
        <v/>
      </c>
      <c r="F233">
        <f>IF(Skills!N11=TRUE,(Skills!L11/10)*(E233/1000),Skills!L11/10)+Skills!O11</f>
        <v/>
      </c>
      <c r="G233">
        <f>Calc!G11</f>
        <v/>
      </c>
      <c r="H233">
        <f>Calc!H11</f>
        <v/>
      </c>
      <c r="I233">
        <f>IF(Skills!AA11&lt;&gt;"",1+(Skills!AA11/10)*(U225/1000)/100,1)</f>
        <v/>
      </c>
      <c r="J233" t="inlineStr"/>
      <c r="K233" t="inlineStr"/>
      <c r="L233" t="inlineStr"/>
      <c r="M233" t="inlineStr"/>
      <c r="N233" t="inlineStr"/>
      <c r="O233" t="n">
        <v>0</v>
      </c>
      <c r="P233">
        <f>IF(B266=0,0,O233/B266)</f>
        <v/>
      </c>
      <c r="Q233" t="n">
        <v>0</v>
      </c>
      <c r="R233" t="n">
        <v>0</v>
      </c>
      <c r="S233">
        <f>IFERROR(O233/N233,0)</f>
        <v/>
      </c>
    </row>
    <row r="234">
      <c r="A234">
        <f>Skills!A12</f>
        <v/>
      </c>
      <c r="B234">
        <f>Skills!B12</f>
        <v/>
      </c>
      <c r="C234">
        <f>Inputs!$B$3&gt;=103</f>
        <v/>
      </c>
      <c r="D234">
        <f>IF(Skills!C12=1,60+Inputs!$B$24+Inputs!$B$28,IF(Skills!C12=2,90+Inputs!$B$25+Inputs!$B$28,IF(Skills!C12=3,120+Inputs!$B$26+Inputs!$B$28,MAX(0,(Inputs!$B$3-100)*3)+Inputs!$B$27+Inputs!$B$28)))</f>
        <v/>
      </c>
      <c r="E234">
        <f>INDEX(FactorTable!$B$2:$Y$301, MATCH(ROUND(MIN(300,MAX(1,D234)),0), FactorTable!$A$2:$A$301,0), Skills!M12+1)</f>
        <v/>
      </c>
      <c r="F234">
        <f>IF(Skills!N12=TRUE,(Skills!L12/10)*(E234/1000),Skills!L12/10)+Skills!O12</f>
        <v/>
      </c>
      <c r="G234">
        <f>Calc!G12</f>
        <v/>
      </c>
      <c r="H234">
        <f>Calc!H12</f>
        <v/>
      </c>
      <c r="I234">
        <f>IF(Skills!AA12&lt;&gt;"",1+(Skills!AA12/10)*(U225/1000)/100,1)</f>
        <v/>
      </c>
      <c r="J234">
        <f>(Inputs!$B$5*(1+Inputs!$B$6/100))*(F234/100)</f>
        <v/>
      </c>
      <c r="K234">
        <f>J234*(1+((Inputs!$B$11*(1+Inputs!$B$12/100))*0.01+Inputs!$B$13*0.0025)/100)*(1+Inputs!$B$14/100)*(1+IF(Inputs!$B$4="pvp",0,(1-Summary!$B$55)*(Inputs!$B$19+((C249=TRUE)*(F249-Calc!F27))+Skills!P12+B263)+Summary!$B$55*(Inputs!$B$20+Skills!Q12+B263))/100)*(1+(Inputs!$B$15+1)/100)*(5000/(6000+Inputs!$B$7*(1-Inputs!$B$18/100)))*(1+(Inputs!$B$23+((C252=TRUE)*(F252-Calc!F30)))/100)*(1+Skills!R12/100)*(1+(IF(Skills!A12="SHOWDOWN",Inputs!$B$16+((C245=TRUE)*(F245-Calc!F23)),Inputs!$B$17+((C251=TRUE)*(F251-Calc!F29))))/100)*(((1+(((C243=TRUE)*F243*IF(AND(Inputs!$B$4&lt;&gt;"pvp",Inputs!$B$35&gt;0),(((S243-1)*(Skills!Y21*(1+Inputs!$B$33/100))+MIN((Skills!Y21*(1+Inputs!$B$33/100)),MAX(0,Inputs!$B$35-((S243-1)*Skills!D21))))/Inputs!$B$35),IF(Inputs!$B$4="pvp",MIN((Skills!Y21*(1+Inputs!$B$33/100)),15)/15,(Skills!Y21*(1+Inputs!$B$33/100))/Skills!D21)))+((C250=TRUE)*(F250-Calc!F28))+((C240=TRUE)*(F240-Calc!F18)))/100)*(1+((C237=TRUE)*F237*IF(AND(Inputs!$B$4&lt;&gt;"pvp",Inputs!$B$35&gt;0),(((S237-1)*(Skills!Y15*(1+Inputs!$B$33/100))+MIN((Skills!Y15*(1+Inputs!$B$33/100)),MAX(0,Inputs!$B$35-((S237-1)*Skills!D15))))/Inputs!$B$35),IF(Inputs!$B$4="pvp",MIN((Skills!Y15*(1+Inputs!$B$33/100)),15)/15,(Skills!Y15*(1+Inputs!$B$33/100))/Skills!D15)))/100)*(1+((C228=TRUE)*F228*B256)/100))*B264*I234)</f>
        <v/>
      </c>
      <c r="L234">
        <f>K234*(MIN(Inputs!$B$21+((C246=TRUE)*(F246-Calc!F24)),Inputs!$B$22)/100+Inputs!$B$22/100)/2</f>
        <v/>
      </c>
      <c r="M234">
        <f>L234*(1+(Inputs!$B$9+((C248=TRUE)*(F248-Calc!F26))+B265)/100)</f>
        <v/>
      </c>
      <c r="N234">
        <f>L234*(1-MIN((Inputs!$B$8+((C247=TRUE)*(F247-Calc!F25))+B262),100)/100)+M234*(MIN((Inputs!$B$8+((C247=TRUE)*(F247-Calc!F25))+B262),100)/100)</f>
        <v/>
      </c>
      <c r="O234">
        <f>IF(C234,H234*N234*IF(AND(Inputs!$B$4&lt;&gt;"pvp",Inputs!$B$35&gt;0),((Skills!G12*((R234-1)*IF(Skills!H12&gt;0,Skills!I12/Skills!H12,1)+IF(Skills!H12&gt;0,MIN(Skills!I12,MAX(0,Inputs!$B$35-((R234-1)*IF(Inputs!$B$4="pvp",15,MAX(0.1,Skills!D12-IF(Skills!E12=TRUE,Inputs!$B$31,0))))))/Skills!H12,1)))/Inputs!$B$35),G234*Q234)*IF(Inputs!$B$4="pvp",1,(1-Summary!$B$55)*(1)+Summary!$B$55*(MIN(Skills!W12,Inputs!$B$37))),0)</f>
        <v/>
      </c>
      <c r="P234">
        <f>IF(B266=0,0,O234/B266)</f>
        <v/>
      </c>
      <c r="Q234">
        <f>IFERROR(1/IF(Inputs!$B$4="pvp",15,MAX(0.1,Skills!D12-IF(Skills!E12=TRUE,Inputs!$B$31,0))),0)</f>
        <v/>
      </c>
      <c r="R234">
        <f>IF(AND(Inputs!$B$4&lt;&gt;"pvp",Inputs!$B$35&gt;0),(INT(Inputs!$B$35/IF(Inputs!$B$4="pvp",15,MAX(0.1,Skills!D12-IF(Skills!E12=TRUE,Inputs!$B$31,0))))+1),0)</f>
        <v/>
      </c>
      <c r="S234">
        <f>IFERROR(O234/N234,0)</f>
        <v/>
      </c>
    </row>
    <row r="235">
      <c r="A235">
        <f>Skills!A13</f>
        <v/>
      </c>
      <c r="B235">
        <f>Skills!B13</f>
        <v/>
      </c>
      <c r="C235">
        <f>Inputs!$B$3&gt;=105</f>
        <v/>
      </c>
      <c r="D235">
        <f>IF(Skills!C13=1,60+Inputs!$B$24+Inputs!$B$28,IF(Skills!C13=2,90+Inputs!$B$25+Inputs!$B$28,IF(Skills!C13=3,120+Inputs!$B$26+Inputs!$B$28,MAX(0,(Inputs!$B$3-100)*3)+Inputs!$B$27+Inputs!$B$28)))</f>
        <v/>
      </c>
      <c r="E235">
        <f>INDEX(FactorTable!$B$2:$Y$301, MATCH(ROUND(MIN(300,MAX(1,D235)),0), FactorTable!$A$2:$A$301,0), Skills!M13+1)</f>
        <v/>
      </c>
      <c r="F235">
        <f>IF(Skills!N13=TRUE,(Skills!L13/10)*(E235/1000),Skills!L13/10)+Skills!O13</f>
        <v/>
      </c>
      <c r="G235">
        <f>Calc!G13</f>
        <v/>
      </c>
      <c r="H235">
        <f>Calc!H13</f>
        <v/>
      </c>
      <c r="I235">
        <f>IF(Skills!AA13&lt;&gt;"",1+(Skills!AA13/10)*(U225/1000)/100,1)</f>
        <v/>
      </c>
      <c r="J235">
        <f>(Inputs!$B$5*(1+Inputs!$B$6/100))*(F235/100)</f>
        <v/>
      </c>
      <c r="K235">
        <f>J235*(1+((Inputs!$B$11*(1+Inputs!$B$12/100))*0.01+Inputs!$B$13*0.0025)/100)*(1+Inputs!$B$14/100)*(1+IF(Inputs!$B$4="pvp",0,(1-Summary!$B$55)*(Inputs!$B$19+((C249=TRUE)*(F249-Calc!F27))+Skills!P13+B263)+Summary!$B$55*(Inputs!$B$20+Skills!Q13+B263))/100)*(1+(Inputs!$B$15+1)/100)*(5000/(6000+Inputs!$B$7*(1-Inputs!$B$18/100)))*(1+(Inputs!$B$23+((C252=TRUE)*(F252-Calc!F30)))/100)*(1+Skills!R13/100)*(1+(IF(Skills!A13="SHOWDOWN",Inputs!$B$16+((C245=TRUE)*(F245-Calc!F23)),Inputs!$B$17+((C251=TRUE)*(F251-Calc!F29))))/100)*(((1+(((C243=TRUE)*F243*IF(AND(Inputs!$B$4&lt;&gt;"pvp",Inputs!$B$35&gt;0),(((S243-1)*(Skills!Y21*(1+Inputs!$B$33/100))+MIN((Skills!Y21*(1+Inputs!$B$33/100)),MAX(0,Inputs!$B$35-((S243-1)*Skills!D21))))/Inputs!$B$35),IF(Inputs!$B$4="pvp",MIN((Skills!Y21*(1+Inputs!$B$33/100)),15)/15,(Skills!Y21*(1+Inputs!$B$33/100))/Skills!D21)))+((C250=TRUE)*(F250-Calc!F28))+((C240=TRUE)*(F240-Calc!F18)))/100)*(1+((C237=TRUE)*F237*IF(AND(Inputs!$B$4&lt;&gt;"pvp",Inputs!$B$35&gt;0),(((S237-1)*(Skills!Y15*(1+Inputs!$B$33/100))+MIN((Skills!Y15*(1+Inputs!$B$33/100)),MAX(0,Inputs!$B$35-((S237-1)*Skills!D15))))/Inputs!$B$35),IF(Inputs!$B$4="pvp",MIN((Skills!Y15*(1+Inputs!$B$33/100)),15)/15,(Skills!Y15*(1+Inputs!$B$33/100))/Skills!D15)))/100)*(1+((C228=TRUE)*F228*B256)/100))*B264*I235)</f>
        <v/>
      </c>
      <c r="L235">
        <f>K235*(MIN(Inputs!$B$21+((C246=TRUE)*(F246-Calc!F24)),Inputs!$B$22)/100+Inputs!$B$22/100)/2</f>
        <v/>
      </c>
      <c r="M235">
        <f>L235*(1+(Inputs!$B$9+((C248=TRUE)*(F248-Calc!F26))+B265)/100)</f>
        <v/>
      </c>
      <c r="N235">
        <f>L235*(1-MIN((Inputs!$B$8+((C247=TRUE)*(F247-Calc!F25))+B262),100)/100)+M235*(MIN((Inputs!$B$8+((C247=TRUE)*(F247-Calc!F25))+B262),100)/100)</f>
        <v/>
      </c>
      <c r="O235">
        <f>IF(C235,H235*N235*IF(AND(Inputs!$B$4&lt;&gt;"pvp",Inputs!$B$35&gt;0),((Skills!G13*((R235-1)*IF(Skills!H13&gt;0,Skills!I13/Skills!H13,1)+IF(Skills!H13&gt;0,MIN(Skills!I13,MAX(0,Inputs!$B$35-((R235-1)*IF(Inputs!$B$4="pvp",15,MAX(0.1,Skills!D13-IF(Skills!E13=TRUE,Inputs!$B$31,0))))))/Skills!H13,1)))/Inputs!$B$35),G235*Q235)*IF(Inputs!$B$4="pvp",1,(1-Summary!$B$55)*(1)+Summary!$B$55*(MIN(Skills!W13,Inputs!$B$37))),0)</f>
        <v/>
      </c>
      <c r="P235">
        <f>IF(B266=0,0,O235/B266)</f>
        <v/>
      </c>
      <c r="Q235">
        <f>IFERROR(1/IF(Inputs!$B$4="pvp",15,MAX(0.1,Skills!D13-IF(Skills!E13=TRUE,Inputs!$B$31,0))),0)</f>
        <v/>
      </c>
      <c r="R235">
        <f>IF(AND(Inputs!$B$4&lt;&gt;"pvp",Inputs!$B$35&gt;0),(INT(Inputs!$B$35/IF(Inputs!$B$4="pvp",15,MAX(0.1,Skills!D13-IF(Skills!E13=TRUE,Inputs!$B$31,0))))+1),0)</f>
        <v/>
      </c>
      <c r="S235">
        <f>IFERROR(O235/N235,0)</f>
        <v/>
      </c>
    </row>
    <row r="236">
      <c r="A236">
        <f>Skills!A14</f>
        <v/>
      </c>
      <c r="B236">
        <f>Skills!B14</f>
        <v/>
      </c>
      <c r="C236">
        <f>Inputs!$B$3&gt;=105</f>
        <v/>
      </c>
      <c r="D236">
        <f>IF(Skills!C14=1,60+Inputs!$B$24+Inputs!$B$28,IF(Skills!C14=2,90+Inputs!$B$25+Inputs!$B$28,IF(Skills!C14=3,120+Inputs!$B$26+Inputs!$B$28,MAX(0,(Inputs!$B$3-100)*3)+Inputs!$B$27+Inputs!$B$28)))</f>
        <v/>
      </c>
      <c r="E236">
        <f>INDEX(FactorTable!$B$2:$Y$301, MATCH(ROUND(MIN(300,MAX(1,D236)),0), FactorTable!$A$2:$A$301,0), Skills!M14+1)</f>
        <v/>
      </c>
      <c r="F236">
        <f>IF(Skills!N14=TRUE,(Skills!L14/10)*(E236/1000),Skills!L14/10)+Skills!O14</f>
        <v/>
      </c>
      <c r="G236">
        <f>Calc!G14</f>
        <v/>
      </c>
      <c r="H236">
        <f>Calc!H14</f>
        <v/>
      </c>
      <c r="I236">
        <f>IF(Skills!AA14&lt;&gt;"",1+(Skills!AA14/10)*(U225/1000)/100,1)</f>
        <v/>
      </c>
      <c r="J236">
        <f>(Inputs!$B$5*(1+Inputs!$B$6/100))*(F236/100)</f>
        <v/>
      </c>
      <c r="K236">
        <f>J236*(1+((Inputs!$B$11*(1+Inputs!$B$12/100))*0.01+Inputs!$B$13*0.0025)/100)*(1+Inputs!$B$14/100)*(1+IF(Inputs!$B$4="pvp",0,(1-Summary!$B$55)*(Inputs!$B$19+((C249=TRUE)*(F249-Calc!F27))+Skills!P14+B263)+Summary!$B$55*(Inputs!$B$20+Skills!Q14+B263))/100)*(1+(Inputs!$B$15+1)/100)*(5000/(6000+Inputs!$B$7*(1-Inputs!$B$18/100)))*(1+(Inputs!$B$23+((C252=TRUE)*(F252-Calc!F30)))/100)*(1+Skills!R14/100)*(1+(IF(Skills!A14="SHOWDOWN",Inputs!$B$16+((C245=TRUE)*(F245-Calc!F23)),Inputs!$B$17+((C251=TRUE)*(F251-Calc!F29))))/100)*(((1+(((C243=TRUE)*F243*IF(AND(Inputs!$B$4&lt;&gt;"pvp",Inputs!$B$35&gt;0),(((S243-1)*(Skills!Y21*(1+Inputs!$B$33/100))+MIN((Skills!Y21*(1+Inputs!$B$33/100)),MAX(0,Inputs!$B$35-((S243-1)*Skills!D21))))/Inputs!$B$35),IF(Inputs!$B$4="pvp",MIN((Skills!Y21*(1+Inputs!$B$33/100)),15)/15,(Skills!Y21*(1+Inputs!$B$33/100))/Skills!D21)))+((C250=TRUE)*(F250-Calc!F28))+((C240=TRUE)*(F240-Calc!F18)))/100)*(1+((C237=TRUE)*F237*IF(AND(Inputs!$B$4&lt;&gt;"pvp",Inputs!$B$35&gt;0),(((S237-1)*(Skills!Y15*(1+Inputs!$B$33/100))+MIN((Skills!Y15*(1+Inputs!$B$33/100)),MAX(0,Inputs!$B$35-((S237-1)*Skills!D15))))/Inputs!$B$35),IF(Inputs!$B$4="pvp",MIN((Skills!Y15*(1+Inputs!$B$33/100)),15)/15,(Skills!Y15*(1+Inputs!$B$33/100))/Skills!D15)))/100)*(1+((C228=TRUE)*F228*B256)/100))*B264*I236)</f>
        <v/>
      </c>
      <c r="L236">
        <f>K236*(MIN(Inputs!$B$21+((C246=TRUE)*(F246-Calc!F24)),Inputs!$B$22)/100+Inputs!$B$22/100)/2</f>
        <v/>
      </c>
      <c r="M236">
        <f>L236*(1+(Inputs!$B$9+((C248=TRUE)*(F248-Calc!F26))+B265)/100)</f>
        <v/>
      </c>
      <c r="N236">
        <f>L236*(1-MIN((Inputs!$B$8+((C247=TRUE)*(F247-Calc!F25))+B262),100)/100)+M236*(MIN((Inputs!$B$8+((C247=TRUE)*(F247-Calc!F25))+B262),100)/100)</f>
        <v/>
      </c>
      <c r="O236">
        <f>IF(C236,H236*N236*IF(AND(Inputs!$B$4&lt;&gt;"pvp",Inputs!$B$35&gt;0),((Skills!G14*((R236-1)*IF(Skills!H14&gt;0,Skills!I14/Skills!H14,1)+IF(Skills!H14&gt;0,MIN(Skills!I14,MAX(0,Inputs!$B$35-((R236-1)*IF(Inputs!$B$4="pvp",15,MAX(0.1,Skills!D14-IF(Skills!E14=TRUE,Inputs!$B$31,0))))))/Skills!H14,1)))/Inputs!$B$35),G236*Q236)*IF(Inputs!$B$4="pvp",1,(1-Summary!$B$55)*(1)+Summary!$B$55*(MIN(Skills!W14,Inputs!$B$37))),0)</f>
        <v/>
      </c>
      <c r="P236">
        <f>IF(B266=0,0,O236/B266)</f>
        <v/>
      </c>
      <c r="Q236">
        <f>IFERROR(1/IF(Inputs!$B$4="pvp",15,MAX(0.1,Skills!D14-IF(Skills!E14=TRUE,Inputs!$B$31,0))),0)</f>
        <v/>
      </c>
      <c r="R236">
        <f>IF(AND(Inputs!$B$4&lt;&gt;"pvp",Inputs!$B$35&gt;0),(INT(Inputs!$B$35/IF(Inputs!$B$4="pvp",15,MAX(0.1,Skills!D14-IF(Skills!E14=TRUE,Inputs!$B$31,0))))+1),0)</f>
        <v/>
      </c>
      <c r="S236">
        <f>IFERROR(O236/N236,0)</f>
        <v/>
      </c>
    </row>
    <row r="237">
      <c r="A237">
        <f>Skills!A15</f>
        <v/>
      </c>
      <c r="B237">
        <f>Skills!B15</f>
        <v/>
      </c>
      <c r="C237">
        <f>Inputs!$B$3&gt;=110</f>
        <v/>
      </c>
      <c r="D237">
        <f>IF(Skills!C15=1,60+Inputs!$B$24+Inputs!$B$28,IF(Skills!C15=2,90+Inputs!$B$25+Inputs!$B$28,IF(Skills!C15=3,120+Inputs!$B$26+Inputs!$B$28,MAX(0,(Inputs!$B$3-100)*3)+Inputs!$B$27+Inputs!$B$28)))</f>
        <v/>
      </c>
      <c r="E237">
        <f>INDEX(FactorTable!$B$2:$Y$301, MATCH(ROUND(MIN(300,MAX(1,D237)),0), FactorTable!$A$2:$A$301,0), Skills!M15+1)</f>
        <v/>
      </c>
      <c r="F237">
        <f>IF(Skills!N15=TRUE,(Skills!L15/10)*(E237/1000),Skills!L15/10)+Skills!O15</f>
        <v/>
      </c>
      <c r="G237">
        <f>Calc!G15</f>
        <v/>
      </c>
      <c r="H237">
        <f>Calc!H15</f>
        <v/>
      </c>
      <c r="I237">
        <f>IF(Skills!AA15&lt;&gt;"",1+(Skills!AA15/10)*(U225/1000)/100,1)</f>
        <v/>
      </c>
      <c r="J237" t="inlineStr"/>
      <c r="K237" t="inlineStr"/>
      <c r="L237" t="inlineStr"/>
      <c r="M237" t="inlineStr"/>
      <c r="N237" t="inlineStr"/>
      <c r="O237" t="n">
        <v>0</v>
      </c>
      <c r="P237">
        <f>IF(B266=0,0,O237/B266)</f>
        <v/>
      </c>
      <c r="Q237">
        <f>IFERROR(1/IF(Inputs!$B$4="pvp",15,MAX(0.1,Skills!D15-IF(Skills!E15=TRUE,Inputs!$B$31,0))),0)</f>
        <v/>
      </c>
      <c r="R237">
        <f>IF(AND(Inputs!$B$4&lt;&gt;"pvp",Inputs!$B$35&gt;0),(INT(Inputs!$B$35/IF(Inputs!$B$4="pvp",15,MAX(0.1,Skills!D15-IF(Skills!E15=TRUE,Inputs!$B$31,0))))+1),0)</f>
        <v/>
      </c>
      <c r="S237">
        <f>IFERROR(O237/N237,0)</f>
        <v/>
      </c>
    </row>
    <row r="238">
      <c r="A238">
        <f>Skills!A16</f>
        <v/>
      </c>
      <c r="B238">
        <f>Skills!B16</f>
        <v/>
      </c>
      <c r="C238">
        <f>Inputs!$B$3&gt;=110</f>
        <v/>
      </c>
      <c r="D238">
        <f>IF(Skills!C16=1,60+Inputs!$B$24+Inputs!$B$28,IF(Skills!C16=2,90+Inputs!$B$25+Inputs!$B$28,IF(Skills!C16=3,120+Inputs!$B$26+Inputs!$B$28,MAX(0,(Inputs!$B$3-100)*3)+Inputs!$B$27+Inputs!$B$28)))</f>
        <v/>
      </c>
      <c r="E238">
        <f>INDEX(FactorTable!$B$2:$Y$301, MATCH(ROUND(MIN(300,MAX(1,D238)),0), FactorTable!$A$2:$A$301,0), Skills!M16+1)</f>
        <v/>
      </c>
      <c r="F238">
        <f>IF(Skills!N16=TRUE,(Skills!L16/10)*(E238/1000),Skills!L16/10)+Skills!O16</f>
        <v/>
      </c>
      <c r="G238">
        <f>Calc!G16</f>
        <v/>
      </c>
      <c r="H238">
        <f>Calc!H16</f>
        <v/>
      </c>
      <c r="I238">
        <f>IF(Skills!AA16&lt;&gt;"",1+(Skills!AA16/10)*(U225/1000)/100,1)</f>
        <v/>
      </c>
      <c r="J238" t="inlineStr"/>
      <c r="K238" t="inlineStr"/>
      <c r="L238" t="inlineStr"/>
      <c r="M238" t="inlineStr"/>
      <c r="N238" t="inlineStr"/>
      <c r="O238" t="n">
        <v>0</v>
      </c>
      <c r="P238">
        <f>IF(B266=0,0,O238/B266)</f>
        <v/>
      </c>
      <c r="Q238">
        <f>IFERROR(1/IF(Inputs!$B$4="pvp",15,MAX(0.1,Skills!D16-IF(Skills!E16=TRUE,Inputs!$B$31,0))),0)</f>
        <v/>
      </c>
      <c r="R238">
        <f>IF(AND(Inputs!$B$4&lt;&gt;"pvp",Inputs!$B$35&gt;0),(INT(Inputs!$B$35/IF(Inputs!$B$4="pvp",15,MAX(0.1,Skills!D16-IF(Skills!E16=TRUE,Inputs!$B$31,0))))+1),0)</f>
        <v/>
      </c>
      <c r="S238">
        <f>IFERROR(O238/N238,0)</f>
        <v/>
      </c>
    </row>
    <row r="239">
      <c r="A239">
        <f>Skills!A17</f>
        <v/>
      </c>
      <c r="B239">
        <f>Skills!B17</f>
        <v/>
      </c>
      <c r="C239">
        <f>Inputs!$B$3&gt;=115</f>
        <v/>
      </c>
      <c r="D239">
        <f>IF(Skills!C17=1,60+Inputs!$B$24+Inputs!$B$28,IF(Skills!C17=2,90+Inputs!$B$25+Inputs!$B$28,IF(Skills!C17=3,120+Inputs!$B$26+Inputs!$B$28,MAX(0,(Inputs!$B$3-100)*3)+Inputs!$B$27+Inputs!$B$28)))</f>
        <v/>
      </c>
      <c r="E239">
        <f>INDEX(FactorTable!$B$2:$Y$301, MATCH(ROUND(MIN(300,MAX(1,D239)),0), FactorTable!$A$2:$A$301,0), Skills!M17+1)</f>
        <v/>
      </c>
      <c r="F239">
        <f>IF(Skills!N17=TRUE,(Skills!L17/10)*(E239/1000),Skills!L17/10)+Skills!O17</f>
        <v/>
      </c>
      <c r="G239">
        <f>Calc!G17</f>
        <v/>
      </c>
      <c r="H239">
        <f>Calc!H17</f>
        <v/>
      </c>
      <c r="I239">
        <f>IF(Skills!AA17&lt;&gt;"",1+(Skills!AA17/10)*(U225/1000)/100,1)</f>
        <v/>
      </c>
      <c r="J239">
        <f>(Inputs!$B$5*(1+Inputs!$B$6/100))*(F239/100)</f>
        <v/>
      </c>
      <c r="K239">
        <f>J239*(1+((Inputs!$B$11*(1+Inputs!$B$12/100))*0.01+Inputs!$B$13*0.0025)/100)*(1+Inputs!$B$14/100)*(1+IF(Inputs!$B$4="pvp",0,(1-Summary!$B$55)*(Inputs!$B$19+((C249=TRUE)*(F249-Calc!F27))+Skills!P17+B263)+Summary!$B$55*(Inputs!$B$20+Skills!Q17+B263))/100)*(1+(Inputs!$B$15+1)/100)*(5000/(6000+Inputs!$B$7*(1-Inputs!$B$18/100)))*(1+(Inputs!$B$23+((C252=TRUE)*(F252-Calc!F30)))/100)*(1+Skills!R17/100)*(1+(IF(Skills!A17="SHOWDOWN",Inputs!$B$16+((C245=TRUE)*(F245-Calc!F23)),Inputs!$B$17+((C251=TRUE)*(F251-Calc!F29))))/100)*(((1+(((C243=TRUE)*F243*IF(AND(Inputs!$B$4&lt;&gt;"pvp",Inputs!$B$35&gt;0),(((S243-1)*(Skills!Y21*(1+Inputs!$B$33/100))+MIN((Skills!Y21*(1+Inputs!$B$33/100)),MAX(0,Inputs!$B$35-((S243-1)*Skills!D21))))/Inputs!$B$35),IF(Inputs!$B$4="pvp",MIN((Skills!Y21*(1+Inputs!$B$33/100)),15)/15,(Skills!Y21*(1+Inputs!$B$33/100))/Skills!D21)))+((C250=TRUE)*(F250-Calc!F28))+((C240=TRUE)*(F240-Calc!F18)))/100)*(1+((C237=TRUE)*F237*IF(AND(Inputs!$B$4&lt;&gt;"pvp",Inputs!$B$35&gt;0),(((S237-1)*(Skills!Y15*(1+Inputs!$B$33/100))+MIN((Skills!Y15*(1+Inputs!$B$33/100)),MAX(0,Inputs!$B$35-((S237-1)*Skills!D15))))/Inputs!$B$35),IF(Inputs!$B$4="pvp",MIN((Skills!Y15*(1+Inputs!$B$33/100)),15)/15,(Skills!Y15*(1+Inputs!$B$33/100))/Skills!D15)))/100)*(1+((C228=TRUE)*F228*B256)/100))*B264*I239)</f>
        <v/>
      </c>
      <c r="L239">
        <f>K239*(MIN(Inputs!$B$21+((C246=TRUE)*(F246-Calc!F24)),Inputs!$B$22)/100+Inputs!$B$22/100)/2</f>
        <v/>
      </c>
      <c r="M239">
        <f>L239*(1+(Inputs!$B$9+((C248=TRUE)*(F248-Calc!F26))+B265)/100)</f>
        <v/>
      </c>
      <c r="N239">
        <f>L239*(1-MIN((Inputs!$B$8+((C247=TRUE)*(F247-Calc!F25))+B262),100)/100)+M239*(MIN((Inputs!$B$8+((C247=TRUE)*(F247-Calc!F25))+B262),100)/100)</f>
        <v/>
      </c>
      <c r="O239">
        <f>IF(C239,Inputs!$B$38*0.2*N239,0)</f>
        <v/>
      </c>
      <c r="P239">
        <f>IF(B266=0,0,O239/B266)</f>
        <v/>
      </c>
      <c r="Q239" t="n">
        <v>0</v>
      </c>
      <c r="R239" t="n">
        <v>0</v>
      </c>
      <c r="S239">
        <f>IFERROR(O239/N239,0)</f>
        <v/>
      </c>
    </row>
    <row r="240">
      <c r="A240">
        <f>Skills!A18</f>
        <v/>
      </c>
      <c r="B240">
        <f>Skills!B18</f>
        <v/>
      </c>
      <c r="C240">
        <f>Inputs!$B$3&gt;=115</f>
        <v/>
      </c>
      <c r="D240">
        <f>IF(Skills!C18=1,60+Inputs!$B$24+Inputs!$B$28,IF(Skills!C18=2,90+Inputs!$B$25+Inputs!$B$28,IF(Skills!C18=3,120+Inputs!$B$26+Inputs!$B$28,MAX(0,(Inputs!$B$3-100)*3)+Inputs!$B$27+Inputs!$B$28)))</f>
        <v/>
      </c>
      <c r="E240">
        <f>INDEX(FactorTable!$B$2:$Y$301, MATCH(ROUND(MIN(300,MAX(1,D240)),0), FactorTable!$A$2:$A$301,0), Skills!M18+1)</f>
        <v/>
      </c>
      <c r="F240">
        <f>IF(Skills!N18=TRUE,(Skills!L18/10)*(E240/1000),Skills!L18/10)+Skills!O18</f>
        <v/>
      </c>
      <c r="G240">
        <f>Calc!G18</f>
        <v/>
      </c>
      <c r="H240">
        <f>Calc!H18</f>
        <v/>
      </c>
      <c r="I240">
        <f>IF(Skills!AA18&lt;&gt;"",1+(Skills!AA18/10)*(U225/1000)/100,1)</f>
        <v/>
      </c>
      <c r="J240" t="inlineStr"/>
      <c r="K240" t="inlineStr"/>
      <c r="L240" t="inlineStr"/>
      <c r="M240" t="inlineStr"/>
      <c r="N240" t="inlineStr"/>
      <c r="O240" t="n">
        <v>0</v>
      </c>
      <c r="P240">
        <f>IF(B266=0,0,O240/B266)</f>
        <v/>
      </c>
      <c r="Q240" t="n">
        <v>0</v>
      </c>
      <c r="R240" t="n">
        <v>0</v>
      </c>
      <c r="S240">
        <f>IFERROR(O240/N240,0)</f>
        <v/>
      </c>
    </row>
    <row r="241">
      <c r="A241">
        <f>Skills!A19</f>
        <v/>
      </c>
      <c r="B241">
        <f>Skills!B19</f>
        <v/>
      </c>
      <c r="C241">
        <f>TRUE</f>
        <v/>
      </c>
      <c r="D241">
        <f>IF(Skills!C19=1,60+Inputs!$B$24+Inputs!$B$28,IF(Skills!C19=2,90+Inputs!$B$25+Inputs!$B$28,IF(Skills!C19=3,120+Inputs!$B$26+Inputs!$B$28,MAX(0,(Inputs!$B$3-100)*3)+Inputs!$B$27+Inputs!$B$28)))</f>
        <v/>
      </c>
      <c r="E241">
        <f>INDEX(FactorTable!$B$2:$Y$301, MATCH(ROUND(MIN(300,MAX(1,D241)),0), FactorTable!$A$2:$A$301,0), Skills!M19+1)</f>
        <v/>
      </c>
      <c r="F241">
        <f>IF(Skills!N19=TRUE,(Skills!L19/10)*(E241/1000),Skills!L19/10)+Skills!O19</f>
        <v/>
      </c>
      <c r="G241">
        <f>Calc!G19</f>
        <v/>
      </c>
      <c r="H241">
        <f>Calc!H19</f>
        <v/>
      </c>
      <c r="I241">
        <f>IF(Skills!AA19&lt;&gt;"",1+(Skills!AA19/10)*(U225/1000)/100,1)</f>
        <v/>
      </c>
      <c r="J241" t="inlineStr"/>
      <c r="K241" t="inlineStr"/>
      <c r="L241" t="inlineStr"/>
      <c r="M241" t="inlineStr"/>
      <c r="N241" t="inlineStr"/>
      <c r="O241" t="n">
        <v>0</v>
      </c>
      <c r="P241">
        <f>IF(B266=0,0,O241/B266)</f>
        <v/>
      </c>
      <c r="Q241">
        <f>IFERROR(1/IF(Inputs!$B$4="pvp",15,MAX(0.1,Skills!D19-IF(Skills!E19=TRUE,Inputs!$B$31,0))),0)</f>
        <v/>
      </c>
      <c r="R241">
        <f>IF(AND(Inputs!$B$4&lt;&gt;"pvp",Inputs!$B$35&gt;0),(INT(Inputs!$B$35/IF(Inputs!$B$4="pvp",15,MAX(0.1,Skills!D19-IF(Skills!E19=TRUE,Inputs!$B$31,0))))+1),0)</f>
        <v/>
      </c>
      <c r="S241">
        <f>IFERROR(O241/N241,0)</f>
        <v/>
      </c>
    </row>
    <row r="242">
      <c r="A242">
        <f>Skills!A20</f>
        <v/>
      </c>
      <c r="B242">
        <f>Skills!B20</f>
        <v/>
      </c>
      <c r="C242">
        <f>Inputs!$B$3&gt;=15</f>
        <v/>
      </c>
      <c r="D242">
        <f>IF(Skills!C20=1,60+Inputs!$B$24+Inputs!$B$28,IF(Skills!C20=2,90+Inputs!$B$25+Inputs!$B$28,IF(Skills!C20=3,120+Inputs!$B$26+Inputs!$B$28,MAX(0,(Inputs!$B$3-100)*3)+Inputs!$B$27+Inputs!$B$28)))</f>
        <v/>
      </c>
      <c r="E242">
        <f>INDEX(FactorTable!$B$2:$Y$301, MATCH(ROUND(MIN(300,MAX(1,D242)),0), FactorTable!$A$2:$A$301,0), Skills!M20+1)</f>
        <v/>
      </c>
      <c r="F242">
        <f>IF(Skills!N20=TRUE,(Skills!L20/10)*(E242/1000),Skills!L20/10)+Skills!O20</f>
        <v/>
      </c>
      <c r="G242">
        <f>Calc!G20</f>
        <v/>
      </c>
      <c r="H242">
        <f>Calc!H20</f>
        <v/>
      </c>
      <c r="I242">
        <f>IF(Skills!AA20&lt;&gt;"",1+(Skills!AA20/10)*(U225/1000)/100,1)</f>
        <v/>
      </c>
      <c r="J242" t="inlineStr"/>
      <c r="K242" t="inlineStr"/>
      <c r="L242" t="inlineStr"/>
      <c r="M242" t="inlineStr"/>
      <c r="N242" t="inlineStr"/>
      <c r="O242" t="n">
        <v>0</v>
      </c>
      <c r="P242">
        <f>IF(B266=0,0,O242/B266)</f>
        <v/>
      </c>
      <c r="Q242">
        <f>IFERROR(1/IF(Inputs!$B$4="pvp",15,MAX(0.1,Skills!D20-IF(Skills!E20=TRUE,Inputs!$B$31,0))),0)</f>
        <v/>
      </c>
      <c r="R242">
        <f>IF(AND(Inputs!$B$4&lt;&gt;"pvp",Inputs!$B$35&gt;0),(INT(Inputs!$B$35/IF(Inputs!$B$4="pvp",15,MAX(0.1,Skills!D20-IF(Skills!E20=TRUE,Inputs!$B$31,0))))+1),0)</f>
        <v/>
      </c>
      <c r="S242">
        <f>IFERROR(O242/N242,0)</f>
        <v/>
      </c>
    </row>
    <row r="243">
      <c r="A243">
        <f>Skills!A21</f>
        <v/>
      </c>
      <c r="B243">
        <f>Skills!B21</f>
        <v/>
      </c>
      <c r="C243">
        <f>Inputs!$B$3&gt;=15</f>
        <v/>
      </c>
      <c r="D243">
        <f>IF(Skills!C21=1,60+Inputs!$B$24+Inputs!$B$28,IF(Skills!C21=2,90+Inputs!$B$25+Inputs!$B$28,IF(Skills!C21=3,120+Inputs!$B$26+Inputs!$B$28,MAX(0,(Inputs!$B$3-100)*3)+Inputs!$B$27+Inputs!$B$28)))</f>
        <v/>
      </c>
      <c r="E243">
        <f>INDEX(FactorTable!$B$2:$Y$301, MATCH(ROUND(MIN(300,MAX(1,D243)),0), FactorTable!$A$2:$A$301,0), Skills!M21+1)</f>
        <v/>
      </c>
      <c r="F243">
        <f>IF(Skills!N21=TRUE,(Skills!L21/10)*(E243/1000),Skills!L21/10)+Skills!O21</f>
        <v/>
      </c>
      <c r="G243">
        <f>Calc!G21</f>
        <v/>
      </c>
      <c r="H243">
        <f>Calc!H21</f>
        <v/>
      </c>
      <c r="I243">
        <f>IF(Skills!AA21&lt;&gt;"",1+(Skills!AA21/10)*(U225/1000)/100,1)</f>
        <v/>
      </c>
      <c r="J243" t="inlineStr"/>
      <c r="K243" t="inlineStr"/>
      <c r="L243" t="inlineStr"/>
      <c r="M243" t="inlineStr"/>
      <c r="N243" t="inlineStr"/>
      <c r="O243" t="n">
        <v>0</v>
      </c>
      <c r="P243">
        <f>IF(B266=0,0,O243/B266)</f>
        <v/>
      </c>
      <c r="Q243">
        <f>IFERROR(1/IF(Inputs!$B$4="pvp",15,MAX(0.1,Skills!D21-IF(Skills!E21=TRUE,Inputs!$B$31,0))),0)</f>
        <v/>
      </c>
      <c r="R243">
        <f>IF(AND(Inputs!$B$4&lt;&gt;"pvp",Inputs!$B$35&gt;0),(INT(Inputs!$B$35/IF(Inputs!$B$4="pvp",15,MAX(0.1,Skills!D21-IF(Skills!E21=TRUE,Inputs!$B$31,0))))+1),0)</f>
        <v/>
      </c>
      <c r="S243">
        <f>IFERROR(O243/N243,0)</f>
        <v/>
      </c>
    </row>
    <row r="244">
      <c r="A244">
        <f>Skills!A22</f>
        <v/>
      </c>
      <c r="B244">
        <f>Skills!B22</f>
        <v/>
      </c>
      <c r="C244">
        <f>Inputs!$B$3&gt;=33</f>
        <v/>
      </c>
      <c r="D244">
        <f>IF(Skills!C22=1,60+Inputs!$B$24+Inputs!$B$28,IF(Skills!C22=2,90+Inputs!$B$25+Inputs!$B$28,IF(Skills!C22=3,120+Inputs!$B$26+Inputs!$B$28,MAX(0,(Inputs!$B$3-100)*3)+Inputs!$B$27+Inputs!$B$28)))</f>
        <v/>
      </c>
      <c r="E244">
        <f>INDEX(FactorTable!$B$2:$Y$301, MATCH(ROUND(MIN(300,MAX(1,D244)),0), FactorTable!$A$2:$A$301,0), Skills!M22+1)</f>
        <v/>
      </c>
      <c r="F244">
        <f>IF(Skills!N22=TRUE,(Skills!L22/10)*(E244/1000),Skills!L22/10)+Skills!O22</f>
        <v/>
      </c>
      <c r="G244">
        <f>Calc!G22</f>
        <v/>
      </c>
      <c r="H244">
        <f>Calc!H22</f>
        <v/>
      </c>
      <c r="I244">
        <f>IF(Skills!AA22&lt;&gt;"",1+(Skills!AA22/10)*(U225/1000)/100,1)</f>
        <v/>
      </c>
      <c r="J244" t="inlineStr"/>
      <c r="K244" t="inlineStr"/>
      <c r="L244" t="inlineStr"/>
      <c r="M244" t="inlineStr"/>
      <c r="N244" t="inlineStr"/>
      <c r="O244" t="n">
        <v>0</v>
      </c>
      <c r="P244">
        <f>IF(B266=0,0,O244/B266)</f>
        <v/>
      </c>
      <c r="Q244" t="n">
        <v>0</v>
      </c>
      <c r="R244" t="n">
        <v>0</v>
      </c>
      <c r="S244">
        <f>IFERROR(O244/N244,0)</f>
        <v/>
      </c>
    </row>
    <row r="245">
      <c r="A245">
        <f>Skills!A23</f>
        <v/>
      </c>
      <c r="B245">
        <f>Skills!B23</f>
        <v/>
      </c>
      <c r="C245">
        <f>Inputs!$B$3&gt;=38</f>
        <v/>
      </c>
      <c r="D245">
        <f>IF(Skills!C23=1,60+Inputs!$B$24+Inputs!$B$28,IF(Skills!C23=2,90+Inputs!$B$25+Inputs!$B$28,IF(Skills!C23=3,120+Inputs!$B$26+Inputs!$B$28,MAX(0,(Inputs!$B$3-100)*3)+Inputs!$B$27+Inputs!$B$28)))</f>
        <v/>
      </c>
      <c r="E245">
        <f>INDEX(FactorTable!$B$2:$Y$301, MATCH(ROUND(MIN(300,MAX(1,D245)),0), FactorTable!$A$2:$A$301,0), Skills!M23+1)</f>
        <v/>
      </c>
      <c r="F245">
        <f>IF(Skills!N23=TRUE,(Skills!L23/10)*(E245/1000),Skills!L23/10)+Skills!O23</f>
        <v/>
      </c>
      <c r="G245">
        <f>Calc!G23</f>
        <v/>
      </c>
      <c r="H245">
        <f>Calc!H23</f>
        <v/>
      </c>
      <c r="I245">
        <f>IF(Skills!AA23&lt;&gt;"",1+(Skills!AA23/10)*(U225/1000)/100,1)</f>
        <v/>
      </c>
      <c r="J245" t="inlineStr"/>
      <c r="K245" t="inlineStr"/>
      <c r="L245" t="inlineStr"/>
      <c r="M245" t="inlineStr"/>
      <c r="N245" t="inlineStr"/>
      <c r="O245" t="n">
        <v>0</v>
      </c>
      <c r="P245">
        <f>IF(B266=0,0,O245/B266)</f>
        <v/>
      </c>
      <c r="Q245" t="n">
        <v>0</v>
      </c>
      <c r="R245" t="n">
        <v>0</v>
      </c>
      <c r="S245">
        <f>IFERROR(O245/N245,0)</f>
        <v/>
      </c>
    </row>
    <row r="246">
      <c r="A246">
        <f>Skills!A24</f>
        <v/>
      </c>
      <c r="B246">
        <f>Skills!B24</f>
        <v/>
      </c>
      <c r="C246">
        <f>Inputs!$B$3&gt;=40</f>
        <v/>
      </c>
      <c r="D246">
        <f>IF(Skills!C24=1,60+Inputs!$B$24+Inputs!$B$28,IF(Skills!C24=2,90+Inputs!$B$25+Inputs!$B$28,IF(Skills!C24=3,120+Inputs!$B$26+Inputs!$B$28,MAX(0,(Inputs!$B$3-100)*3)+Inputs!$B$27+Inputs!$B$28)))</f>
        <v/>
      </c>
      <c r="E246">
        <f>INDEX(FactorTable!$B$2:$Y$301, MATCH(ROUND(MIN(300,MAX(1,D246)),0), FactorTable!$A$2:$A$301,0), Skills!M24+1)</f>
        <v/>
      </c>
      <c r="F246">
        <f>IF(Skills!N24=TRUE,(Skills!L24/10)*(E246/1000),Skills!L24/10)+Skills!O24</f>
        <v/>
      </c>
      <c r="G246">
        <f>Calc!G24</f>
        <v/>
      </c>
      <c r="H246">
        <f>Calc!H24</f>
        <v/>
      </c>
      <c r="I246">
        <f>IF(Skills!AA24&lt;&gt;"",1+(Skills!AA24/10)*(U225/1000)/100,1)</f>
        <v/>
      </c>
      <c r="J246" t="inlineStr"/>
      <c r="K246" t="inlineStr"/>
      <c r="L246" t="inlineStr"/>
      <c r="M246" t="inlineStr"/>
      <c r="N246" t="inlineStr"/>
      <c r="O246" t="n">
        <v>0</v>
      </c>
      <c r="P246">
        <f>IF(B266=0,0,O246/B266)</f>
        <v/>
      </c>
      <c r="Q246" t="n">
        <v>0</v>
      </c>
      <c r="R246" t="n">
        <v>0</v>
      </c>
      <c r="S246">
        <f>IFERROR(O246/N246,0)</f>
        <v/>
      </c>
    </row>
    <row r="247">
      <c r="A247">
        <f>Skills!A25</f>
        <v/>
      </c>
      <c r="B247">
        <f>Skills!B25</f>
        <v/>
      </c>
      <c r="C247">
        <f>Inputs!$B$3&gt;=45</f>
        <v/>
      </c>
      <c r="D247">
        <f>IF(Skills!C25=1,60+Inputs!$B$24+Inputs!$B$28,IF(Skills!C25=2,90+Inputs!$B$25+Inputs!$B$28,IF(Skills!C25=3,120+Inputs!$B$26+Inputs!$B$28,MAX(0,(Inputs!$B$3-100)*3)+Inputs!$B$27+Inputs!$B$28)))</f>
        <v/>
      </c>
      <c r="E247">
        <f>INDEX(FactorTable!$B$2:$Y$301, MATCH(ROUND(MIN(300,MAX(1,D247)),0), FactorTable!$A$2:$A$301,0), Skills!M25+1)</f>
        <v/>
      </c>
      <c r="F247">
        <f>IF(Skills!N25=TRUE,(Skills!L25/10)*(E247/1000),Skills!L25/10)+Skills!O25</f>
        <v/>
      </c>
      <c r="G247">
        <f>Calc!G25</f>
        <v/>
      </c>
      <c r="H247">
        <f>Calc!H25</f>
        <v/>
      </c>
      <c r="I247">
        <f>IF(Skills!AA25&lt;&gt;"",1+(Skills!AA25/10)*(U225/1000)/100,1)</f>
        <v/>
      </c>
      <c r="J247" t="inlineStr"/>
      <c r="K247" t="inlineStr"/>
      <c r="L247" t="inlineStr"/>
      <c r="M247" t="inlineStr"/>
      <c r="N247" t="inlineStr"/>
      <c r="O247" t="n">
        <v>0</v>
      </c>
      <c r="P247">
        <f>IF(B266=0,0,O247/B266)</f>
        <v/>
      </c>
      <c r="Q247" t="n">
        <v>0</v>
      </c>
      <c r="R247" t="n">
        <v>0</v>
      </c>
      <c r="S247">
        <f>IFERROR(O247/N247,0)</f>
        <v/>
      </c>
    </row>
    <row r="248">
      <c r="A248">
        <f>Skills!A26</f>
        <v/>
      </c>
      <c r="B248">
        <f>Skills!B26</f>
        <v/>
      </c>
      <c r="C248">
        <f>Inputs!$B$3&gt;=45</f>
        <v/>
      </c>
      <c r="D248">
        <f>IF(Skills!C26=1,60+Inputs!$B$24+Inputs!$B$28,IF(Skills!C26=2,90+Inputs!$B$25+Inputs!$B$28,IF(Skills!C26=3,120+Inputs!$B$26+Inputs!$B$28,MAX(0,(Inputs!$B$3-100)*3)+Inputs!$B$27+Inputs!$B$28)))</f>
        <v/>
      </c>
      <c r="E248">
        <f>INDEX(FactorTable!$B$2:$Y$301, MATCH(ROUND(MIN(300,MAX(1,D248)),0), FactorTable!$A$2:$A$301,0), Skills!M26+1)</f>
        <v/>
      </c>
      <c r="F248">
        <f>IF(Skills!N26=TRUE,(Skills!L26/10)*(E248/1000),Skills!L26/10)+Skills!O26</f>
        <v/>
      </c>
      <c r="G248">
        <f>Calc!G26</f>
        <v/>
      </c>
      <c r="H248">
        <f>Calc!H26</f>
        <v/>
      </c>
      <c r="I248">
        <f>IF(Skills!AA26&lt;&gt;"",1+(Skills!AA26/10)*(U225/1000)/100,1)</f>
        <v/>
      </c>
      <c r="J248" t="inlineStr"/>
      <c r="K248" t="inlineStr"/>
      <c r="L248" t="inlineStr"/>
      <c r="M248" t="inlineStr"/>
      <c r="N248" t="inlineStr"/>
      <c r="O248" t="n">
        <v>0</v>
      </c>
      <c r="P248">
        <f>IF(B266=0,0,O248/B266)</f>
        <v/>
      </c>
      <c r="Q248" t="n">
        <v>0</v>
      </c>
      <c r="R248" t="n">
        <v>0</v>
      </c>
      <c r="S248">
        <f>IFERROR(O248/N248,0)</f>
        <v/>
      </c>
    </row>
    <row r="249">
      <c r="A249">
        <f>Skills!A27</f>
        <v/>
      </c>
      <c r="B249">
        <f>Skills!B27</f>
        <v/>
      </c>
      <c r="C249">
        <f>Inputs!$B$3&gt;=72</f>
        <v/>
      </c>
      <c r="D249">
        <f>IF(Skills!C27=1,60+Inputs!$B$24+Inputs!$B$28,IF(Skills!C27=2,90+Inputs!$B$25+Inputs!$B$28,IF(Skills!C27=3,120+Inputs!$B$26+Inputs!$B$28,MAX(0,(Inputs!$B$3-100)*3)+Inputs!$B$27+Inputs!$B$28)))</f>
        <v/>
      </c>
      <c r="E249">
        <f>INDEX(FactorTable!$B$2:$Y$301, MATCH(ROUND(MIN(300,MAX(1,D249)),0), FactorTable!$A$2:$A$301,0), Skills!M27+1)</f>
        <v/>
      </c>
      <c r="F249">
        <f>IF(Skills!N27=TRUE,(Skills!L27/10)*(E249/1000),Skills!L27/10)+Skills!O27</f>
        <v/>
      </c>
      <c r="G249">
        <f>Calc!G27</f>
        <v/>
      </c>
      <c r="H249">
        <f>Calc!H27</f>
        <v/>
      </c>
      <c r="I249">
        <f>IF(Skills!AA27&lt;&gt;"",1+(Skills!AA27/10)*(U225/1000)/100,1)</f>
        <v/>
      </c>
      <c r="J249" t="inlineStr"/>
      <c r="K249" t="inlineStr"/>
      <c r="L249" t="inlineStr"/>
      <c r="M249" t="inlineStr"/>
      <c r="N249" t="inlineStr"/>
      <c r="O249" t="n">
        <v>0</v>
      </c>
      <c r="P249">
        <f>IF(B266=0,0,O249/B266)</f>
        <v/>
      </c>
      <c r="Q249" t="n">
        <v>0</v>
      </c>
      <c r="R249" t="n">
        <v>0</v>
      </c>
      <c r="S249">
        <f>IFERROR(O249/N249,0)</f>
        <v/>
      </c>
    </row>
    <row r="250">
      <c r="A250">
        <f>Skills!A28</f>
        <v/>
      </c>
      <c r="B250">
        <f>Skills!B28</f>
        <v/>
      </c>
      <c r="C250">
        <f>Inputs!$B$3&gt;=75</f>
        <v/>
      </c>
      <c r="D250">
        <f>IF(Skills!C28=1,60+Inputs!$B$24+Inputs!$B$28,IF(Skills!C28=2,90+Inputs!$B$25+Inputs!$B$28,IF(Skills!C28=3,120+Inputs!$B$26+Inputs!$B$28,MAX(0,(Inputs!$B$3-100)*3)+Inputs!$B$27+Inputs!$B$28)))</f>
        <v/>
      </c>
      <c r="E250">
        <f>INDEX(FactorTable!$B$2:$Y$301, MATCH(ROUND(MIN(300,MAX(1,D250)),0), FactorTable!$A$2:$A$301,0), Skills!M28+1)</f>
        <v/>
      </c>
      <c r="F250">
        <f>IF(Skills!N28=TRUE,(Skills!L28/10)*(E250/1000),Skills!L28/10)+Skills!O28</f>
        <v/>
      </c>
      <c r="G250">
        <f>Calc!G28</f>
        <v/>
      </c>
      <c r="H250">
        <f>Calc!H28</f>
        <v/>
      </c>
      <c r="I250">
        <f>IF(Skills!AA28&lt;&gt;"",1+(Skills!AA28/10)*(U225/1000)/100,1)</f>
        <v/>
      </c>
      <c r="J250" t="inlineStr"/>
      <c r="K250" t="inlineStr"/>
      <c r="L250" t="inlineStr"/>
      <c r="M250" t="inlineStr"/>
      <c r="N250" t="inlineStr"/>
      <c r="O250" t="n">
        <v>0</v>
      </c>
      <c r="P250">
        <f>IF(B266=0,0,O250/B266)</f>
        <v/>
      </c>
      <c r="Q250" t="n">
        <v>0</v>
      </c>
      <c r="R250" t="n">
        <v>0</v>
      </c>
      <c r="S250">
        <f>IFERROR(O250/N250,0)</f>
        <v/>
      </c>
    </row>
    <row r="251">
      <c r="A251">
        <f>Skills!A29</f>
        <v/>
      </c>
      <c r="B251">
        <f>Skills!B29</f>
        <v/>
      </c>
      <c r="C251">
        <f>Inputs!$B$3&gt;=120</f>
        <v/>
      </c>
      <c r="D251">
        <f>IF(Skills!C29=1,60+Inputs!$B$24+Inputs!$B$28,IF(Skills!C29=2,90+Inputs!$B$25+Inputs!$B$28,IF(Skills!C29=3,120+Inputs!$B$26+Inputs!$B$28,MAX(0,(Inputs!$B$3-100)*3)+Inputs!$B$27+Inputs!$B$28)))</f>
        <v/>
      </c>
      <c r="E251">
        <f>INDEX(FactorTable!$B$2:$Y$301, MATCH(ROUND(MIN(300,MAX(1,D251)),0), FactorTable!$A$2:$A$301,0), Skills!M29+1)</f>
        <v/>
      </c>
      <c r="F251">
        <f>IF(Skills!N29=TRUE,(Skills!L29/10)*(E251/1000),Skills!L29/10)+Skills!O29</f>
        <v/>
      </c>
      <c r="G251">
        <f>Calc!G29</f>
        <v/>
      </c>
      <c r="H251">
        <f>Calc!H29</f>
        <v/>
      </c>
      <c r="I251">
        <f>IF(Skills!AA29&lt;&gt;"",1+(Skills!AA29/10)*(U225/1000)/100,1)</f>
        <v/>
      </c>
      <c r="J251" t="inlineStr"/>
      <c r="K251" t="inlineStr"/>
      <c r="L251" t="inlineStr"/>
      <c r="M251" t="inlineStr"/>
      <c r="N251" t="inlineStr"/>
      <c r="O251" t="n">
        <v>0</v>
      </c>
      <c r="P251">
        <f>IF(B266=0,0,O251/B266)</f>
        <v/>
      </c>
      <c r="Q251" t="n">
        <v>0</v>
      </c>
      <c r="R251" t="n">
        <v>0</v>
      </c>
      <c r="S251">
        <f>IFERROR(O251/N251,0)</f>
        <v/>
      </c>
    </row>
    <row r="252">
      <c r="A252">
        <f>Skills!A30</f>
        <v/>
      </c>
      <c r="B252">
        <f>Skills!B30</f>
        <v/>
      </c>
      <c r="C252">
        <f>Inputs!$B$3&gt;=125</f>
        <v/>
      </c>
      <c r="D252">
        <f>IF(Skills!C30=1,60+Inputs!$B$24+Inputs!$B$28,IF(Skills!C30=2,90+Inputs!$B$25+Inputs!$B$28,IF(Skills!C30=3,120+Inputs!$B$26+Inputs!$B$28,MAX(0,(Inputs!$B$3-100)*3)+Inputs!$B$27+Inputs!$B$28)))</f>
        <v/>
      </c>
      <c r="E252">
        <f>INDEX(FactorTable!$B$2:$Y$301, MATCH(ROUND(MIN(300,MAX(1,D252)),0), FactorTable!$A$2:$A$301,0), Skills!M30+1)</f>
        <v/>
      </c>
      <c r="F252">
        <f>IF(Skills!N30=TRUE,(Skills!L30/10)*(E252/1000),Skills!L30/10)+Skills!O30</f>
        <v/>
      </c>
      <c r="G252">
        <f>Calc!G30</f>
        <v/>
      </c>
      <c r="H252">
        <f>Calc!H30</f>
        <v/>
      </c>
      <c r="I252">
        <f>IF(Skills!AA30&lt;&gt;"",1+(Skills!AA30/10)*(U225/1000)/100,1)</f>
        <v/>
      </c>
      <c r="J252" t="inlineStr"/>
      <c r="K252" t="inlineStr"/>
      <c r="L252" t="inlineStr"/>
      <c r="M252" t="inlineStr"/>
      <c r="N252" t="inlineStr"/>
      <c r="O252" t="n">
        <v>0</v>
      </c>
      <c r="P252">
        <f>IF(B266=0,0,O252/B266)</f>
        <v/>
      </c>
      <c r="Q252" t="n">
        <v>0</v>
      </c>
      <c r="R252" t="n">
        <v>0</v>
      </c>
      <c r="S252">
        <f>IFERROR(O252/N252,0)</f>
        <v/>
      </c>
    </row>
    <row r="253">
      <c r="A253">
        <f>Skills!A31</f>
        <v/>
      </c>
      <c r="B253">
        <f>Skills!B31</f>
        <v/>
      </c>
      <c r="C253">
        <f>Inputs!$B$3&gt;=107</f>
        <v/>
      </c>
      <c r="D253">
        <f>IF(Skills!C31=1,60+Inputs!$B$24+Inputs!$B$28,IF(Skills!C31=2,90+Inputs!$B$25+Inputs!$B$28,IF(Skills!C31=3,120+Inputs!$B$26+Inputs!$B$28,MAX(0,(Inputs!$B$3-100)*3)+Inputs!$B$27+Inputs!$B$28)))</f>
        <v/>
      </c>
      <c r="E253">
        <f>INDEX(FactorTable!$B$2:$Y$301, MATCH(ROUND(MIN(300,MAX(1,D253)),0), FactorTable!$A$2:$A$301,0), Skills!M31+1)</f>
        <v/>
      </c>
      <c r="F253">
        <f>IF(Skills!N31=TRUE,(Skills!L31/10)*(E253/1000),Skills!L31/10)+Skills!O31</f>
        <v/>
      </c>
      <c r="G253">
        <f>Calc!G31</f>
        <v/>
      </c>
      <c r="H253">
        <f>Calc!H31</f>
        <v/>
      </c>
      <c r="I253">
        <f>IF(Skills!AA31&lt;&gt;"",1+(Skills!AA31/10)*(U225/1000)/100,1)</f>
        <v/>
      </c>
      <c r="J253" t="inlineStr"/>
      <c r="K253" t="inlineStr"/>
      <c r="L253" t="inlineStr"/>
      <c r="M253" t="inlineStr"/>
      <c r="N253" t="inlineStr"/>
      <c r="O253" t="n">
        <v>0</v>
      </c>
      <c r="P253">
        <f>IF(B266=0,0,O253/B266)</f>
        <v/>
      </c>
      <c r="Q253" t="n">
        <v>0</v>
      </c>
      <c r="R253" t="n">
        <v>0</v>
      </c>
      <c r="S253">
        <f>IFERROR(O253/N253,0)</f>
        <v/>
      </c>
    </row>
    <row r="255">
      <c r="A255" t="inlineStr">
        <is>
          <t>Actions Per Second (pre-Adrenalin)</t>
        </is>
      </c>
      <c r="B255">
        <f>1+MIN(150,150*(1-(1-(Inputs!$B$10+((C244=TRUE)*(F244-Calc!F22)))/150)*(1-((C241=TRUE)*F241*IF(AND(Inputs!$B$4&lt;&gt;"pvp",Inputs!$B$35&gt;0),(((S241-1)*(Skills!Y19*(1+Inputs!$B$33/100))+MIN((Skills!Y19*(1+Inputs!$B$33/100)),MAX(0,Inputs!$B$35-((S241-1)*Skills!D19))))/Inputs!$B$35),IF(Inputs!$B$4="pvp",MIN((Skills!Y19*(1+Inputs!$B$33/100)),15)/15,(Skills!Y19*(1+Inputs!$B$33/100))/Skills!D19)))/150)))/100</f>
        <v/>
      </c>
    </row>
    <row r="256">
      <c r="A256" t="inlineStr">
        <is>
          <t>Alchemic Adrenaline Uptime</t>
        </is>
      </c>
      <c r="B256">
        <f>(Skills!Y6*(1+Inputs!$B$33/100))/((Skills!Y6*(1+Inputs!$B$33/100))+(5/B255))</f>
        <v/>
      </c>
    </row>
    <row r="257">
      <c r="A257" t="inlineStr">
        <is>
          <t>Attack Speed Buff Bonus %</t>
        </is>
      </c>
      <c r="B257">
        <f>((C241=TRUE)*F241*IF(AND(Inputs!$B$4&lt;&gt;"pvp",Inputs!$B$35&gt;0),(((S241-1)*(Skills!Y19*(1+Inputs!$B$33/100))+MIN((Skills!Y19*(1+Inputs!$B$33/100)),MAX(0,Inputs!$B$35-((S241-1)*Skills!D19))))/Inputs!$B$35),IF(Inputs!$B$4="pvp",MIN((Skills!Y19*(1+Inputs!$B$33/100)),15)/15,(Skills!Y19*(1+Inputs!$B$33/100))/Skills!D19)))+((C229=TRUE)*F229*B256)</f>
        <v/>
      </c>
    </row>
    <row r="258">
      <c r="A258" t="inlineStr">
        <is>
          <t>Actions Per Second (final)</t>
        </is>
      </c>
      <c r="B258">
        <f>1+MIN(150,150*(1-(1-(Inputs!$B$10+((C244=TRUE)*(F244-Calc!F22)))/150)*(1-B257/150)))/100</f>
        <v/>
      </c>
    </row>
    <row r="259">
      <c r="A259" t="inlineStr">
        <is>
          <t>Skill + Buff Cast Rate</t>
        </is>
      </c>
      <c r="B259">
        <f>IF(AND(Inputs!$B$4&lt;&gt;"pvp",Inputs!$B$35&gt;0),SUMPRODUCT((Skills!E2:E31=TRUE)*(C224:C253=TRUE)*R224:R253*Skills!F2:F31)/Inputs!$B$35,SUMPRODUCT((Skills!E2:E31=TRUE)*(C224:C253=TRUE)*Q224:Q253*Skills!F2:F31))</f>
        <v/>
      </c>
    </row>
    <row r="260">
      <c r="A260" t="inlineStr">
        <is>
          <t>Showdown Casts Per Second</t>
        </is>
      </c>
      <c r="B260">
        <f>MAX(0,B258-B259)</f>
        <v/>
      </c>
    </row>
    <row r="261">
      <c r="A261" t="inlineStr">
        <is>
          <t>Average Buff Multiplier</t>
        </is>
      </c>
      <c r="B261">
        <f>(1+(((C243=TRUE)*F243*IF(AND(Inputs!$B$4&lt;&gt;"pvp",Inputs!$B$35&gt;0),(((S243-1)*(Skills!Y21*(1+Inputs!$B$33/100))+MIN((Skills!Y21*(1+Inputs!$B$33/100)),MAX(0,Inputs!$B$35-((S243-1)*Skills!D21))))/Inputs!$B$35),IF(Inputs!$B$4="pvp",MIN((Skills!Y21*(1+Inputs!$B$33/100)),15)/15,(Skills!Y21*(1+Inputs!$B$33/100))/Skills!D21)))+((C250=TRUE)*(F250-Calc!F28))+((C240=TRUE)*(F240-Calc!F18)))/100)*(1+((C237=TRUE)*F237*IF(AND(Inputs!$B$4&lt;&gt;"pvp",Inputs!$B$35&gt;0),(((S237-1)*(Skills!Y15*(1+Inputs!$B$33/100))+MIN((Skills!Y15*(1+Inputs!$B$33/100)),MAX(0,Inputs!$B$35-((S237-1)*Skills!D15))))/Inputs!$B$35),IF(Inputs!$B$4="pvp",MIN((Skills!Y15*(1+Inputs!$B$33/100)),15)/15,(Skills!Y15*(1+Inputs!$B$33/100))/Skills!D15)))/100)*(1+((C228=TRUE)*F228*B256)/100)</f>
        <v/>
      </c>
    </row>
    <row r="262">
      <c r="A262" t="inlineStr">
        <is>
          <t>Global Crit Rate Bonus %</t>
        </is>
      </c>
      <c r="B262">
        <f>IF(Inputs!$B$3&gt;=47,8,0)+((C242=TRUE)*F242*IF(AND(Inputs!$B$4&lt;&gt;"pvp",Inputs!$B$35&gt;0),(((S242-1)*(Skills!Y20*(1+Inputs!$B$33/100))+MIN((Skills!Y20*(1+Inputs!$B$33/100)),MAX(0,Inputs!$B$35-((S242-1)*Skills!D20))))/Inputs!$B$35),IF(Inputs!$B$4="pvp",MIN((Skills!Y20*(1+Inputs!$B$33/100)),15)/15,(Skills!Y20*(1+Inputs!$B$33/100))/Skills!D20)))</f>
        <v/>
      </c>
    </row>
    <row r="263">
      <c r="A263" t="inlineStr">
        <is>
          <t>Global Monster Damage-Taken Bonus %</t>
        </is>
      </c>
      <c r="B263">
        <f>IF(Inputs!$B$3&gt;=82,15,0)+((C238=TRUE)*F238*IF(AND(Inputs!$B$4&lt;&gt;"pvp",Inputs!$B$35&gt;0),(((S238-1)*(Skills!Y16*(1+Inputs!$B$33/100))+MIN((Skills!Y16*(1+Inputs!$B$33/100)),MAX(0,Inputs!$B$35-((S238-1)*Skills!D16))))/Inputs!$B$35),IF(Inputs!$B$4="pvp",MIN((Skills!Y16*(1+Inputs!$B$33/100)),15)/15,(Skills!Y16*(1+Inputs!$B$33/100))/Skills!D16)))</f>
        <v/>
      </c>
    </row>
    <row r="264">
      <c r="A264" t="inlineStr">
        <is>
          <t>Shadow Partner Average Multiplier</t>
        </is>
      </c>
      <c r="B264">
        <f>1+((C233=TRUE)*F233*I233*Skills!J11/100)/100</f>
        <v/>
      </c>
    </row>
    <row r="265">
      <c r="A265" t="inlineStr">
        <is>
          <t>Global Critical Damage Bonus % (Frailty Curse Mastery Lv.111)</t>
        </is>
      </c>
      <c r="B265">
        <f>IF(Inputs!$B$3&gt;=111,30,0)*IF(AND(Inputs!$B$4&lt;&gt;"pvp",Inputs!$B$35&gt;0),(((S238-1)*(Skills!Y16*(1+Inputs!$B$33/100))+MIN((Skills!Y16*(1+Inputs!$B$33/100)),MAX(0,Inputs!$B$35-((S238-1)*Skills!D16))))/Inputs!$B$35),IF(Inputs!$B$4="pvp",MIN((Skills!Y16*(1+Inputs!$B$33/100)),15)/15,(Skills!Y16*(1+Inputs!$B$33/100))/Skills!D16))</f>
        <v/>
      </c>
    </row>
    <row r="266">
      <c r="A266" s="5" t="inlineStr">
        <is>
          <t>TOTAL DPS</t>
        </is>
      </c>
      <c r="B266" s="5">
        <f>SUM(O224:O253)</f>
        <v/>
      </c>
    </row>
    <row r="269">
      <c r="A269" s="5" t="inlineStr">
        <is>
          <t>Stat: BOSS_DAMAGE %</t>
        </is>
      </c>
    </row>
    <row r="270">
      <c r="A270" s="8" t="inlineStr">
        <is>
          <t>Key</t>
        </is>
      </c>
      <c r="B270" s="8" t="inlineStr">
        <is>
          <t>Name</t>
        </is>
      </c>
      <c r="C270" s="8" t="inlineStr">
        <is>
          <t>Unlocked</t>
        </is>
      </c>
      <c r="D270" s="8" t="inlineStr">
        <is>
          <t>InputLevel</t>
        </is>
      </c>
      <c r="E270" s="8" t="inlineStr">
        <is>
          <t>Factor</t>
        </is>
      </c>
      <c r="F270" s="8" t="inlineStr">
        <is>
          <t>CoefficientPercent</t>
        </is>
      </c>
      <c r="G270" s="8" t="inlineStr">
        <is>
          <t>EffectiveHits</t>
        </is>
      </c>
      <c r="H270" s="8" t="inlineStr">
        <is>
          <t>ProcProbability</t>
        </is>
      </c>
      <c r="I270" s="8" t="inlineStr">
        <is>
          <t>MapleHeroMultiplier</t>
        </is>
      </c>
      <c r="J270" s="8" t="inlineStr">
        <is>
          <t>BaseDamage</t>
        </is>
      </c>
      <c r="K270" s="8" t="inlineStr">
        <is>
          <t>BaseHitDamage</t>
        </is>
      </c>
      <c r="L270" s="8" t="inlineStr">
        <is>
          <t>NonCritAvg</t>
        </is>
      </c>
      <c r="M270" s="8" t="inlineStr">
        <is>
          <t>CritAvg</t>
        </is>
      </c>
      <c r="N270" s="8" t="inlineStr">
        <is>
          <t>ExpectedDamage(perHit)</t>
        </is>
      </c>
      <c r="O270" s="8" t="inlineStr">
        <is>
          <t>DPS</t>
        </is>
      </c>
      <c r="P270" s="8" t="inlineStr">
        <is>
          <t>% of Total</t>
        </is>
      </c>
      <c r="Q270" s="8" t="inlineStr">
        <is>
          <t>InvCooldown</t>
        </is>
      </c>
      <c r="R270" s="8" t="inlineStr">
        <is>
          <t>CastsInFight</t>
        </is>
      </c>
      <c r="S270" s="8" t="inlineStr">
        <is>
          <t>HitRate(perSec)</t>
        </is>
      </c>
      <c r="U270" t="inlineStr">
        <is>
          <t>helpers</t>
        </is>
      </c>
    </row>
    <row r="271">
      <c r="A271">
        <f>Skills!A2</f>
        <v/>
      </c>
      <c r="B271">
        <f>Skills!B2</f>
        <v/>
      </c>
      <c r="C271">
        <f>Inputs!$B$3&gt;=100</f>
        <v/>
      </c>
      <c r="D271" t="inlineStr"/>
      <c r="E271" t="inlineStr"/>
      <c r="F271">
        <f>U275+Skills!O2</f>
        <v/>
      </c>
      <c r="G271">
        <f>Calc!G2</f>
        <v/>
      </c>
      <c r="H271">
        <f>Calc!H2</f>
        <v/>
      </c>
      <c r="I271">
        <f>IF(Skills!AA2&lt;&gt;"",1+(Skills!AA2/10)*(U272/1000)/100,1)</f>
        <v/>
      </c>
      <c r="J271">
        <f>(Inputs!$B$5*(1+Inputs!$B$6/100))*(F271/100)</f>
        <v/>
      </c>
      <c r="K271">
        <f>J271*(1+((Inputs!$B$11*(1+Inputs!$B$12/100))*0.01+Inputs!$B$13*0.0025)/100)*(1+Inputs!$B$14/100)*(1+IF(Inputs!$B$4="pvp",0,(1-Summary!$B$55)*((Inputs!$B$19+1)+((C296=TRUE)*(F296-Calc!F27))+Skills!P2+B310)+Summary!$B$55*(Inputs!$B$20+Skills!Q2+B310))/100)*(1+Inputs!$B$15/100)*(5000/(6000+Inputs!$B$7*(1-Inputs!$B$18/100)))*(1+(Inputs!$B$23+((C299=TRUE)*(F299-Calc!F30)))/100)*(1+Skills!R2/100)*(1+(IF(Skills!A2="SHOWDOWN",Inputs!$B$16+((C292=TRUE)*(F292-Calc!F23)),Inputs!$B$17+((C298=TRUE)*(F298-Calc!F29))))/100)*(((1+(((C290=TRUE)*F290*IF(AND(Inputs!$B$4&lt;&gt;"pvp",Inputs!$B$35&gt;0),(((S290-1)*(Skills!Y21*(1+Inputs!$B$33/100))+MIN((Skills!Y21*(1+Inputs!$B$33/100)),MAX(0,Inputs!$B$35-((S290-1)*Skills!D21))))/Inputs!$B$35),IF(Inputs!$B$4="pvp",MIN((Skills!Y21*(1+Inputs!$B$33/100)),15)/15,(Skills!Y21*(1+Inputs!$B$33/100))/Skills!D21)))+((C297=TRUE)*(F297-Calc!F28))+((C287=TRUE)*(F287-Calc!F18)))/100)*(1+((C284=TRUE)*F284*IF(AND(Inputs!$B$4&lt;&gt;"pvp",Inputs!$B$35&gt;0),(((S284-1)*(Skills!Y15*(1+Inputs!$B$33/100))+MIN((Skills!Y15*(1+Inputs!$B$33/100)),MAX(0,Inputs!$B$35-((S284-1)*Skills!D15))))/Inputs!$B$35),IF(Inputs!$B$4="pvp",MIN((Skills!Y15*(1+Inputs!$B$33/100)),15)/15,(Skills!Y15*(1+Inputs!$B$33/100))/Skills!D15)))/100)*(1+((C275=TRUE)*F275*B303)/100))*B311*I271)</f>
        <v/>
      </c>
      <c r="L271">
        <f>K271*(MIN(Inputs!$B$21+((C293=TRUE)*(F293-Calc!F24)),Inputs!$B$22)/100+Inputs!$B$22/100)/2</f>
        <v/>
      </c>
      <c r="M271">
        <f>L271*(1+(Inputs!$B$9+((C295=TRUE)*(F295-Calc!F26))+B312)/100)</f>
        <v/>
      </c>
      <c r="N271">
        <f>L271*(1-MIN((Inputs!$B$8+((C294=TRUE)*(F294-Calc!F25))+B309),100)/100)+M271*(MIN((Inputs!$B$8+((C294=TRUE)*(F294-Calc!F25))+B309),100)/100)</f>
        <v/>
      </c>
      <c r="O271">
        <f>IF(C271,Skills!G2*N271*B307*IF(Inputs!$B$4="pvp",1,(1-Summary!$B$55)*(1)+Summary!$B$55*(MIN((6+Inputs!$B$32),Inputs!$B$37))),0)</f>
        <v/>
      </c>
      <c r="P271">
        <f>IF(B313=0,0,O271/B313)</f>
        <v/>
      </c>
      <c r="Q271" t="n">
        <v>0</v>
      </c>
      <c r="R271" t="n">
        <v>0</v>
      </c>
      <c r="S271">
        <f>IFERROR(O271/N271,0)</f>
        <v/>
      </c>
      <c r="U271">
        <f>MAX(0,(Inputs!$B$3-100)*3)+Inputs!$B$27+Inputs!$B$28</f>
        <v/>
      </c>
    </row>
    <row r="272">
      <c r="A272">
        <f>Skills!A3</f>
        <v/>
      </c>
      <c r="B272">
        <f>Skills!B3</f>
        <v/>
      </c>
      <c r="C272">
        <f>Inputs!$B$3&gt;=35</f>
        <v/>
      </c>
      <c r="D272">
        <f>IF(Skills!C3=1,60+Inputs!$B$24+Inputs!$B$28,IF(Skills!C3=2,90+Inputs!$B$25+Inputs!$B$28,IF(Skills!C3=3,120+Inputs!$B$26+Inputs!$B$28,MAX(0,(Inputs!$B$3-100)*3)+Inputs!$B$27+Inputs!$B$28)))</f>
        <v/>
      </c>
      <c r="E272">
        <f>INDEX(FactorTable!$B$2:$Y$301, MATCH(ROUND(MIN(300,MAX(1,D272)),0), FactorTable!$A$2:$A$301,0), Skills!M3+1)</f>
        <v/>
      </c>
      <c r="F272">
        <f>IF(Skills!N3=TRUE,(Skills!L3/10)*(E272/1000),Skills!L3/10)+Skills!O3</f>
        <v/>
      </c>
      <c r="G272">
        <f>Calc!G3</f>
        <v/>
      </c>
      <c r="H272">
        <f>Calc!H3</f>
        <v/>
      </c>
      <c r="I272">
        <f>IF(Skills!AA3&lt;&gt;"",1+(Skills!AA3/10)*(U272/1000)/100,1)</f>
        <v/>
      </c>
      <c r="J272">
        <f>(Inputs!$B$5*(1+Inputs!$B$6/100))*(F272/100)</f>
        <v/>
      </c>
      <c r="K272">
        <f>J272*(1+((Inputs!$B$11*(1+Inputs!$B$12/100))*0.01+Inputs!$B$13*0.0025)/100)*(1+Inputs!$B$14/100)*(1+IF(Inputs!$B$4="pvp",0,(1-Summary!$B$55)*((Inputs!$B$19+1)+((C296=TRUE)*(F296-Calc!F27))+Skills!P3+B310)+Summary!$B$55*(Inputs!$B$20+Skills!Q3+B310))/100)*(1+Inputs!$B$15/100)*(5000/(6000+Inputs!$B$7*(1-Inputs!$B$18/100)))*(1+(Inputs!$B$23+((C299=TRUE)*(F299-Calc!F30)))/100)*(1+Skills!R3/100)*(1+(IF(Skills!A3="SHOWDOWN",Inputs!$B$16+((C292=TRUE)*(F292-Calc!F23)),Inputs!$B$17+((C298=TRUE)*(F298-Calc!F29))))/100)*(((1+(((C290=TRUE)*F290*IF(AND(Inputs!$B$4&lt;&gt;"pvp",Inputs!$B$35&gt;0),(((S290-1)*(Skills!Y21*(1+Inputs!$B$33/100))+MIN((Skills!Y21*(1+Inputs!$B$33/100)),MAX(0,Inputs!$B$35-((S290-1)*Skills!D21))))/Inputs!$B$35),IF(Inputs!$B$4="pvp",MIN((Skills!Y21*(1+Inputs!$B$33/100)),15)/15,(Skills!Y21*(1+Inputs!$B$33/100))/Skills!D21)))+((C297=TRUE)*(F297-Calc!F28))+((C287=TRUE)*(F287-Calc!F18)))/100)*(1+((C284=TRUE)*F284*IF(AND(Inputs!$B$4&lt;&gt;"pvp",Inputs!$B$35&gt;0),(((S284-1)*(Skills!Y15*(1+Inputs!$B$33/100))+MIN((Skills!Y15*(1+Inputs!$B$33/100)),MAX(0,Inputs!$B$35-((S284-1)*Skills!D15))))/Inputs!$B$35),IF(Inputs!$B$4="pvp",MIN((Skills!Y15*(1+Inputs!$B$33/100)),15)/15,(Skills!Y15*(1+Inputs!$B$33/100))/Skills!D15)))/100)*(1+((C275=TRUE)*F275*B303)/100))*B311*I272)</f>
        <v/>
      </c>
      <c r="L272">
        <f>K272*(MIN(Inputs!$B$21+((C293=TRUE)*(F293-Calc!F24)),Inputs!$B$22)/100+Inputs!$B$22/100)/2</f>
        <v/>
      </c>
      <c r="M272">
        <f>L272*(1+(Inputs!$B$9+((C295=TRUE)*(F295-Calc!F26))+B312)/100)</f>
        <v/>
      </c>
      <c r="N272">
        <f>L272*(1-MIN((Inputs!$B$8+((C294=TRUE)*(F294-Calc!F25))+B309),100)/100)+M272*(MIN((Inputs!$B$8+((C294=TRUE)*(F294-Calc!F25))+B309),100)/100)</f>
        <v/>
      </c>
      <c r="O272">
        <f>IF(C272,H272*N272*IF(AND(Inputs!$B$4&lt;&gt;"pvp",Inputs!$B$35&gt;0),((Skills!G3*((R272-1)*IF(Skills!H3&gt;0,Skills!I3/Skills!H3,1)+IF(Skills!H3&gt;0,MIN(Skills!I3,MAX(0,Inputs!$B$35-((R272-1)*IF(Inputs!$B$4="pvp",15,MAX(0.1,Skills!D3-IF(Skills!E3=TRUE,Inputs!$B$31,0))))))/Skills!H3,1)))/Inputs!$B$35),G272*Q272)*IF(Inputs!$B$4="pvp",1,(1-Summary!$B$55)*(1)+Summary!$B$55*(MIN(Skills!W3,Inputs!$B$37))),0)</f>
        <v/>
      </c>
      <c r="P272">
        <f>IF(B313=0,0,O272/B313)</f>
        <v/>
      </c>
      <c r="Q272">
        <f>IFERROR(1/IF(Inputs!$B$4="pvp",15,MAX(0.1,Skills!D3-IF(Skills!E3=TRUE,Inputs!$B$31,0))),0)</f>
        <v/>
      </c>
      <c r="R272">
        <f>IF(AND(Inputs!$B$4&lt;&gt;"pvp",Inputs!$B$35&gt;0),(INT(Inputs!$B$35/IF(Inputs!$B$4="pvp",15,MAX(0.1,Skills!D3-IF(Skills!E3=TRUE,Inputs!$B$31,0))))+1),0)</f>
        <v/>
      </c>
      <c r="S272">
        <f>IFERROR(O272/N272,0)</f>
        <v/>
      </c>
      <c r="U272">
        <f>INDEX(FactorTable!$B$2:$Y$301, MATCH(ROUND(MIN(300,MAX(1,U271)),0), FactorTable!$A$2:$A$301,0), 24)</f>
        <v/>
      </c>
    </row>
    <row r="273">
      <c r="A273">
        <f>Skills!A4</f>
        <v/>
      </c>
      <c r="B273">
        <f>Skills!B4</f>
        <v/>
      </c>
      <c r="C273">
        <f>Inputs!$B$3&gt;=40</f>
        <v/>
      </c>
      <c r="D273">
        <f>IF(Skills!C4=1,60+Inputs!$B$24+Inputs!$B$28,IF(Skills!C4=2,90+Inputs!$B$25+Inputs!$B$28,IF(Skills!C4=3,120+Inputs!$B$26+Inputs!$B$28,MAX(0,(Inputs!$B$3-100)*3)+Inputs!$B$27+Inputs!$B$28)))</f>
        <v/>
      </c>
      <c r="E273">
        <f>INDEX(FactorTable!$B$2:$Y$301, MATCH(ROUND(MIN(300,MAX(1,D273)),0), FactorTable!$A$2:$A$301,0), Skills!M4+1)</f>
        <v/>
      </c>
      <c r="F273">
        <f>IF(Skills!N4=TRUE,(Skills!L4/10)*(E273/1000),Skills!L4/10)+Skills!O4</f>
        <v/>
      </c>
      <c r="G273">
        <f>Calc!G4</f>
        <v/>
      </c>
      <c r="H273">
        <f>Calc!H4</f>
        <v/>
      </c>
      <c r="I273">
        <f>IF(Skills!AA4&lt;&gt;"",1+(Skills!AA4/10)*(U272/1000)/100,1)</f>
        <v/>
      </c>
      <c r="J273">
        <f>(Inputs!$B$5*(1+Inputs!$B$6/100))*(F273/100)</f>
        <v/>
      </c>
      <c r="K273">
        <f>J273*(1+((Inputs!$B$11*(1+Inputs!$B$12/100))*0.01+Inputs!$B$13*0.0025)/100)*(1+Inputs!$B$14/100)*(1+IF(Inputs!$B$4="pvp",0,(1-Summary!$B$55)*((Inputs!$B$19+1)+((C296=TRUE)*(F296-Calc!F27))+Skills!P4+B310)+Summary!$B$55*(Inputs!$B$20+Skills!Q4+B310))/100)*(1+Inputs!$B$15/100)*(5000/(6000+Inputs!$B$7*(1-Inputs!$B$18/100)))*(1+(Inputs!$B$23+((C299=TRUE)*(F299-Calc!F30)))/100)*(1+Skills!R4/100)*(1+(IF(Skills!A4="SHOWDOWN",Inputs!$B$16+((C292=TRUE)*(F292-Calc!F23)),Inputs!$B$17+((C298=TRUE)*(F298-Calc!F29))))/100)*(((1+(((C290=TRUE)*F290*IF(AND(Inputs!$B$4&lt;&gt;"pvp",Inputs!$B$35&gt;0),(((S290-1)*(Skills!Y21*(1+Inputs!$B$33/100))+MIN((Skills!Y21*(1+Inputs!$B$33/100)),MAX(0,Inputs!$B$35-((S290-1)*Skills!D21))))/Inputs!$B$35),IF(Inputs!$B$4="pvp",MIN((Skills!Y21*(1+Inputs!$B$33/100)),15)/15,(Skills!Y21*(1+Inputs!$B$33/100))/Skills!D21)))+((C297=TRUE)*(F297-Calc!F28))+((C287=TRUE)*(F287-Calc!F18)))/100)*(1+((C284=TRUE)*F284*IF(AND(Inputs!$B$4&lt;&gt;"pvp",Inputs!$B$35&gt;0),(((S284-1)*(Skills!Y15*(1+Inputs!$B$33/100))+MIN((Skills!Y15*(1+Inputs!$B$33/100)),MAX(0,Inputs!$B$35-((S284-1)*Skills!D15))))/Inputs!$B$35),IF(Inputs!$B$4="pvp",MIN((Skills!Y15*(1+Inputs!$B$33/100)),15)/15,(Skills!Y15*(1+Inputs!$B$33/100))/Skills!D15)))/100)*(1+((C275=TRUE)*F275*B303)/100))*B311*I273)</f>
        <v/>
      </c>
      <c r="L273">
        <f>K273*(MIN(Inputs!$B$21+((C293=TRUE)*(F293-Calc!F24)),Inputs!$B$22)/100+Inputs!$B$22/100)/2</f>
        <v/>
      </c>
      <c r="M273">
        <f>L273*(1+(Inputs!$B$9+((C295=TRUE)*(F295-Calc!F26))+B312)/100)</f>
        <v/>
      </c>
      <c r="N273">
        <f>L273*(1-MIN((Inputs!$B$8+((C294=TRUE)*(F294-Calc!F25))+B309),100)/100)+M273*(MIN((Inputs!$B$8+((C294=TRUE)*(F294-Calc!F25))+B309),100)/100)</f>
        <v/>
      </c>
      <c r="O273">
        <f>IF(C273,H273*N273*IF(AND(Inputs!$B$4&lt;&gt;"pvp",Inputs!$B$35&gt;0),((Skills!G4*((R273-1)*IF(Skills!H4&gt;0,Skills!I4/Skills!H4,1)+IF(Skills!H4&gt;0,MIN(Skills!I4,MAX(0,Inputs!$B$35-((R273-1)*IF(Inputs!$B$4="pvp",15,MAX(0.1,Skills!D4-IF(Skills!E4=TRUE,Inputs!$B$31,0))))))/Skills!H4,1)))/Inputs!$B$35),G273*Q273)*IF(Inputs!$B$4="pvp",1,(1-Summary!$B$55)*(1)+Summary!$B$55*(MIN(Skills!W4,Inputs!$B$37))),0)</f>
        <v/>
      </c>
      <c r="P273">
        <f>IF(B313=0,0,O273/B313)</f>
        <v/>
      </c>
      <c r="Q273">
        <f>IFERROR(1/IF(Inputs!$B$4="pvp",15,MAX(0.1,Skills!D4-IF(Skills!E4=TRUE,Inputs!$B$31,0))),0)</f>
        <v/>
      </c>
      <c r="R273">
        <f>IF(AND(Inputs!$B$4&lt;&gt;"pvp",Inputs!$B$35&gt;0),(INT(Inputs!$B$35/IF(Inputs!$B$4="pvp",15,MAX(0.1,Skills!D4-IF(Skills!E4=TRUE,Inputs!$B$31,0))))+1),0)</f>
        <v/>
      </c>
      <c r="S273">
        <f>IFERROR(O273/N273,0)</f>
        <v/>
      </c>
      <c r="U273">
        <f>MAX(0,(Inputs!$B$3-100)*3)+Inputs!$B$27+Inputs!$B$28</f>
        <v/>
      </c>
    </row>
    <row r="274">
      <c r="A274">
        <f>Skills!A5</f>
        <v/>
      </c>
      <c r="B274">
        <f>Skills!B5</f>
        <v/>
      </c>
      <c r="C274">
        <f>Inputs!$B$3&gt;=63</f>
        <v/>
      </c>
      <c r="D274">
        <f>IF(Skills!C5=1,60+Inputs!$B$24+Inputs!$B$28,IF(Skills!C5=2,90+Inputs!$B$25+Inputs!$B$28,IF(Skills!C5=3,120+Inputs!$B$26+Inputs!$B$28,MAX(0,(Inputs!$B$3-100)*3)+Inputs!$B$27+Inputs!$B$28)))</f>
        <v/>
      </c>
      <c r="E274">
        <f>INDEX(FactorTable!$B$2:$Y$301, MATCH(ROUND(MIN(300,MAX(1,D274)),0), FactorTable!$A$2:$A$301,0), Skills!M5+1)</f>
        <v/>
      </c>
      <c r="F274">
        <f>IF(Skills!N5=TRUE,(Skills!L5/10)*(E274/1000),Skills!L5/10)+Skills!O5</f>
        <v/>
      </c>
      <c r="G274">
        <f>Calc!G5</f>
        <v/>
      </c>
      <c r="H274">
        <f>Calc!H5</f>
        <v/>
      </c>
      <c r="I274">
        <f>IF(Skills!AA5&lt;&gt;"",1+(Skills!AA5/10)*(U272/1000)/100,1)</f>
        <v/>
      </c>
      <c r="J274">
        <f>(Inputs!$B$5*(1+Inputs!$B$6/100))*(F274/100)</f>
        <v/>
      </c>
      <c r="K274">
        <f>J274*(1+((Inputs!$B$11*(1+Inputs!$B$12/100))*0.01+Inputs!$B$13*0.0025)/100)*(1+Inputs!$B$14/100)*(1+IF(Inputs!$B$4="pvp",0,(1-Summary!$B$55)*((Inputs!$B$19+1)+((C296=TRUE)*(F296-Calc!F27))+Skills!P5+B310)+Summary!$B$55*(Inputs!$B$20+Skills!Q5+B310))/100)*(1+Inputs!$B$15/100)*(5000/(6000+Inputs!$B$7*(1-Inputs!$B$18/100)))*(1+(Inputs!$B$23+((C299=TRUE)*(F299-Calc!F30)))/100)*(1+Skills!R5/100)*(1+(IF(Skills!A5="SHOWDOWN",Inputs!$B$16+((C292=TRUE)*(F292-Calc!F23)),Inputs!$B$17+((C298=TRUE)*(F298-Calc!F29))))/100)*(((1+(((C290=TRUE)*F290*IF(AND(Inputs!$B$4&lt;&gt;"pvp",Inputs!$B$35&gt;0),(((S290-1)*(Skills!Y21*(1+Inputs!$B$33/100))+MIN((Skills!Y21*(1+Inputs!$B$33/100)),MAX(0,Inputs!$B$35-((S290-1)*Skills!D21))))/Inputs!$B$35),IF(Inputs!$B$4="pvp",MIN((Skills!Y21*(1+Inputs!$B$33/100)),15)/15,(Skills!Y21*(1+Inputs!$B$33/100))/Skills!D21)))+((C297=TRUE)*(F297-Calc!F28))+((C287=TRUE)*(F287-Calc!F18)))/100)*(1+((C284=TRUE)*F284*IF(AND(Inputs!$B$4&lt;&gt;"pvp",Inputs!$B$35&gt;0),(((S284-1)*(Skills!Y15*(1+Inputs!$B$33/100))+MIN((Skills!Y15*(1+Inputs!$B$33/100)),MAX(0,Inputs!$B$35-((S284-1)*Skills!D15))))/Inputs!$B$35),IF(Inputs!$B$4="pvp",MIN((Skills!Y15*(1+Inputs!$B$33/100)),15)/15,(Skills!Y15*(1+Inputs!$B$33/100))/Skills!D15)))/100)*(1+((C275=TRUE)*F275*B303)/100))*B311*I274)</f>
        <v/>
      </c>
      <c r="L274">
        <f>K274*(MIN(Inputs!$B$21+((C293=TRUE)*(F293-Calc!F24)),Inputs!$B$22)/100+Inputs!$B$22/100)/2</f>
        <v/>
      </c>
      <c r="M274">
        <f>L274*(1+(Inputs!$B$9+((C295=TRUE)*(F295-Calc!F26))+B312)/100)</f>
        <v/>
      </c>
      <c r="N274">
        <f>L274*(1-MIN((Inputs!$B$8+((C294=TRUE)*(F294-Calc!F25))+B309),100)/100)+M274*(MIN((Inputs!$B$8+((C294=TRUE)*(F294-Calc!F25))+B309),100)/100)</f>
        <v/>
      </c>
      <c r="O274">
        <f>IF(C274,H274*N274*IF(AND(Inputs!$B$4&lt;&gt;"pvp",Inputs!$B$35&gt;0),((Skills!G5*((R274-1)*IF(Skills!H5&gt;0,Skills!I5/Skills!H5,1)+IF(Skills!H5&gt;0,MIN(Skills!I5,MAX(0,Inputs!$B$35-((R274-1)*IF(Inputs!$B$4="pvp",15,MAX(0.1,Skills!D5-IF(Skills!E5=TRUE,Inputs!$B$31,0))))))/Skills!H5,1)))/Inputs!$B$35),G274*Q274)*IF(Inputs!$B$4="pvp",1,(1-Summary!$B$55)*(1)+Summary!$B$55*(MIN(Skills!W5,Inputs!$B$37))),0)</f>
        <v/>
      </c>
      <c r="P274">
        <f>IF(B313=0,0,O274/B313)</f>
        <v/>
      </c>
      <c r="Q274">
        <f>IFERROR(1/IF(Inputs!$B$4="pvp",15,MAX(0.1,Skills!D5-IF(Skills!E5=TRUE,Inputs!$B$31,0))),0)</f>
        <v/>
      </c>
      <c r="R274">
        <f>IF(AND(Inputs!$B$4&lt;&gt;"pvp",Inputs!$B$35&gt;0),(INT(Inputs!$B$35/IF(Inputs!$B$4="pvp",15,MAX(0.1,Skills!D5-IF(Skills!E5=TRUE,Inputs!$B$31,0))))+1),0)</f>
        <v/>
      </c>
      <c r="S274">
        <f>IFERROR(O274/N274,0)</f>
        <v/>
      </c>
      <c r="U274">
        <f>INDEX(FactorTable!$B$2:$Y$301, MATCH(ROUND(MIN(300,MAX(1,U273)),0), FactorTable!$A$2:$A$301,0), 22)</f>
        <v/>
      </c>
    </row>
    <row r="275">
      <c r="A275">
        <f>Skills!A6</f>
        <v/>
      </c>
      <c r="B275">
        <f>Skills!B6</f>
        <v/>
      </c>
      <c r="C275">
        <f>Inputs!$B$3&gt;=66</f>
        <v/>
      </c>
      <c r="D275">
        <f>IF(Skills!C6=1,60+Inputs!$B$24+Inputs!$B$28,IF(Skills!C6=2,90+Inputs!$B$25+Inputs!$B$28,IF(Skills!C6=3,120+Inputs!$B$26+Inputs!$B$28,MAX(0,(Inputs!$B$3-100)*3)+Inputs!$B$27+Inputs!$B$28)))</f>
        <v/>
      </c>
      <c r="E275">
        <f>INDEX(FactorTable!$B$2:$Y$301, MATCH(ROUND(MIN(300,MAX(1,D275)),0), FactorTable!$A$2:$A$301,0), Skills!M6+1)</f>
        <v/>
      </c>
      <c r="F275">
        <f>IF(Skills!N6=TRUE,(Skills!L6/10)*(E275/1000),Skills!L6/10)+Skills!O6</f>
        <v/>
      </c>
      <c r="G275">
        <f>Calc!G6</f>
        <v/>
      </c>
      <c r="H275">
        <f>Calc!H6</f>
        <v/>
      </c>
      <c r="I275">
        <f>IF(Skills!AA6&lt;&gt;"",1+(Skills!AA6/10)*(U272/1000)/100,1)</f>
        <v/>
      </c>
      <c r="J275" t="inlineStr"/>
      <c r="K275" t="inlineStr"/>
      <c r="L275" t="inlineStr"/>
      <c r="M275" t="inlineStr"/>
      <c r="N275" t="inlineStr"/>
      <c r="O275" t="n">
        <v>0</v>
      </c>
      <c r="P275">
        <f>IF(B313=0,0,O275/B313)</f>
        <v/>
      </c>
      <c r="Q275" t="n">
        <v>0</v>
      </c>
      <c r="R275" t="n">
        <v>0</v>
      </c>
      <c r="S275">
        <f>IFERROR(O275/N275,0)</f>
        <v/>
      </c>
      <c r="U275">
        <f>290*U274/1000</f>
        <v/>
      </c>
    </row>
    <row r="276">
      <c r="A276">
        <f>Skills!A7</f>
        <v/>
      </c>
      <c r="B276">
        <f>Skills!B7</f>
        <v/>
      </c>
      <c r="C276">
        <f>Inputs!$B$3&gt;=66</f>
        <v/>
      </c>
      <c r="D276">
        <f>IF(Skills!C7=1,60+Inputs!$B$24+Inputs!$B$28,IF(Skills!C7=2,90+Inputs!$B$25+Inputs!$B$28,IF(Skills!C7=3,120+Inputs!$B$26+Inputs!$B$28,MAX(0,(Inputs!$B$3-100)*3)+Inputs!$B$27+Inputs!$B$28)))</f>
        <v/>
      </c>
      <c r="E276">
        <f>INDEX(FactorTable!$B$2:$Y$301, MATCH(ROUND(MIN(300,MAX(1,D276)),0), FactorTable!$A$2:$A$301,0), Skills!M7+1)</f>
        <v/>
      </c>
      <c r="F276">
        <f>IF(Skills!N7=TRUE,(Skills!L7/10)*(E276/1000),Skills!L7/10)+Skills!O7</f>
        <v/>
      </c>
      <c r="G276">
        <f>Calc!G7</f>
        <v/>
      </c>
      <c r="H276">
        <f>Calc!H7</f>
        <v/>
      </c>
      <c r="I276">
        <f>IF(Skills!AA7&lt;&gt;"",1+(Skills!AA7/10)*(U272/1000)/100,1)</f>
        <v/>
      </c>
      <c r="J276" t="inlineStr"/>
      <c r="K276" t="inlineStr"/>
      <c r="L276" t="inlineStr"/>
      <c r="M276" t="inlineStr"/>
      <c r="N276" t="inlineStr"/>
      <c r="O276" t="n">
        <v>0</v>
      </c>
      <c r="P276">
        <f>IF(B313=0,0,O276/B313)</f>
        <v/>
      </c>
      <c r="Q276" t="n">
        <v>0</v>
      </c>
      <c r="R276" t="n">
        <v>0</v>
      </c>
      <c r="S276">
        <f>IFERROR(O276/N276,0)</f>
        <v/>
      </c>
    </row>
    <row r="277">
      <c r="A277">
        <f>Skills!A8</f>
        <v/>
      </c>
      <c r="B277">
        <f>Skills!B8</f>
        <v/>
      </c>
      <c r="C277">
        <f>Inputs!$B$3&gt;=69</f>
        <v/>
      </c>
      <c r="D277">
        <f>IF(Skills!C8=1,60+Inputs!$B$24+Inputs!$B$28,IF(Skills!C8=2,90+Inputs!$B$25+Inputs!$B$28,IF(Skills!C8=3,120+Inputs!$B$26+Inputs!$B$28,MAX(0,(Inputs!$B$3-100)*3)+Inputs!$B$27+Inputs!$B$28)))</f>
        <v/>
      </c>
      <c r="E277">
        <f>INDEX(FactorTable!$B$2:$Y$301, MATCH(ROUND(MIN(300,MAX(1,D277)),0), FactorTable!$A$2:$A$301,0), Skills!M8+1)</f>
        <v/>
      </c>
      <c r="F277">
        <f>IF(Skills!N8=TRUE,(Skills!L8/10)*(E277/1000),Skills!L8/10)+Skills!O8</f>
        <v/>
      </c>
      <c r="G277">
        <f>Calc!G8</f>
        <v/>
      </c>
      <c r="H277">
        <f>Calc!H8</f>
        <v/>
      </c>
      <c r="I277">
        <f>IF(Skills!AA8&lt;&gt;"",1+(Skills!AA8/10)*(U272/1000)/100,1)</f>
        <v/>
      </c>
      <c r="J277">
        <f>(Inputs!$B$5*(1+Inputs!$B$6/100))*(F277/100)</f>
        <v/>
      </c>
      <c r="K277">
        <f>J277*(1+((Inputs!$B$11*(1+Inputs!$B$12/100))*0.01+Inputs!$B$13*0.0025)/100)*(1+Inputs!$B$14/100)*(1+IF(Inputs!$B$4="pvp",0,(1-Summary!$B$55)*((Inputs!$B$19+1)+((C296=TRUE)*(F296-Calc!F27))+Skills!P8+B310)+Summary!$B$55*(Inputs!$B$20+Skills!Q8+B310))/100)*(1+Inputs!$B$15/100)*(5000/(6000+Inputs!$B$7*(1-Inputs!$B$18/100)))*(1+(Inputs!$B$23+((C299=TRUE)*(F299-Calc!F30)))/100)*(1+Skills!R8/100)*(1+(IF(Skills!A8="SHOWDOWN",Inputs!$B$16+((C292=TRUE)*(F292-Calc!F23)),Inputs!$B$17+((C298=TRUE)*(F298-Calc!F29))))/100)*(((1+(((C290=TRUE)*F290*IF(AND(Inputs!$B$4&lt;&gt;"pvp",Inputs!$B$35&gt;0),(((S290-1)*(Skills!Y21*(1+Inputs!$B$33/100))+MIN((Skills!Y21*(1+Inputs!$B$33/100)),MAX(0,Inputs!$B$35-((S290-1)*Skills!D21))))/Inputs!$B$35),IF(Inputs!$B$4="pvp",MIN((Skills!Y21*(1+Inputs!$B$33/100)),15)/15,(Skills!Y21*(1+Inputs!$B$33/100))/Skills!D21)))+((C297=TRUE)*(F297-Calc!F28))+((C287=TRUE)*(F287-Calc!F18)))/100)*(1+((C284=TRUE)*F284*IF(AND(Inputs!$B$4&lt;&gt;"pvp",Inputs!$B$35&gt;0),(((S284-1)*(Skills!Y15*(1+Inputs!$B$33/100))+MIN((Skills!Y15*(1+Inputs!$B$33/100)),MAX(0,Inputs!$B$35-((S284-1)*Skills!D15))))/Inputs!$B$35),IF(Inputs!$B$4="pvp",MIN((Skills!Y15*(1+Inputs!$B$33/100)),15)/15,(Skills!Y15*(1+Inputs!$B$33/100))/Skills!D15)))/100)*(1+((C275=TRUE)*F275*B303)/100))*B311*I277)</f>
        <v/>
      </c>
      <c r="L277">
        <f>K277*(MIN(Inputs!$B$21+((C293=TRUE)*(F293-Calc!F24)),Inputs!$B$22)/100+Inputs!$B$22/100)/2</f>
        <v/>
      </c>
      <c r="M277">
        <f>L277*(1+(Inputs!$B$9+((C295=TRUE)*(F295-Calc!F26))+B312)/100)</f>
        <v/>
      </c>
      <c r="N277">
        <f>L277*(1-MIN((Inputs!$B$8+((C294=TRUE)*(F294-Calc!F25))+B309),100)/100)+M277*(MIN((Inputs!$B$8+((C294=TRUE)*(F294-Calc!F25))+B309),100)/100)</f>
        <v/>
      </c>
      <c r="O277">
        <f>IF(C277,H277*N277*IF(AND(Inputs!$B$4&lt;&gt;"pvp",Inputs!$B$35&gt;0),((Skills!G8*((R277-1)*IF(Skills!H8&gt;0,Skills!I8/Skills!H8,1)+IF(Skills!H8&gt;0,MIN(Skills!I8,MAX(0,Inputs!$B$35-((R277-1)*IF(Inputs!$B$4="pvp",15,MAX(0.1,Skills!D8-IF(Skills!E8=TRUE,Inputs!$B$31,0))))))/Skills!H8,1)))/Inputs!$B$35),G277*Q277)*IF(Inputs!$B$4="pvp",1,(1-Summary!$B$55)*(1)+Summary!$B$55*(MIN(Skills!W8,Inputs!$B$37))),0)</f>
        <v/>
      </c>
      <c r="P277">
        <f>IF(B313=0,0,O277/B313)</f>
        <v/>
      </c>
      <c r="Q277">
        <f>IFERROR(1/IF(Inputs!$B$4="pvp",15,MAX(0.1,Skills!D8-IF(Skills!E8=TRUE,Inputs!$B$31,0))),0)</f>
        <v/>
      </c>
      <c r="R277">
        <f>IF(AND(Inputs!$B$4&lt;&gt;"pvp",Inputs!$B$35&gt;0),(INT(Inputs!$B$35/IF(Inputs!$B$4="pvp",15,MAX(0.1,Skills!D8-IF(Skills!E8=TRUE,Inputs!$B$31,0))))+1),0)</f>
        <v/>
      </c>
      <c r="S277">
        <f>IFERROR(O277/N277,0)</f>
        <v/>
      </c>
    </row>
    <row r="278">
      <c r="A278">
        <f>Skills!A9</f>
        <v/>
      </c>
      <c r="B278">
        <f>Skills!B9</f>
        <v/>
      </c>
      <c r="C278">
        <f>Inputs!$B$3&gt;=72</f>
        <v/>
      </c>
      <c r="D278">
        <f>IF(Skills!C9=1,60+Inputs!$B$24+Inputs!$B$28,IF(Skills!C9=2,90+Inputs!$B$25+Inputs!$B$28,IF(Skills!C9=3,120+Inputs!$B$26+Inputs!$B$28,MAX(0,(Inputs!$B$3-100)*3)+Inputs!$B$27+Inputs!$B$28)))</f>
        <v/>
      </c>
      <c r="E278">
        <f>INDEX(FactorTable!$B$2:$Y$301, MATCH(ROUND(MIN(300,MAX(1,D278)),0), FactorTable!$A$2:$A$301,0), Skills!M9+1)</f>
        <v/>
      </c>
      <c r="F278">
        <f>IF(Skills!N9=TRUE,(Skills!L9/10)*(E278/1000),Skills!L9/10)+Skills!O9</f>
        <v/>
      </c>
      <c r="G278">
        <f>Calc!G9</f>
        <v/>
      </c>
      <c r="H278">
        <f>Calc!H9</f>
        <v/>
      </c>
      <c r="I278">
        <f>IF(Skills!AA9&lt;&gt;"",1+(Skills!AA9/10)*(U272/1000)/100,1)</f>
        <v/>
      </c>
      <c r="J278">
        <f>(Inputs!$B$5*(1+Inputs!$B$6/100))*(F278/100)</f>
        <v/>
      </c>
      <c r="K278">
        <f>J278*(1+((Inputs!$B$11*(1+Inputs!$B$12/100))*0.01+Inputs!$B$13*0.0025)/100)*(1+Inputs!$B$14/100)*(1+IF(Inputs!$B$4="pvp",0,(1-Summary!$B$55)*((Inputs!$B$19+1)+((C296=TRUE)*(F296-Calc!F27))+Skills!P9+B310)+Summary!$B$55*(Inputs!$B$20+Skills!Q9+B310))/100)*(1+Inputs!$B$15/100)*(5000/(6000+Inputs!$B$7*(1-Inputs!$B$18/100)))*(1+(Inputs!$B$23+((C299=TRUE)*(F299-Calc!F30)))/100)*(1+Skills!R9/100)*(1+(IF(Skills!A9="SHOWDOWN",Inputs!$B$16+((C292=TRUE)*(F292-Calc!F23)),Inputs!$B$17+((C298=TRUE)*(F298-Calc!F29))))/100)*(((1+(((C290=TRUE)*F290*IF(AND(Inputs!$B$4&lt;&gt;"pvp",Inputs!$B$35&gt;0),(((S290-1)*(Skills!Y21*(1+Inputs!$B$33/100))+MIN((Skills!Y21*(1+Inputs!$B$33/100)),MAX(0,Inputs!$B$35-((S290-1)*Skills!D21))))/Inputs!$B$35),IF(Inputs!$B$4="pvp",MIN((Skills!Y21*(1+Inputs!$B$33/100)),15)/15,(Skills!Y21*(1+Inputs!$B$33/100))/Skills!D21)))+((C297=TRUE)*(F297-Calc!F28))+((C287=TRUE)*(F287-Calc!F18)))/100)*(1+((C284=TRUE)*F284*IF(AND(Inputs!$B$4&lt;&gt;"pvp",Inputs!$B$35&gt;0),(((S284-1)*(Skills!Y15*(1+Inputs!$B$33/100))+MIN((Skills!Y15*(1+Inputs!$B$33/100)),MAX(0,Inputs!$B$35-((S284-1)*Skills!D15))))/Inputs!$B$35),IF(Inputs!$B$4="pvp",MIN((Skills!Y15*(1+Inputs!$B$33/100)),15)/15,(Skills!Y15*(1+Inputs!$B$33/100))/Skills!D15)))/100)*(1+((C275=TRUE)*F275*B303)/100))*B311*I278)</f>
        <v/>
      </c>
      <c r="L278">
        <f>K278*(MIN(Inputs!$B$21+((C293=TRUE)*(F293-Calc!F24)),Inputs!$B$22)/100+Inputs!$B$22/100)/2</f>
        <v/>
      </c>
      <c r="M278">
        <f>L278*(1+(Inputs!$B$9+((C295=TRUE)*(F295-Calc!F26))+B312)/100)</f>
        <v/>
      </c>
      <c r="N278">
        <f>L278*(1-MIN((Inputs!$B$8+((C294=TRUE)*(F294-Calc!F25))+B309),100)/100)+M278*(MIN((Inputs!$B$8+((C294=TRUE)*(F294-Calc!F25))+B309),100)/100)</f>
        <v/>
      </c>
      <c r="O278">
        <f>IF(C278,H278*N278*IF(AND(Inputs!$B$4&lt;&gt;"pvp",Inputs!$B$35&gt;0),((Skills!G9*((R278-1)*IF(Skills!H9&gt;0,Skills!I9/Skills!H9,1)+IF(Skills!H9&gt;0,MIN(Skills!I9,MAX(0,Inputs!$B$35-((R278-1)*IF(Inputs!$B$4="pvp",15,MAX(0.1,Skills!D9-IF(Skills!E9=TRUE,Inputs!$B$31,0))))))/Skills!H9,1)))/Inputs!$B$35),G278*Q278)*IF(Inputs!$B$4="pvp",1,(1-Summary!$B$55)*(1)+Summary!$B$55*(MIN(Skills!W9,Inputs!$B$37))),0)</f>
        <v/>
      </c>
      <c r="P278">
        <f>IF(B313=0,0,O278/B313)</f>
        <v/>
      </c>
      <c r="Q278">
        <f>IFERROR(1/IF(Inputs!$B$4="pvp",15,MAX(0.1,Skills!D9-IF(Skills!E9=TRUE,Inputs!$B$31,0))),0)</f>
        <v/>
      </c>
      <c r="R278">
        <f>IF(AND(Inputs!$B$4&lt;&gt;"pvp",Inputs!$B$35&gt;0),(INT(Inputs!$B$35/IF(Inputs!$B$4="pvp",15,MAX(0.1,Skills!D9-IF(Skills!E9=TRUE,Inputs!$B$31,0))))+1),0)</f>
        <v/>
      </c>
      <c r="S278">
        <f>IFERROR(O278/N278,0)</f>
        <v/>
      </c>
    </row>
    <row r="279">
      <c r="A279">
        <f>Skills!A10</f>
        <v/>
      </c>
      <c r="B279">
        <f>Skills!B10</f>
        <v/>
      </c>
      <c r="C279">
        <f>Inputs!$B$3&gt;=117</f>
        <v/>
      </c>
      <c r="D279">
        <f>IF(Skills!C10=1,60+Inputs!$B$24+Inputs!$B$28,IF(Skills!C10=2,90+Inputs!$B$25+Inputs!$B$28,IF(Skills!C10=3,120+Inputs!$B$26+Inputs!$B$28,MAX(0,(Inputs!$B$3-100)*3)+Inputs!$B$27+Inputs!$B$28)))</f>
        <v/>
      </c>
      <c r="E279">
        <f>INDEX(FactorTable!$B$2:$Y$301, MATCH(ROUND(MIN(300,MAX(1,D279)),0), FactorTable!$A$2:$A$301,0), Skills!M10+1)</f>
        <v/>
      </c>
      <c r="F279">
        <f>IF(Skills!N10=TRUE,(Skills!L10/10)*(E279/1000),Skills!L10/10)+Skills!O10</f>
        <v/>
      </c>
      <c r="G279">
        <f>Calc!G10</f>
        <v/>
      </c>
      <c r="H279">
        <f>Calc!H10</f>
        <v/>
      </c>
      <c r="I279">
        <f>IF(Skills!AA10&lt;&gt;"",1+(Skills!AA10/10)*(U272/1000)/100,1)</f>
        <v/>
      </c>
      <c r="J279">
        <f>(Inputs!$B$5*(1+Inputs!$B$6/100))*(F279/100)</f>
        <v/>
      </c>
      <c r="K279">
        <f>J279*(1+((Inputs!$B$11*(1+Inputs!$B$12/100))*0.01+Inputs!$B$13*0.0025)/100)*(1+Inputs!$B$14/100)*(1+IF(Inputs!$B$4="pvp",0,(1-Summary!$B$55)*((Inputs!$B$19+1)+((C296=TRUE)*(F296-Calc!F27))+Skills!P10+B310)+Summary!$B$55*(Inputs!$B$20+Skills!Q10+B310))/100)*(1+Inputs!$B$15/100)*(5000/(6000+Inputs!$B$7*(1-Inputs!$B$18/100)))*(1+(Inputs!$B$23+((C299=TRUE)*(F299-Calc!F30)))/100)*(1+Skills!R10/100)*(1+(IF(Skills!A10="SHOWDOWN",Inputs!$B$16+((C292=TRUE)*(F292-Calc!F23)),Inputs!$B$17+((C298=TRUE)*(F298-Calc!F29))))/100)*(((1+(((C290=TRUE)*F290*IF(AND(Inputs!$B$4&lt;&gt;"pvp",Inputs!$B$35&gt;0),(((S290-1)*(Skills!Y21*(1+Inputs!$B$33/100))+MIN((Skills!Y21*(1+Inputs!$B$33/100)),MAX(0,Inputs!$B$35-((S290-1)*Skills!D21))))/Inputs!$B$35),IF(Inputs!$B$4="pvp",MIN((Skills!Y21*(1+Inputs!$B$33/100)),15)/15,(Skills!Y21*(1+Inputs!$B$33/100))/Skills!D21)))+((C297=TRUE)*(F297-Calc!F28))+((C287=TRUE)*(F287-Calc!F18)))/100)*(1+((C284=TRUE)*F284*IF(AND(Inputs!$B$4&lt;&gt;"pvp",Inputs!$B$35&gt;0),(((S284-1)*(Skills!Y15*(1+Inputs!$B$33/100))+MIN((Skills!Y15*(1+Inputs!$B$33/100)),MAX(0,Inputs!$B$35-((S284-1)*Skills!D15))))/Inputs!$B$35),IF(Inputs!$B$4="pvp",MIN((Skills!Y15*(1+Inputs!$B$33/100)),15)/15,(Skills!Y15*(1+Inputs!$B$33/100))/Skills!D15)))/100)*(1+((C275=TRUE)*F275*B303)/100))*B311*I279)</f>
        <v/>
      </c>
      <c r="L279">
        <f>K279*(MIN(Inputs!$B$21+((C293=TRUE)*(F293-Calc!F24)),Inputs!$B$22)/100+Inputs!$B$22/100)/2</f>
        <v/>
      </c>
      <c r="M279">
        <f>L279*(1+(Inputs!$B$9+((C295=TRUE)*(F295-Calc!F26))+B312)/100)</f>
        <v/>
      </c>
      <c r="N279">
        <f>L279*(1-MIN((Inputs!$B$8+((C294=TRUE)*(F294-Calc!F25))+B309),100)/100)+M279*(MIN((Inputs!$B$8+((C294=TRUE)*(F294-Calc!F25))+B309),100)/100)</f>
        <v/>
      </c>
      <c r="O279">
        <f>IF(C279,0.2*SUMPRODUCT((Skills!Z2:Z31=TRUE)*(C271:C300=TRUE)*S271:S300)*N279,0)</f>
        <v/>
      </c>
      <c r="P279">
        <f>IF(B313=0,0,O279/B313)</f>
        <v/>
      </c>
      <c r="Q279" t="n">
        <v>0</v>
      </c>
      <c r="R279" t="n">
        <v>0</v>
      </c>
      <c r="S279" t="n">
        <v>0</v>
      </c>
    </row>
    <row r="280">
      <c r="A280">
        <f>Skills!A11</f>
        <v/>
      </c>
      <c r="B280">
        <f>Skills!B11</f>
        <v/>
      </c>
      <c r="C280">
        <f>Inputs!$B$3&gt;=60</f>
        <v/>
      </c>
      <c r="D280">
        <f>IF(Skills!C11=1,60+Inputs!$B$24+Inputs!$B$28,IF(Skills!C11=2,90+Inputs!$B$25+Inputs!$B$28,IF(Skills!C11=3,120+Inputs!$B$26+Inputs!$B$28,MAX(0,(Inputs!$B$3-100)*3)+Inputs!$B$27+Inputs!$B$28)))</f>
        <v/>
      </c>
      <c r="E280">
        <f>INDEX(FactorTable!$B$2:$Y$301, MATCH(ROUND(MIN(300,MAX(1,D280)),0), FactorTable!$A$2:$A$301,0), Skills!M11+1)</f>
        <v/>
      </c>
      <c r="F280">
        <f>IF(Skills!N11=TRUE,(Skills!L11/10)*(E280/1000),Skills!L11/10)+Skills!O11</f>
        <v/>
      </c>
      <c r="G280">
        <f>Calc!G11</f>
        <v/>
      </c>
      <c r="H280">
        <f>Calc!H11</f>
        <v/>
      </c>
      <c r="I280">
        <f>IF(Skills!AA11&lt;&gt;"",1+(Skills!AA11/10)*(U272/1000)/100,1)</f>
        <v/>
      </c>
      <c r="J280" t="inlineStr"/>
      <c r="K280" t="inlineStr"/>
      <c r="L280" t="inlineStr"/>
      <c r="M280" t="inlineStr"/>
      <c r="N280" t="inlineStr"/>
      <c r="O280" t="n">
        <v>0</v>
      </c>
      <c r="P280">
        <f>IF(B313=0,0,O280/B313)</f>
        <v/>
      </c>
      <c r="Q280" t="n">
        <v>0</v>
      </c>
      <c r="R280" t="n">
        <v>0</v>
      </c>
      <c r="S280">
        <f>IFERROR(O280/N280,0)</f>
        <v/>
      </c>
    </row>
    <row r="281">
      <c r="A281">
        <f>Skills!A12</f>
        <v/>
      </c>
      <c r="B281">
        <f>Skills!B12</f>
        <v/>
      </c>
      <c r="C281">
        <f>Inputs!$B$3&gt;=103</f>
        <v/>
      </c>
      <c r="D281">
        <f>IF(Skills!C12=1,60+Inputs!$B$24+Inputs!$B$28,IF(Skills!C12=2,90+Inputs!$B$25+Inputs!$B$28,IF(Skills!C12=3,120+Inputs!$B$26+Inputs!$B$28,MAX(0,(Inputs!$B$3-100)*3)+Inputs!$B$27+Inputs!$B$28)))</f>
        <v/>
      </c>
      <c r="E281">
        <f>INDEX(FactorTable!$B$2:$Y$301, MATCH(ROUND(MIN(300,MAX(1,D281)),0), FactorTable!$A$2:$A$301,0), Skills!M12+1)</f>
        <v/>
      </c>
      <c r="F281">
        <f>IF(Skills!N12=TRUE,(Skills!L12/10)*(E281/1000),Skills!L12/10)+Skills!O12</f>
        <v/>
      </c>
      <c r="G281">
        <f>Calc!G12</f>
        <v/>
      </c>
      <c r="H281">
        <f>Calc!H12</f>
        <v/>
      </c>
      <c r="I281">
        <f>IF(Skills!AA12&lt;&gt;"",1+(Skills!AA12/10)*(U272/1000)/100,1)</f>
        <v/>
      </c>
      <c r="J281">
        <f>(Inputs!$B$5*(1+Inputs!$B$6/100))*(F281/100)</f>
        <v/>
      </c>
      <c r="K281">
        <f>J281*(1+((Inputs!$B$11*(1+Inputs!$B$12/100))*0.01+Inputs!$B$13*0.0025)/100)*(1+Inputs!$B$14/100)*(1+IF(Inputs!$B$4="pvp",0,(1-Summary!$B$55)*((Inputs!$B$19+1)+((C296=TRUE)*(F296-Calc!F27))+Skills!P12+B310)+Summary!$B$55*(Inputs!$B$20+Skills!Q12+B310))/100)*(1+Inputs!$B$15/100)*(5000/(6000+Inputs!$B$7*(1-Inputs!$B$18/100)))*(1+(Inputs!$B$23+((C299=TRUE)*(F299-Calc!F30)))/100)*(1+Skills!R12/100)*(1+(IF(Skills!A12="SHOWDOWN",Inputs!$B$16+((C292=TRUE)*(F292-Calc!F23)),Inputs!$B$17+((C298=TRUE)*(F298-Calc!F29))))/100)*(((1+(((C290=TRUE)*F290*IF(AND(Inputs!$B$4&lt;&gt;"pvp",Inputs!$B$35&gt;0),(((S290-1)*(Skills!Y21*(1+Inputs!$B$33/100))+MIN((Skills!Y21*(1+Inputs!$B$33/100)),MAX(0,Inputs!$B$35-((S290-1)*Skills!D21))))/Inputs!$B$35),IF(Inputs!$B$4="pvp",MIN((Skills!Y21*(1+Inputs!$B$33/100)),15)/15,(Skills!Y21*(1+Inputs!$B$33/100))/Skills!D21)))+((C297=TRUE)*(F297-Calc!F28))+((C287=TRUE)*(F287-Calc!F18)))/100)*(1+((C284=TRUE)*F284*IF(AND(Inputs!$B$4&lt;&gt;"pvp",Inputs!$B$35&gt;0),(((S284-1)*(Skills!Y15*(1+Inputs!$B$33/100))+MIN((Skills!Y15*(1+Inputs!$B$33/100)),MAX(0,Inputs!$B$35-((S284-1)*Skills!D15))))/Inputs!$B$35),IF(Inputs!$B$4="pvp",MIN((Skills!Y15*(1+Inputs!$B$33/100)),15)/15,(Skills!Y15*(1+Inputs!$B$33/100))/Skills!D15)))/100)*(1+((C275=TRUE)*F275*B303)/100))*B311*I281)</f>
        <v/>
      </c>
      <c r="L281">
        <f>K281*(MIN(Inputs!$B$21+((C293=TRUE)*(F293-Calc!F24)),Inputs!$B$22)/100+Inputs!$B$22/100)/2</f>
        <v/>
      </c>
      <c r="M281">
        <f>L281*(1+(Inputs!$B$9+((C295=TRUE)*(F295-Calc!F26))+B312)/100)</f>
        <v/>
      </c>
      <c r="N281">
        <f>L281*(1-MIN((Inputs!$B$8+((C294=TRUE)*(F294-Calc!F25))+B309),100)/100)+M281*(MIN((Inputs!$B$8+((C294=TRUE)*(F294-Calc!F25))+B309),100)/100)</f>
        <v/>
      </c>
      <c r="O281">
        <f>IF(C281,H281*N281*IF(AND(Inputs!$B$4&lt;&gt;"pvp",Inputs!$B$35&gt;0),((Skills!G12*((R281-1)*IF(Skills!H12&gt;0,Skills!I12/Skills!H12,1)+IF(Skills!H12&gt;0,MIN(Skills!I12,MAX(0,Inputs!$B$35-((R281-1)*IF(Inputs!$B$4="pvp",15,MAX(0.1,Skills!D12-IF(Skills!E12=TRUE,Inputs!$B$31,0))))))/Skills!H12,1)))/Inputs!$B$35),G281*Q281)*IF(Inputs!$B$4="pvp",1,(1-Summary!$B$55)*(1)+Summary!$B$55*(MIN(Skills!W12,Inputs!$B$37))),0)</f>
        <v/>
      </c>
      <c r="P281">
        <f>IF(B313=0,0,O281/B313)</f>
        <v/>
      </c>
      <c r="Q281">
        <f>IFERROR(1/IF(Inputs!$B$4="pvp",15,MAX(0.1,Skills!D12-IF(Skills!E12=TRUE,Inputs!$B$31,0))),0)</f>
        <v/>
      </c>
      <c r="R281">
        <f>IF(AND(Inputs!$B$4&lt;&gt;"pvp",Inputs!$B$35&gt;0),(INT(Inputs!$B$35/IF(Inputs!$B$4="pvp",15,MAX(0.1,Skills!D12-IF(Skills!E12=TRUE,Inputs!$B$31,0))))+1),0)</f>
        <v/>
      </c>
      <c r="S281">
        <f>IFERROR(O281/N281,0)</f>
        <v/>
      </c>
    </row>
    <row r="282">
      <c r="A282">
        <f>Skills!A13</f>
        <v/>
      </c>
      <c r="B282">
        <f>Skills!B13</f>
        <v/>
      </c>
      <c r="C282">
        <f>Inputs!$B$3&gt;=105</f>
        <v/>
      </c>
      <c r="D282">
        <f>IF(Skills!C13=1,60+Inputs!$B$24+Inputs!$B$28,IF(Skills!C13=2,90+Inputs!$B$25+Inputs!$B$28,IF(Skills!C13=3,120+Inputs!$B$26+Inputs!$B$28,MAX(0,(Inputs!$B$3-100)*3)+Inputs!$B$27+Inputs!$B$28)))</f>
        <v/>
      </c>
      <c r="E282">
        <f>INDEX(FactorTable!$B$2:$Y$301, MATCH(ROUND(MIN(300,MAX(1,D282)),0), FactorTable!$A$2:$A$301,0), Skills!M13+1)</f>
        <v/>
      </c>
      <c r="F282">
        <f>IF(Skills!N13=TRUE,(Skills!L13/10)*(E282/1000),Skills!L13/10)+Skills!O13</f>
        <v/>
      </c>
      <c r="G282">
        <f>Calc!G13</f>
        <v/>
      </c>
      <c r="H282">
        <f>Calc!H13</f>
        <v/>
      </c>
      <c r="I282">
        <f>IF(Skills!AA13&lt;&gt;"",1+(Skills!AA13/10)*(U272/1000)/100,1)</f>
        <v/>
      </c>
      <c r="J282">
        <f>(Inputs!$B$5*(1+Inputs!$B$6/100))*(F282/100)</f>
        <v/>
      </c>
      <c r="K282">
        <f>J282*(1+((Inputs!$B$11*(1+Inputs!$B$12/100))*0.01+Inputs!$B$13*0.0025)/100)*(1+Inputs!$B$14/100)*(1+IF(Inputs!$B$4="pvp",0,(1-Summary!$B$55)*((Inputs!$B$19+1)+((C296=TRUE)*(F296-Calc!F27))+Skills!P13+B310)+Summary!$B$55*(Inputs!$B$20+Skills!Q13+B310))/100)*(1+Inputs!$B$15/100)*(5000/(6000+Inputs!$B$7*(1-Inputs!$B$18/100)))*(1+(Inputs!$B$23+((C299=TRUE)*(F299-Calc!F30)))/100)*(1+Skills!R13/100)*(1+(IF(Skills!A13="SHOWDOWN",Inputs!$B$16+((C292=TRUE)*(F292-Calc!F23)),Inputs!$B$17+((C298=TRUE)*(F298-Calc!F29))))/100)*(((1+(((C290=TRUE)*F290*IF(AND(Inputs!$B$4&lt;&gt;"pvp",Inputs!$B$35&gt;0),(((S290-1)*(Skills!Y21*(1+Inputs!$B$33/100))+MIN((Skills!Y21*(1+Inputs!$B$33/100)),MAX(0,Inputs!$B$35-((S290-1)*Skills!D21))))/Inputs!$B$35),IF(Inputs!$B$4="pvp",MIN((Skills!Y21*(1+Inputs!$B$33/100)),15)/15,(Skills!Y21*(1+Inputs!$B$33/100))/Skills!D21)))+((C297=TRUE)*(F297-Calc!F28))+((C287=TRUE)*(F287-Calc!F18)))/100)*(1+((C284=TRUE)*F284*IF(AND(Inputs!$B$4&lt;&gt;"pvp",Inputs!$B$35&gt;0),(((S284-1)*(Skills!Y15*(1+Inputs!$B$33/100))+MIN((Skills!Y15*(1+Inputs!$B$33/100)),MAX(0,Inputs!$B$35-((S284-1)*Skills!D15))))/Inputs!$B$35),IF(Inputs!$B$4="pvp",MIN((Skills!Y15*(1+Inputs!$B$33/100)),15)/15,(Skills!Y15*(1+Inputs!$B$33/100))/Skills!D15)))/100)*(1+((C275=TRUE)*F275*B303)/100))*B311*I282)</f>
        <v/>
      </c>
      <c r="L282">
        <f>K282*(MIN(Inputs!$B$21+((C293=TRUE)*(F293-Calc!F24)),Inputs!$B$22)/100+Inputs!$B$22/100)/2</f>
        <v/>
      </c>
      <c r="M282">
        <f>L282*(1+(Inputs!$B$9+((C295=TRUE)*(F295-Calc!F26))+B312)/100)</f>
        <v/>
      </c>
      <c r="N282">
        <f>L282*(1-MIN((Inputs!$B$8+((C294=TRUE)*(F294-Calc!F25))+B309),100)/100)+M282*(MIN((Inputs!$B$8+((C294=TRUE)*(F294-Calc!F25))+B309),100)/100)</f>
        <v/>
      </c>
      <c r="O282">
        <f>IF(C282,H282*N282*IF(AND(Inputs!$B$4&lt;&gt;"pvp",Inputs!$B$35&gt;0),((Skills!G13*((R282-1)*IF(Skills!H13&gt;0,Skills!I13/Skills!H13,1)+IF(Skills!H13&gt;0,MIN(Skills!I13,MAX(0,Inputs!$B$35-((R282-1)*IF(Inputs!$B$4="pvp",15,MAX(0.1,Skills!D13-IF(Skills!E13=TRUE,Inputs!$B$31,0))))))/Skills!H13,1)))/Inputs!$B$35),G282*Q282)*IF(Inputs!$B$4="pvp",1,(1-Summary!$B$55)*(1)+Summary!$B$55*(MIN(Skills!W13,Inputs!$B$37))),0)</f>
        <v/>
      </c>
      <c r="P282">
        <f>IF(B313=0,0,O282/B313)</f>
        <v/>
      </c>
      <c r="Q282">
        <f>IFERROR(1/IF(Inputs!$B$4="pvp",15,MAX(0.1,Skills!D13-IF(Skills!E13=TRUE,Inputs!$B$31,0))),0)</f>
        <v/>
      </c>
      <c r="R282">
        <f>IF(AND(Inputs!$B$4&lt;&gt;"pvp",Inputs!$B$35&gt;0),(INT(Inputs!$B$35/IF(Inputs!$B$4="pvp",15,MAX(0.1,Skills!D13-IF(Skills!E13=TRUE,Inputs!$B$31,0))))+1),0)</f>
        <v/>
      </c>
      <c r="S282">
        <f>IFERROR(O282/N282,0)</f>
        <v/>
      </c>
    </row>
    <row r="283">
      <c r="A283">
        <f>Skills!A14</f>
        <v/>
      </c>
      <c r="B283">
        <f>Skills!B14</f>
        <v/>
      </c>
      <c r="C283">
        <f>Inputs!$B$3&gt;=105</f>
        <v/>
      </c>
      <c r="D283">
        <f>IF(Skills!C14=1,60+Inputs!$B$24+Inputs!$B$28,IF(Skills!C14=2,90+Inputs!$B$25+Inputs!$B$28,IF(Skills!C14=3,120+Inputs!$B$26+Inputs!$B$28,MAX(0,(Inputs!$B$3-100)*3)+Inputs!$B$27+Inputs!$B$28)))</f>
        <v/>
      </c>
      <c r="E283">
        <f>INDEX(FactorTable!$B$2:$Y$301, MATCH(ROUND(MIN(300,MAX(1,D283)),0), FactorTable!$A$2:$A$301,0), Skills!M14+1)</f>
        <v/>
      </c>
      <c r="F283">
        <f>IF(Skills!N14=TRUE,(Skills!L14/10)*(E283/1000),Skills!L14/10)+Skills!O14</f>
        <v/>
      </c>
      <c r="G283">
        <f>Calc!G14</f>
        <v/>
      </c>
      <c r="H283">
        <f>Calc!H14</f>
        <v/>
      </c>
      <c r="I283">
        <f>IF(Skills!AA14&lt;&gt;"",1+(Skills!AA14/10)*(U272/1000)/100,1)</f>
        <v/>
      </c>
      <c r="J283">
        <f>(Inputs!$B$5*(1+Inputs!$B$6/100))*(F283/100)</f>
        <v/>
      </c>
      <c r="K283">
        <f>J283*(1+((Inputs!$B$11*(1+Inputs!$B$12/100))*0.01+Inputs!$B$13*0.0025)/100)*(1+Inputs!$B$14/100)*(1+IF(Inputs!$B$4="pvp",0,(1-Summary!$B$55)*((Inputs!$B$19+1)+((C296=TRUE)*(F296-Calc!F27))+Skills!P14+B310)+Summary!$B$55*(Inputs!$B$20+Skills!Q14+B310))/100)*(1+Inputs!$B$15/100)*(5000/(6000+Inputs!$B$7*(1-Inputs!$B$18/100)))*(1+(Inputs!$B$23+((C299=TRUE)*(F299-Calc!F30)))/100)*(1+Skills!R14/100)*(1+(IF(Skills!A14="SHOWDOWN",Inputs!$B$16+((C292=TRUE)*(F292-Calc!F23)),Inputs!$B$17+((C298=TRUE)*(F298-Calc!F29))))/100)*(((1+(((C290=TRUE)*F290*IF(AND(Inputs!$B$4&lt;&gt;"pvp",Inputs!$B$35&gt;0),(((S290-1)*(Skills!Y21*(1+Inputs!$B$33/100))+MIN((Skills!Y21*(1+Inputs!$B$33/100)),MAX(0,Inputs!$B$35-((S290-1)*Skills!D21))))/Inputs!$B$35),IF(Inputs!$B$4="pvp",MIN((Skills!Y21*(1+Inputs!$B$33/100)),15)/15,(Skills!Y21*(1+Inputs!$B$33/100))/Skills!D21)))+((C297=TRUE)*(F297-Calc!F28))+((C287=TRUE)*(F287-Calc!F18)))/100)*(1+((C284=TRUE)*F284*IF(AND(Inputs!$B$4&lt;&gt;"pvp",Inputs!$B$35&gt;0),(((S284-1)*(Skills!Y15*(1+Inputs!$B$33/100))+MIN((Skills!Y15*(1+Inputs!$B$33/100)),MAX(0,Inputs!$B$35-((S284-1)*Skills!D15))))/Inputs!$B$35),IF(Inputs!$B$4="pvp",MIN((Skills!Y15*(1+Inputs!$B$33/100)),15)/15,(Skills!Y15*(1+Inputs!$B$33/100))/Skills!D15)))/100)*(1+((C275=TRUE)*F275*B303)/100))*B311*I283)</f>
        <v/>
      </c>
      <c r="L283">
        <f>K283*(MIN(Inputs!$B$21+((C293=TRUE)*(F293-Calc!F24)),Inputs!$B$22)/100+Inputs!$B$22/100)/2</f>
        <v/>
      </c>
      <c r="M283">
        <f>L283*(1+(Inputs!$B$9+((C295=TRUE)*(F295-Calc!F26))+B312)/100)</f>
        <v/>
      </c>
      <c r="N283">
        <f>L283*(1-MIN((Inputs!$B$8+((C294=TRUE)*(F294-Calc!F25))+B309),100)/100)+M283*(MIN((Inputs!$B$8+((C294=TRUE)*(F294-Calc!F25))+B309),100)/100)</f>
        <v/>
      </c>
      <c r="O283">
        <f>IF(C283,H283*N283*IF(AND(Inputs!$B$4&lt;&gt;"pvp",Inputs!$B$35&gt;0),((Skills!G14*((R283-1)*IF(Skills!H14&gt;0,Skills!I14/Skills!H14,1)+IF(Skills!H14&gt;0,MIN(Skills!I14,MAX(0,Inputs!$B$35-((R283-1)*IF(Inputs!$B$4="pvp",15,MAX(0.1,Skills!D14-IF(Skills!E14=TRUE,Inputs!$B$31,0))))))/Skills!H14,1)))/Inputs!$B$35),G283*Q283)*IF(Inputs!$B$4="pvp",1,(1-Summary!$B$55)*(1)+Summary!$B$55*(MIN(Skills!W14,Inputs!$B$37))),0)</f>
        <v/>
      </c>
      <c r="P283">
        <f>IF(B313=0,0,O283/B313)</f>
        <v/>
      </c>
      <c r="Q283">
        <f>IFERROR(1/IF(Inputs!$B$4="pvp",15,MAX(0.1,Skills!D14-IF(Skills!E14=TRUE,Inputs!$B$31,0))),0)</f>
        <v/>
      </c>
      <c r="R283">
        <f>IF(AND(Inputs!$B$4&lt;&gt;"pvp",Inputs!$B$35&gt;0),(INT(Inputs!$B$35/IF(Inputs!$B$4="pvp",15,MAX(0.1,Skills!D14-IF(Skills!E14=TRUE,Inputs!$B$31,0))))+1),0)</f>
        <v/>
      </c>
      <c r="S283">
        <f>IFERROR(O283/N283,0)</f>
        <v/>
      </c>
    </row>
    <row r="284">
      <c r="A284">
        <f>Skills!A15</f>
        <v/>
      </c>
      <c r="B284">
        <f>Skills!B15</f>
        <v/>
      </c>
      <c r="C284">
        <f>Inputs!$B$3&gt;=110</f>
        <v/>
      </c>
      <c r="D284">
        <f>IF(Skills!C15=1,60+Inputs!$B$24+Inputs!$B$28,IF(Skills!C15=2,90+Inputs!$B$25+Inputs!$B$28,IF(Skills!C15=3,120+Inputs!$B$26+Inputs!$B$28,MAX(0,(Inputs!$B$3-100)*3)+Inputs!$B$27+Inputs!$B$28)))</f>
        <v/>
      </c>
      <c r="E284">
        <f>INDEX(FactorTable!$B$2:$Y$301, MATCH(ROUND(MIN(300,MAX(1,D284)),0), FactorTable!$A$2:$A$301,0), Skills!M15+1)</f>
        <v/>
      </c>
      <c r="F284">
        <f>IF(Skills!N15=TRUE,(Skills!L15/10)*(E284/1000),Skills!L15/10)+Skills!O15</f>
        <v/>
      </c>
      <c r="G284">
        <f>Calc!G15</f>
        <v/>
      </c>
      <c r="H284">
        <f>Calc!H15</f>
        <v/>
      </c>
      <c r="I284">
        <f>IF(Skills!AA15&lt;&gt;"",1+(Skills!AA15/10)*(U272/1000)/100,1)</f>
        <v/>
      </c>
      <c r="J284" t="inlineStr"/>
      <c r="K284" t="inlineStr"/>
      <c r="L284" t="inlineStr"/>
      <c r="M284" t="inlineStr"/>
      <c r="N284" t="inlineStr"/>
      <c r="O284" t="n">
        <v>0</v>
      </c>
      <c r="P284">
        <f>IF(B313=0,0,O284/B313)</f>
        <v/>
      </c>
      <c r="Q284">
        <f>IFERROR(1/IF(Inputs!$B$4="pvp",15,MAX(0.1,Skills!D15-IF(Skills!E15=TRUE,Inputs!$B$31,0))),0)</f>
        <v/>
      </c>
      <c r="R284">
        <f>IF(AND(Inputs!$B$4&lt;&gt;"pvp",Inputs!$B$35&gt;0),(INT(Inputs!$B$35/IF(Inputs!$B$4="pvp",15,MAX(0.1,Skills!D15-IF(Skills!E15=TRUE,Inputs!$B$31,0))))+1),0)</f>
        <v/>
      </c>
      <c r="S284">
        <f>IFERROR(O284/N284,0)</f>
        <v/>
      </c>
    </row>
    <row r="285">
      <c r="A285">
        <f>Skills!A16</f>
        <v/>
      </c>
      <c r="B285">
        <f>Skills!B16</f>
        <v/>
      </c>
      <c r="C285">
        <f>Inputs!$B$3&gt;=110</f>
        <v/>
      </c>
      <c r="D285">
        <f>IF(Skills!C16=1,60+Inputs!$B$24+Inputs!$B$28,IF(Skills!C16=2,90+Inputs!$B$25+Inputs!$B$28,IF(Skills!C16=3,120+Inputs!$B$26+Inputs!$B$28,MAX(0,(Inputs!$B$3-100)*3)+Inputs!$B$27+Inputs!$B$28)))</f>
        <v/>
      </c>
      <c r="E285">
        <f>INDEX(FactorTable!$B$2:$Y$301, MATCH(ROUND(MIN(300,MAX(1,D285)),0), FactorTable!$A$2:$A$301,0), Skills!M16+1)</f>
        <v/>
      </c>
      <c r="F285">
        <f>IF(Skills!N16=TRUE,(Skills!L16/10)*(E285/1000),Skills!L16/10)+Skills!O16</f>
        <v/>
      </c>
      <c r="G285">
        <f>Calc!G16</f>
        <v/>
      </c>
      <c r="H285">
        <f>Calc!H16</f>
        <v/>
      </c>
      <c r="I285">
        <f>IF(Skills!AA16&lt;&gt;"",1+(Skills!AA16/10)*(U272/1000)/100,1)</f>
        <v/>
      </c>
      <c r="J285" t="inlineStr"/>
      <c r="K285" t="inlineStr"/>
      <c r="L285" t="inlineStr"/>
      <c r="M285" t="inlineStr"/>
      <c r="N285" t="inlineStr"/>
      <c r="O285" t="n">
        <v>0</v>
      </c>
      <c r="P285">
        <f>IF(B313=0,0,O285/B313)</f>
        <v/>
      </c>
      <c r="Q285">
        <f>IFERROR(1/IF(Inputs!$B$4="pvp",15,MAX(0.1,Skills!D16-IF(Skills!E16=TRUE,Inputs!$B$31,0))),0)</f>
        <v/>
      </c>
      <c r="R285">
        <f>IF(AND(Inputs!$B$4&lt;&gt;"pvp",Inputs!$B$35&gt;0),(INT(Inputs!$B$35/IF(Inputs!$B$4="pvp",15,MAX(0.1,Skills!D16-IF(Skills!E16=TRUE,Inputs!$B$31,0))))+1),0)</f>
        <v/>
      </c>
      <c r="S285">
        <f>IFERROR(O285/N285,0)</f>
        <v/>
      </c>
    </row>
    <row r="286">
      <c r="A286">
        <f>Skills!A17</f>
        <v/>
      </c>
      <c r="B286">
        <f>Skills!B17</f>
        <v/>
      </c>
      <c r="C286">
        <f>Inputs!$B$3&gt;=115</f>
        <v/>
      </c>
      <c r="D286">
        <f>IF(Skills!C17=1,60+Inputs!$B$24+Inputs!$B$28,IF(Skills!C17=2,90+Inputs!$B$25+Inputs!$B$28,IF(Skills!C17=3,120+Inputs!$B$26+Inputs!$B$28,MAX(0,(Inputs!$B$3-100)*3)+Inputs!$B$27+Inputs!$B$28)))</f>
        <v/>
      </c>
      <c r="E286">
        <f>INDEX(FactorTable!$B$2:$Y$301, MATCH(ROUND(MIN(300,MAX(1,D286)),0), FactorTable!$A$2:$A$301,0), Skills!M17+1)</f>
        <v/>
      </c>
      <c r="F286">
        <f>IF(Skills!N17=TRUE,(Skills!L17/10)*(E286/1000),Skills!L17/10)+Skills!O17</f>
        <v/>
      </c>
      <c r="G286">
        <f>Calc!G17</f>
        <v/>
      </c>
      <c r="H286">
        <f>Calc!H17</f>
        <v/>
      </c>
      <c r="I286">
        <f>IF(Skills!AA17&lt;&gt;"",1+(Skills!AA17/10)*(U272/1000)/100,1)</f>
        <v/>
      </c>
      <c r="J286">
        <f>(Inputs!$B$5*(1+Inputs!$B$6/100))*(F286/100)</f>
        <v/>
      </c>
      <c r="K286">
        <f>J286*(1+((Inputs!$B$11*(1+Inputs!$B$12/100))*0.01+Inputs!$B$13*0.0025)/100)*(1+Inputs!$B$14/100)*(1+IF(Inputs!$B$4="pvp",0,(1-Summary!$B$55)*((Inputs!$B$19+1)+((C296=TRUE)*(F296-Calc!F27))+Skills!P17+B310)+Summary!$B$55*(Inputs!$B$20+Skills!Q17+B310))/100)*(1+Inputs!$B$15/100)*(5000/(6000+Inputs!$B$7*(1-Inputs!$B$18/100)))*(1+(Inputs!$B$23+((C299=TRUE)*(F299-Calc!F30)))/100)*(1+Skills!R17/100)*(1+(IF(Skills!A17="SHOWDOWN",Inputs!$B$16+((C292=TRUE)*(F292-Calc!F23)),Inputs!$B$17+((C298=TRUE)*(F298-Calc!F29))))/100)*(((1+(((C290=TRUE)*F290*IF(AND(Inputs!$B$4&lt;&gt;"pvp",Inputs!$B$35&gt;0),(((S290-1)*(Skills!Y21*(1+Inputs!$B$33/100))+MIN((Skills!Y21*(1+Inputs!$B$33/100)),MAX(0,Inputs!$B$35-((S290-1)*Skills!D21))))/Inputs!$B$35),IF(Inputs!$B$4="pvp",MIN((Skills!Y21*(1+Inputs!$B$33/100)),15)/15,(Skills!Y21*(1+Inputs!$B$33/100))/Skills!D21)))+((C297=TRUE)*(F297-Calc!F28))+((C287=TRUE)*(F287-Calc!F18)))/100)*(1+((C284=TRUE)*F284*IF(AND(Inputs!$B$4&lt;&gt;"pvp",Inputs!$B$35&gt;0),(((S284-1)*(Skills!Y15*(1+Inputs!$B$33/100))+MIN((Skills!Y15*(1+Inputs!$B$33/100)),MAX(0,Inputs!$B$35-((S284-1)*Skills!D15))))/Inputs!$B$35),IF(Inputs!$B$4="pvp",MIN((Skills!Y15*(1+Inputs!$B$33/100)),15)/15,(Skills!Y15*(1+Inputs!$B$33/100))/Skills!D15)))/100)*(1+((C275=TRUE)*F275*B303)/100))*B311*I286)</f>
        <v/>
      </c>
      <c r="L286">
        <f>K286*(MIN(Inputs!$B$21+((C293=TRUE)*(F293-Calc!F24)),Inputs!$B$22)/100+Inputs!$B$22/100)/2</f>
        <v/>
      </c>
      <c r="M286">
        <f>L286*(1+(Inputs!$B$9+((C295=TRUE)*(F295-Calc!F26))+B312)/100)</f>
        <v/>
      </c>
      <c r="N286">
        <f>L286*(1-MIN((Inputs!$B$8+((C294=TRUE)*(F294-Calc!F25))+B309),100)/100)+M286*(MIN((Inputs!$B$8+((C294=TRUE)*(F294-Calc!F25))+B309),100)/100)</f>
        <v/>
      </c>
      <c r="O286">
        <f>IF(C286,Inputs!$B$38*0.2*N286,0)</f>
        <v/>
      </c>
      <c r="P286">
        <f>IF(B313=0,0,O286/B313)</f>
        <v/>
      </c>
      <c r="Q286" t="n">
        <v>0</v>
      </c>
      <c r="R286" t="n">
        <v>0</v>
      </c>
      <c r="S286">
        <f>IFERROR(O286/N286,0)</f>
        <v/>
      </c>
    </row>
    <row r="287">
      <c r="A287">
        <f>Skills!A18</f>
        <v/>
      </c>
      <c r="B287">
        <f>Skills!B18</f>
        <v/>
      </c>
      <c r="C287">
        <f>Inputs!$B$3&gt;=115</f>
        <v/>
      </c>
      <c r="D287">
        <f>IF(Skills!C18=1,60+Inputs!$B$24+Inputs!$B$28,IF(Skills!C18=2,90+Inputs!$B$25+Inputs!$B$28,IF(Skills!C18=3,120+Inputs!$B$26+Inputs!$B$28,MAX(0,(Inputs!$B$3-100)*3)+Inputs!$B$27+Inputs!$B$28)))</f>
        <v/>
      </c>
      <c r="E287">
        <f>INDEX(FactorTable!$B$2:$Y$301, MATCH(ROUND(MIN(300,MAX(1,D287)),0), FactorTable!$A$2:$A$301,0), Skills!M18+1)</f>
        <v/>
      </c>
      <c r="F287">
        <f>IF(Skills!N18=TRUE,(Skills!L18/10)*(E287/1000),Skills!L18/10)+Skills!O18</f>
        <v/>
      </c>
      <c r="G287">
        <f>Calc!G18</f>
        <v/>
      </c>
      <c r="H287">
        <f>Calc!H18</f>
        <v/>
      </c>
      <c r="I287">
        <f>IF(Skills!AA18&lt;&gt;"",1+(Skills!AA18/10)*(U272/1000)/100,1)</f>
        <v/>
      </c>
      <c r="J287" t="inlineStr"/>
      <c r="K287" t="inlineStr"/>
      <c r="L287" t="inlineStr"/>
      <c r="M287" t="inlineStr"/>
      <c r="N287" t="inlineStr"/>
      <c r="O287" t="n">
        <v>0</v>
      </c>
      <c r="P287">
        <f>IF(B313=0,0,O287/B313)</f>
        <v/>
      </c>
      <c r="Q287" t="n">
        <v>0</v>
      </c>
      <c r="R287" t="n">
        <v>0</v>
      </c>
      <c r="S287">
        <f>IFERROR(O287/N287,0)</f>
        <v/>
      </c>
    </row>
    <row r="288">
      <c r="A288">
        <f>Skills!A19</f>
        <v/>
      </c>
      <c r="B288">
        <f>Skills!B19</f>
        <v/>
      </c>
      <c r="C288">
        <f>TRUE</f>
        <v/>
      </c>
      <c r="D288">
        <f>IF(Skills!C19=1,60+Inputs!$B$24+Inputs!$B$28,IF(Skills!C19=2,90+Inputs!$B$25+Inputs!$B$28,IF(Skills!C19=3,120+Inputs!$B$26+Inputs!$B$28,MAX(0,(Inputs!$B$3-100)*3)+Inputs!$B$27+Inputs!$B$28)))</f>
        <v/>
      </c>
      <c r="E288">
        <f>INDEX(FactorTable!$B$2:$Y$301, MATCH(ROUND(MIN(300,MAX(1,D288)),0), FactorTable!$A$2:$A$301,0), Skills!M19+1)</f>
        <v/>
      </c>
      <c r="F288">
        <f>IF(Skills!N19=TRUE,(Skills!L19/10)*(E288/1000),Skills!L19/10)+Skills!O19</f>
        <v/>
      </c>
      <c r="G288">
        <f>Calc!G19</f>
        <v/>
      </c>
      <c r="H288">
        <f>Calc!H19</f>
        <v/>
      </c>
      <c r="I288">
        <f>IF(Skills!AA19&lt;&gt;"",1+(Skills!AA19/10)*(U272/1000)/100,1)</f>
        <v/>
      </c>
      <c r="J288" t="inlineStr"/>
      <c r="K288" t="inlineStr"/>
      <c r="L288" t="inlineStr"/>
      <c r="M288" t="inlineStr"/>
      <c r="N288" t="inlineStr"/>
      <c r="O288" t="n">
        <v>0</v>
      </c>
      <c r="P288">
        <f>IF(B313=0,0,O288/B313)</f>
        <v/>
      </c>
      <c r="Q288">
        <f>IFERROR(1/IF(Inputs!$B$4="pvp",15,MAX(0.1,Skills!D19-IF(Skills!E19=TRUE,Inputs!$B$31,0))),0)</f>
        <v/>
      </c>
      <c r="R288">
        <f>IF(AND(Inputs!$B$4&lt;&gt;"pvp",Inputs!$B$35&gt;0),(INT(Inputs!$B$35/IF(Inputs!$B$4="pvp",15,MAX(0.1,Skills!D19-IF(Skills!E19=TRUE,Inputs!$B$31,0))))+1),0)</f>
        <v/>
      </c>
      <c r="S288">
        <f>IFERROR(O288/N288,0)</f>
        <v/>
      </c>
    </row>
    <row r="289">
      <c r="A289">
        <f>Skills!A20</f>
        <v/>
      </c>
      <c r="B289">
        <f>Skills!B20</f>
        <v/>
      </c>
      <c r="C289">
        <f>Inputs!$B$3&gt;=15</f>
        <v/>
      </c>
      <c r="D289">
        <f>IF(Skills!C20=1,60+Inputs!$B$24+Inputs!$B$28,IF(Skills!C20=2,90+Inputs!$B$25+Inputs!$B$28,IF(Skills!C20=3,120+Inputs!$B$26+Inputs!$B$28,MAX(0,(Inputs!$B$3-100)*3)+Inputs!$B$27+Inputs!$B$28)))</f>
        <v/>
      </c>
      <c r="E289">
        <f>INDEX(FactorTable!$B$2:$Y$301, MATCH(ROUND(MIN(300,MAX(1,D289)),0), FactorTable!$A$2:$A$301,0), Skills!M20+1)</f>
        <v/>
      </c>
      <c r="F289">
        <f>IF(Skills!N20=TRUE,(Skills!L20/10)*(E289/1000),Skills!L20/10)+Skills!O20</f>
        <v/>
      </c>
      <c r="G289">
        <f>Calc!G20</f>
        <v/>
      </c>
      <c r="H289">
        <f>Calc!H20</f>
        <v/>
      </c>
      <c r="I289">
        <f>IF(Skills!AA20&lt;&gt;"",1+(Skills!AA20/10)*(U272/1000)/100,1)</f>
        <v/>
      </c>
      <c r="J289" t="inlineStr"/>
      <c r="K289" t="inlineStr"/>
      <c r="L289" t="inlineStr"/>
      <c r="M289" t="inlineStr"/>
      <c r="N289" t="inlineStr"/>
      <c r="O289" t="n">
        <v>0</v>
      </c>
      <c r="P289">
        <f>IF(B313=0,0,O289/B313)</f>
        <v/>
      </c>
      <c r="Q289">
        <f>IFERROR(1/IF(Inputs!$B$4="pvp",15,MAX(0.1,Skills!D20-IF(Skills!E20=TRUE,Inputs!$B$31,0))),0)</f>
        <v/>
      </c>
      <c r="R289">
        <f>IF(AND(Inputs!$B$4&lt;&gt;"pvp",Inputs!$B$35&gt;0),(INT(Inputs!$B$35/IF(Inputs!$B$4="pvp",15,MAX(0.1,Skills!D20-IF(Skills!E20=TRUE,Inputs!$B$31,0))))+1),0)</f>
        <v/>
      </c>
      <c r="S289">
        <f>IFERROR(O289/N289,0)</f>
        <v/>
      </c>
    </row>
    <row r="290">
      <c r="A290">
        <f>Skills!A21</f>
        <v/>
      </c>
      <c r="B290">
        <f>Skills!B21</f>
        <v/>
      </c>
      <c r="C290">
        <f>Inputs!$B$3&gt;=15</f>
        <v/>
      </c>
      <c r="D290">
        <f>IF(Skills!C21=1,60+Inputs!$B$24+Inputs!$B$28,IF(Skills!C21=2,90+Inputs!$B$25+Inputs!$B$28,IF(Skills!C21=3,120+Inputs!$B$26+Inputs!$B$28,MAX(0,(Inputs!$B$3-100)*3)+Inputs!$B$27+Inputs!$B$28)))</f>
        <v/>
      </c>
      <c r="E290">
        <f>INDEX(FactorTable!$B$2:$Y$301, MATCH(ROUND(MIN(300,MAX(1,D290)),0), FactorTable!$A$2:$A$301,0), Skills!M21+1)</f>
        <v/>
      </c>
      <c r="F290">
        <f>IF(Skills!N21=TRUE,(Skills!L21/10)*(E290/1000),Skills!L21/10)+Skills!O21</f>
        <v/>
      </c>
      <c r="G290">
        <f>Calc!G21</f>
        <v/>
      </c>
      <c r="H290">
        <f>Calc!H21</f>
        <v/>
      </c>
      <c r="I290">
        <f>IF(Skills!AA21&lt;&gt;"",1+(Skills!AA21/10)*(U272/1000)/100,1)</f>
        <v/>
      </c>
      <c r="J290" t="inlineStr"/>
      <c r="K290" t="inlineStr"/>
      <c r="L290" t="inlineStr"/>
      <c r="M290" t="inlineStr"/>
      <c r="N290" t="inlineStr"/>
      <c r="O290" t="n">
        <v>0</v>
      </c>
      <c r="P290">
        <f>IF(B313=0,0,O290/B313)</f>
        <v/>
      </c>
      <c r="Q290">
        <f>IFERROR(1/IF(Inputs!$B$4="pvp",15,MAX(0.1,Skills!D21-IF(Skills!E21=TRUE,Inputs!$B$31,0))),0)</f>
        <v/>
      </c>
      <c r="R290">
        <f>IF(AND(Inputs!$B$4&lt;&gt;"pvp",Inputs!$B$35&gt;0),(INT(Inputs!$B$35/IF(Inputs!$B$4="pvp",15,MAX(0.1,Skills!D21-IF(Skills!E21=TRUE,Inputs!$B$31,0))))+1),0)</f>
        <v/>
      </c>
      <c r="S290">
        <f>IFERROR(O290/N290,0)</f>
        <v/>
      </c>
    </row>
    <row r="291">
      <c r="A291">
        <f>Skills!A22</f>
        <v/>
      </c>
      <c r="B291">
        <f>Skills!B22</f>
        <v/>
      </c>
      <c r="C291">
        <f>Inputs!$B$3&gt;=33</f>
        <v/>
      </c>
      <c r="D291">
        <f>IF(Skills!C22=1,60+Inputs!$B$24+Inputs!$B$28,IF(Skills!C22=2,90+Inputs!$B$25+Inputs!$B$28,IF(Skills!C22=3,120+Inputs!$B$26+Inputs!$B$28,MAX(0,(Inputs!$B$3-100)*3)+Inputs!$B$27+Inputs!$B$28)))</f>
        <v/>
      </c>
      <c r="E291">
        <f>INDEX(FactorTable!$B$2:$Y$301, MATCH(ROUND(MIN(300,MAX(1,D291)),0), FactorTable!$A$2:$A$301,0), Skills!M22+1)</f>
        <v/>
      </c>
      <c r="F291">
        <f>IF(Skills!N22=TRUE,(Skills!L22/10)*(E291/1000),Skills!L22/10)+Skills!O22</f>
        <v/>
      </c>
      <c r="G291">
        <f>Calc!G22</f>
        <v/>
      </c>
      <c r="H291">
        <f>Calc!H22</f>
        <v/>
      </c>
      <c r="I291">
        <f>IF(Skills!AA22&lt;&gt;"",1+(Skills!AA22/10)*(U272/1000)/100,1)</f>
        <v/>
      </c>
      <c r="J291" t="inlineStr"/>
      <c r="K291" t="inlineStr"/>
      <c r="L291" t="inlineStr"/>
      <c r="M291" t="inlineStr"/>
      <c r="N291" t="inlineStr"/>
      <c r="O291" t="n">
        <v>0</v>
      </c>
      <c r="P291">
        <f>IF(B313=0,0,O291/B313)</f>
        <v/>
      </c>
      <c r="Q291" t="n">
        <v>0</v>
      </c>
      <c r="R291" t="n">
        <v>0</v>
      </c>
      <c r="S291">
        <f>IFERROR(O291/N291,0)</f>
        <v/>
      </c>
    </row>
    <row r="292">
      <c r="A292">
        <f>Skills!A23</f>
        <v/>
      </c>
      <c r="B292">
        <f>Skills!B23</f>
        <v/>
      </c>
      <c r="C292">
        <f>Inputs!$B$3&gt;=38</f>
        <v/>
      </c>
      <c r="D292">
        <f>IF(Skills!C23=1,60+Inputs!$B$24+Inputs!$B$28,IF(Skills!C23=2,90+Inputs!$B$25+Inputs!$B$28,IF(Skills!C23=3,120+Inputs!$B$26+Inputs!$B$28,MAX(0,(Inputs!$B$3-100)*3)+Inputs!$B$27+Inputs!$B$28)))</f>
        <v/>
      </c>
      <c r="E292">
        <f>INDEX(FactorTable!$B$2:$Y$301, MATCH(ROUND(MIN(300,MAX(1,D292)),0), FactorTable!$A$2:$A$301,0), Skills!M23+1)</f>
        <v/>
      </c>
      <c r="F292">
        <f>IF(Skills!N23=TRUE,(Skills!L23/10)*(E292/1000),Skills!L23/10)+Skills!O23</f>
        <v/>
      </c>
      <c r="G292">
        <f>Calc!G23</f>
        <v/>
      </c>
      <c r="H292">
        <f>Calc!H23</f>
        <v/>
      </c>
      <c r="I292">
        <f>IF(Skills!AA23&lt;&gt;"",1+(Skills!AA23/10)*(U272/1000)/100,1)</f>
        <v/>
      </c>
      <c r="J292" t="inlineStr"/>
      <c r="K292" t="inlineStr"/>
      <c r="L292" t="inlineStr"/>
      <c r="M292" t="inlineStr"/>
      <c r="N292" t="inlineStr"/>
      <c r="O292" t="n">
        <v>0</v>
      </c>
      <c r="P292">
        <f>IF(B313=0,0,O292/B313)</f>
        <v/>
      </c>
      <c r="Q292" t="n">
        <v>0</v>
      </c>
      <c r="R292" t="n">
        <v>0</v>
      </c>
      <c r="S292">
        <f>IFERROR(O292/N292,0)</f>
        <v/>
      </c>
    </row>
    <row r="293">
      <c r="A293">
        <f>Skills!A24</f>
        <v/>
      </c>
      <c r="B293">
        <f>Skills!B24</f>
        <v/>
      </c>
      <c r="C293">
        <f>Inputs!$B$3&gt;=40</f>
        <v/>
      </c>
      <c r="D293">
        <f>IF(Skills!C24=1,60+Inputs!$B$24+Inputs!$B$28,IF(Skills!C24=2,90+Inputs!$B$25+Inputs!$B$28,IF(Skills!C24=3,120+Inputs!$B$26+Inputs!$B$28,MAX(0,(Inputs!$B$3-100)*3)+Inputs!$B$27+Inputs!$B$28)))</f>
        <v/>
      </c>
      <c r="E293">
        <f>INDEX(FactorTable!$B$2:$Y$301, MATCH(ROUND(MIN(300,MAX(1,D293)),0), FactorTable!$A$2:$A$301,0), Skills!M24+1)</f>
        <v/>
      </c>
      <c r="F293">
        <f>IF(Skills!N24=TRUE,(Skills!L24/10)*(E293/1000),Skills!L24/10)+Skills!O24</f>
        <v/>
      </c>
      <c r="G293">
        <f>Calc!G24</f>
        <v/>
      </c>
      <c r="H293">
        <f>Calc!H24</f>
        <v/>
      </c>
      <c r="I293">
        <f>IF(Skills!AA24&lt;&gt;"",1+(Skills!AA24/10)*(U272/1000)/100,1)</f>
        <v/>
      </c>
      <c r="J293" t="inlineStr"/>
      <c r="K293" t="inlineStr"/>
      <c r="L293" t="inlineStr"/>
      <c r="M293" t="inlineStr"/>
      <c r="N293" t="inlineStr"/>
      <c r="O293" t="n">
        <v>0</v>
      </c>
      <c r="P293">
        <f>IF(B313=0,0,O293/B313)</f>
        <v/>
      </c>
      <c r="Q293" t="n">
        <v>0</v>
      </c>
      <c r="R293" t="n">
        <v>0</v>
      </c>
      <c r="S293">
        <f>IFERROR(O293/N293,0)</f>
        <v/>
      </c>
    </row>
    <row r="294">
      <c r="A294">
        <f>Skills!A25</f>
        <v/>
      </c>
      <c r="B294">
        <f>Skills!B25</f>
        <v/>
      </c>
      <c r="C294">
        <f>Inputs!$B$3&gt;=45</f>
        <v/>
      </c>
      <c r="D294">
        <f>IF(Skills!C25=1,60+Inputs!$B$24+Inputs!$B$28,IF(Skills!C25=2,90+Inputs!$B$25+Inputs!$B$28,IF(Skills!C25=3,120+Inputs!$B$26+Inputs!$B$28,MAX(0,(Inputs!$B$3-100)*3)+Inputs!$B$27+Inputs!$B$28)))</f>
        <v/>
      </c>
      <c r="E294">
        <f>INDEX(FactorTable!$B$2:$Y$301, MATCH(ROUND(MIN(300,MAX(1,D294)),0), FactorTable!$A$2:$A$301,0), Skills!M25+1)</f>
        <v/>
      </c>
      <c r="F294">
        <f>IF(Skills!N25=TRUE,(Skills!L25/10)*(E294/1000),Skills!L25/10)+Skills!O25</f>
        <v/>
      </c>
      <c r="G294">
        <f>Calc!G25</f>
        <v/>
      </c>
      <c r="H294">
        <f>Calc!H25</f>
        <v/>
      </c>
      <c r="I294">
        <f>IF(Skills!AA25&lt;&gt;"",1+(Skills!AA25/10)*(U272/1000)/100,1)</f>
        <v/>
      </c>
      <c r="J294" t="inlineStr"/>
      <c r="K294" t="inlineStr"/>
      <c r="L294" t="inlineStr"/>
      <c r="M294" t="inlineStr"/>
      <c r="N294" t="inlineStr"/>
      <c r="O294" t="n">
        <v>0</v>
      </c>
      <c r="P294">
        <f>IF(B313=0,0,O294/B313)</f>
        <v/>
      </c>
      <c r="Q294" t="n">
        <v>0</v>
      </c>
      <c r="R294" t="n">
        <v>0</v>
      </c>
      <c r="S294">
        <f>IFERROR(O294/N294,0)</f>
        <v/>
      </c>
    </row>
    <row r="295">
      <c r="A295">
        <f>Skills!A26</f>
        <v/>
      </c>
      <c r="B295">
        <f>Skills!B26</f>
        <v/>
      </c>
      <c r="C295">
        <f>Inputs!$B$3&gt;=45</f>
        <v/>
      </c>
      <c r="D295">
        <f>IF(Skills!C26=1,60+Inputs!$B$24+Inputs!$B$28,IF(Skills!C26=2,90+Inputs!$B$25+Inputs!$B$28,IF(Skills!C26=3,120+Inputs!$B$26+Inputs!$B$28,MAX(0,(Inputs!$B$3-100)*3)+Inputs!$B$27+Inputs!$B$28)))</f>
        <v/>
      </c>
      <c r="E295">
        <f>INDEX(FactorTable!$B$2:$Y$301, MATCH(ROUND(MIN(300,MAX(1,D295)),0), FactorTable!$A$2:$A$301,0), Skills!M26+1)</f>
        <v/>
      </c>
      <c r="F295">
        <f>IF(Skills!N26=TRUE,(Skills!L26/10)*(E295/1000),Skills!L26/10)+Skills!O26</f>
        <v/>
      </c>
      <c r="G295">
        <f>Calc!G26</f>
        <v/>
      </c>
      <c r="H295">
        <f>Calc!H26</f>
        <v/>
      </c>
      <c r="I295">
        <f>IF(Skills!AA26&lt;&gt;"",1+(Skills!AA26/10)*(U272/1000)/100,1)</f>
        <v/>
      </c>
      <c r="J295" t="inlineStr"/>
      <c r="K295" t="inlineStr"/>
      <c r="L295" t="inlineStr"/>
      <c r="M295" t="inlineStr"/>
      <c r="N295" t="inlineStr"/>
      <c r="O295" t="n">
        <v>0</v>
      </c>
      <c r="P295">
        <f>IF(B313=0,0,O295/B313)</f>
        <v/>
      </c>
      <c r="Q295" t="n">
        <v>0</v>
      </c>
      <c r="R295" t="n">
        <v>0</v>
      </c>
      <c r="S295">
        <f>IFERROR(O295/N295,0)</f>
        <v/>
      </c>
    </row>
    <row r="296">
      <c r="A296">
        <f>Skills!A27</f>
        <v/>
      </c>
      <c r="B296">
        <f>Skills!B27</f>
        <v/>
      </c>
      <c r="C296">
        <f>Inputs!$B$3&gt;=72</f>
        <v/>
      </c>
      <c r="D296">
        <f>IF(Skills!C27=1,60+Inputs!$B$24+Inputs!$B$28,IF(Skills!C27=2,90+Inputs!$B$25+Inputs!$B$28,IF(Skills!C27=3,120+Inputs!$B$26+Inputs!$B$28,MAX(0,(Inputs!$B$3-100)*3)+Inputs!$B$27+Inputs!$B$28)))</f>
        <v/>
      </c>
      <c r="E296">
        <f>INDEX(FactorTable!$B$2:$Y$301, MATCH(ROUND(MIN(300,MAX(1,D296)),0), FactorTable!$A$2:$A$301,0), Skills!M27+1)</f>
        <v/>
      </c>
      <c r="F296">
        <f>IF(Skills!N27=TRUE,(Skills!L27/10)*(E296/1000),Skills!L27/10)+Skills!O27</f>
        <v/>
      </c>
      <c r="G296">
        <f>Calc!G27</f>
        <v/>
      </c>
      <c r="H296">
        <f>Calc!H27</f>
        <v/>
      </c>
      <c r="I296">
        <f>IF(Skills!AA27&lt;&gt;"",1+(Skills!AA27/10)*(U272/1000)/100,1)</f>
        <v/>
      </c>
      <c r="J296" t="inlineStr"/>
      <c r="K296" t="inlineStr"/>
      <c r="L296" t="inlineStr"/>
      <c r="M296" t="inlineStr"/>
      <c r="N296" t="inlineStr"/>
      <c r="O296" t="n">
        <v>0</v>
      </c>
      <c r="P296">
        <f>IF(B313=0,0,O296/B313)</f>
        <v/>
      </c>
      <c r="Q296" t="n">
        <v>0</v>
      </c>
      <c r="R296" t="n">
        <v>0</v>
      </c>
      <c r="S296">
        <f>IFERROR(O296/N296,0)</f>
        <v/>
      </c>
    </row>
    <row r="297">
      <c r="A297">
        <f>Skills!A28</f>
        <v/>
      </c>
      <c r="B297">
        <f>Skills!B28</f>
        <v/>
      </c>
      <c r="C297">
        <f>Inputs!$B$3&gt;=75</f>
        <v/>
      </c>
      <c r="D297">
        <f>IF(Skills!C28=1,60+Inputs!$B$24+Inputs!$B$28,IF(Skills!C28=2,90+Inputs!$B$25+Inputs!$B$28,IF(Skills!C28=3,120+Inputs!$B$26+Inputs!$B$28,MAX(0,(Inputs!$B$3-100)*3)+Inputs!$B$27+Inputs!$B$28)))</f>
        <v/>
      </c>
      <c r="E297">
        <f>INDEX(FactorTable!$B$2:$Y$301, MATCH(ROUND(MIN(300,MAX(1,D297)),0), FactorTable!$A$2:$A$301,0), Skills!M28+1)</f>
        <v/>
      </c>
      <c r="F297">
        <f>IF(Skills!N28=TRUE,(Skills!L28/10)*(E297/1000),Skills!L28/10)+Skills!O28</f>
        <v/>
      </c>
      <c r="G297">
        <f>Calc!G28</f>
        <v/>
      </c>
      <c r="H297">
        <f>Calc!H28</f>
        <v/>
      </c>
      <c r="I297">
        <f>IF(Skills!AA28&lt;&gt;"",1+(Skills!AA28/10)*(U272/1000)/100,1)</f>
        <v/>
      </c>
      <c r="J297" t="inlineStr"/>
      <c r="K297" t="inlineStr"/>
      <c r="L297" t="inlineStr"/>
      <c r="M297" t="inlineStr"/>
      <c r="N297" t="inlineStr"/>
      <c r="O297" t="n">
        <v>0</v>
      </c>
      <c r="P297">
        <f>IF(B313=0,0,O297/B313)</f>
        <v/>
      </c>
      <c r="Q297" t="n">
        <v>0</v>
      </c>
      <c r="R297" t="n">
        <v>0</v>
      </c>
      <c r="S297">
        <f>IFERROR(O297/N297,0)</f>
        <v/>
      </c>
    </row>
    <row r="298">
      <c r="A298">
        <f>Skills!A29</f>
        <v/>
      </c>
      <c r="B298">
        <f>Skills!B29</f>
        <v/>
      </c>
      <c r="C298">
        <f>Inputs!$B$3&gt;=120</f>
        <v/>
      </c>
      <c r="D298">
        <f>IF(Skills!C29=1,60+Inputs!$B$24+Inputs!$B$28,IF(Skills!C29=2,90+Inputs!$B$25+Inputs!$B$28,IF(Skills!C29=3,120+Inputs!$B$26+Inputs!$B$28,MAX(0,(Inputs!$B$3-100)*3)+Inputs!$B$27+Inputs!$B$28)))</f>
        <v/>
      </c>
      <c r="E298">
        <f>INDEX(FactorTable!$B$2:$Y$301, MATCH(ROUND(MIN(300,MAX(1,D298)),0), FactorTable!$A$2:$A$301,0), Skills!M29+1)</f>
        <v/>
      </c>
      <c r="F298">
        <f>IF(Skills!N29=TRUE,(Skills!L29/10)*(E298/1000),Skills!L29/10)+Skills!O29</f>
        <v/>
      </c>
      <c r="G298">
        <f>Calc!G29</f>
        <v/>
      </c>
      <c r="H298">
        <f>Calc!H29</f>
        <v/>
      </c>
      <c r="I298">
        <f>IF(Skills!AA29&lt;&gt;"",1+(Skills!AA29/10)*(U272/1000)/100,1)</f>
        <v/>
      </c>
      <c r="J298" t="inlineStr"/>
      <c r="K298" t="inlineStr"/>
      <c r="L298" t="inlineStr"/>
      <c r="M298" t="inlineStr"/>
      <c r="N298" t="inlineStr"/>
      <c r="O298" t="n">
        <v>0</v>
      </c>
      <c r="P298">
        <f>IF(B313=0,0,O298/B313)</f>
        <v/>
      </c>
      <c r="Q298" t="n">
        <v>0</v>
      </c>
      <c r="R298" t="n">
        <v>0</v>
      </c>
      <c r="S298">
        <f>IFERROR(O298/N298,0)</f>
        <v/>
      </c>
    </row>
    <row r="299">
      <c r="A299">
        <f>Skills!A30</f>
        <v/>
      </c>
      <c r="B299">
        <f>Skills!B30</f>
        <v/>
      </c>
      <c r="C299">
        <f>Inputs!$B$3&gt;=125</f>
        <v/>
      </c>
      <c r="D299">
        <f>IF(Skills!C30=1,60+Inputs!$B$24+Inputs!$B$28,IF(Skills!C30=2,90+Inputs!$B$25+Inputs!$B$28,IF(Skills!C30=3,120+Inputs!$B$26+Inputs!$B$28,MAX(0,(Inputs!$B$3-100)*3)+Inputs!$B$27+Inputs!$B$28)))</f>
        <v/>
      </c>
      <c r="E299">
        <f>INDEX(FactorTable!$B$2:$Y$301, MATCH(ROUND(MIN(300,MAX(1,D299)),0), FactorTable!$A$2:$A$301,0), Skills!M30+1)</f>
        <v/>
      </c>
      <c r="F299">
        <f>IF(Skills!N30=TRUE,(Skills!L30/10)*(E299/1000),Skills!L30/10)+Skills!O30</f>
        <v/>
      </c>
      <c r="G299">
        <f>Calc!G30</f>
        <v/>
      </c>
      <c r="H299">
        <f>Calc!H30</f>
        <v/>
      </c>
      <c r="I299">
        <f>IF(Skills!AA30&lt;&gt;"",1+(Skills!AA30/10)*(U272/1000)/100,1)</f>
        <v/>
      </c>
      <c r="J299" t="inlineStr"/>
      <c r="K299" t="inlineStr"/>
      <c r="L299" t="inlineStr"/>
      <c r="M299" t="inlineStr"/>
      <c r="N299" t="inlineStr"/>
      <c r="O299" t="n">
        <v>0</v>
      </c>
      <c r="P299">
        <f>IF(B313=0,0,O299/B313)</f>
        <v/>
      </c>
      <c r="Q299" t="n">
        <v>0</v>
      </c>
      <c r="R299" t="n">
        <v>0</v>
      </c>
      <c r="S299">
        <f>IFERROR(O299/N299,0)</f>
        <v/>
      </c>
    </row>
    <row r="300">
      <c r="A300">
        <f>Skills!A31</f>
        <v/>
      </c>
      <c r="B300">
        <f>Skills!B31</f>
        <v/>
      </c>
      <c r="C300">
        <f>Inputs!$B$3&gt;=107</f>
        <v/>
      </c>
      <c r="D300">
        <f>IF(Skills!C31=1,60+Inputs!$B$24+Inputs!$B$28,IF(Skills!C31=2,90+Inputs!$B$25+Inputs!$B$28,IF(Skills!C31=3,120+Inputs!$B$26+Inputs!$B$28,MAX(0,(Inputs!$B$3-100)*3)+Inputs!$B$27+Inputs!$B$28)))</f>
        <v/>
      </c>
      <c r="E300">
        <f>INDEX(FactorTable!$B$2:$Y$301, MATCH(ROUND(MIN(300,MAX(1,D300)),0), FactorTable!$A$2:$A$301,0), Skills!M31+1)</f>
        <v/>
      </c>
      <c r="F300">
        <f>IF(Skills!N31=TRUE,(Skills!L31/10)*(E300/1000),Skills!L31/10)+Skills!O31</f>
        <v/>
      </c>
      <c r="G300">
        <f>Calc!G31</f>
        <v/>
      </c>
      <c r="H300">
        <f>Calc!H31</f>
        <v/>
      </c>
      <c r="I300">
        <f>IF(Skills!AA31&lt;&gt;"",1+(Skills!AA31/10)*(U272/1000)/100,1)</f>
        <v/>
      </c>
      <c r="J300" t="inlineStr"/>
      <c r="K300" t="inlineStr"/>
      <c r="L300" t="inlineStr"/>
      <c r="M300" t="inlineStr"/>
      <c r="N300" t="inlineStr"/>
      <c r="O300" t="n">
        <v>0</v>
      </c>
      <c r="P300">
        <f>IF(B313=0,0,O300/B313)</f>
        <v/>
      </c>
      <c r="Q300" t="n">
        <v>0</v>
      </c>
      <c r="R300" t="n">
        <v>0</v>
      </c>
      <c r="S300">
        <f>IFERROR(O300/N300,0)</f>
        <v/>
      </c>
    </row>
    <row r="302">
      <c r="A302" t="inlineStr">
        <is>
          <t>Actions Per Second (pre-Adrenalin)</t>
        </is>
      </c>
      <c r="B302">
        <f>1+MIN(150,150*(1-(1-(Inputs!$B$10+((C291=TRUE)*(F291-Calc!F22)))/150)*(1-((C288=TRUE)*F288*IF(AND(Inputs!$B$4&lt;&gt;"pvp",Inputs!$B$35&gt;0),(((S288-1)*(Skills!Y19*(1+Inputs!$B$33/100))+MIN((Skills!Y19*(1+Inputs!$B$33/100)),MAX(0,Inputs!$B$35-((S288-1)*Skills!D19))))/Inputs!$B$35),IF(Inputs!$B$4="pvp",MIN((Skills!Y19*(1+Inputs!$B$33/100)),15)/15,(Skills!Y19*(1+Inputs!$B$33/100))/Skills!D19)))/150)))/100</f>
        <v/>
      </c>
    </row>
    <row r="303">
      <c r="A303" t="inlineStr">
        <is>
          <t>Alchemic Adrenaline Uptime</t>
        </is>
      </c>
      <c r="B303">
        <f>(Skills!Y6*(1+Inputs!$B$33/100))/((Skills!Y6*(1+Inputs!$B$33/100))+(5/B302))</f>
        <v/>
      </c>
    </row>
    <row r="304">
      <c r="A304" t="inlineStr">
        <is>
          <t>Attack Speed Buff Bonus %</t>
        </is>
      </c>
      <c r="B304">
        <f>((C288=TRUE)*F288*IF(AND(Inputs!$B$4&lt;&gt;"pvp",Inputs!$B$35&gt;0),(((S288-1)*(Skills!Y19*(1+Inputs!$B$33/100))+MIN((Skills!Y19*(1+Inputs!$B$33/100)),MAX(0,Inputs!$B$35-((S288-1)*Skills!D19))))/Inputs!$B$35),IF(Inputs!$B$4="pvp",MIN((Skills!Y19*(1+Inputs!$B$33/100)),15)/15,(Skills!Y19*(1+Inputs!$B$33/100))/Skills!D19)))+((C276=TRUE)*F276*B303)</f>
        <v/>
      </c>
    </row>
    <row r="305">
      <c r="A305" t="inlineStr">
        <is>
          <t>Actions Per Second (final)</t>
        </is>
      </c>
      <c r="B305">
        <f>1+MIN(150,150*(1-(1-(Inputs!$B$10+((C291=TRUE)*(F291-Calc!F22)))/150)*(1-B304/150)))/100</f>
        <v/>
      </c>
    </row>
    <row r="306">
      <c r="A306" t="inlineStr">
        <is>
          <t>Skill + Buff Cast Rate</t>
        </is>
      </c>
      <c r="B306">
        <f>IF(AND(Inputs!$B$4&lt;&gt;"pvp",Inputs!$B$35&gt;0),SUMPRODUCT((Skills!E2:E31=TRUE)*(C271:C300=TRUE)*R271:R300*Skills!F2:F31)/Inputs!$B$35,SUMPRODUCT((Skills!E2:E31=TRUE)*(C271:C300=TRUE)*Q271:Q300*Skills!F2:F31))</f>
        <v/>
      </c>
    </row>
    <row r="307">
      <c r="A307" t="inlineStr">
        <is>
          <t>Showdown Casts Per Second</t>
        </is>
      </c>
      <c r="B307">
        <f>MAX(0,B305-B306)</f>
        <v/>
      </c>
    </row>
    <row r="308">
      <c r="A308" t="inlineStr">
        <is>
          <t>Average Buff Multiplier</t>
        </is>
      </c>
      <c r="B308">
        <f>(1+(((C290=TRUE)*F290*IF(AND(Inputs!$B$4&lt;&gt;"pvp",Inputs!$B$35&gt;0),(((S290-1)*(Skills!Y21*(1+Inputs!$B$33/100))+MIN((Skills!Y21*(1+Inputs!$B$33/100)),MAX(0,Inputs!$B$35-((S290-1)*Skills!D21))))/Inputs!$B$35),IF(Inputs!$B$4="pvp",MIN((Skills!Y21*(1+Inputs!$B$33/100)),15)/15,(Skills!Y21*(1+Inputs!$B$33/100))/Skills!D21)))+((C297=TRUE)*(F297-Calc!F28))+((C287=TRUE)*(F287-Calc!F18)))/100)*(1+((C284=TRUE)*F284*IF(AND(Inputs!$B$4&lt;&gt;"pvp",Inputs!$B$35&gt;0),(((S284-1)*(Skills!Y15*(1+Inputs!$B$33/100))+MIN((Skills!Y15*(1+Inputs!$B$33/100)),MAX(0,Inputs!$B$35-((S284-1)*Skills!D15))))/Inputs!$B$35),IF(Inputs!$B$4="pvp",MIN((Skills!Y15*(1+Inputs!$B$33/100)),15)/15,(Skills!Y15*(1+Inputs!$B$33/100))/Skills!D15)))/100)*(1+((C275=TRUE)*F275*B303)/100)</f>
        <v/>
      </c>
    </row>
    <row r="309">
      <c r="A309" t="inlineStr">
        <is>
          <t>Global Crit Rate Bonus %</t>
        </is>
      </c>
      <c r="B309">
        <f>IF(Inputs!$B$3&gt;=47,8,0)+((C289=TRUE)*F289*IF(AND(Inputs!$B$4&lt;&gt;"pvp",Inputs!$B$35&gt;0),(((S289-1)*(Skills!Y20*(1+Inputs!$B$33/100))+MIN((Skills!Y20*(1+Inputs!$B$33/100)),MAX(0,Inputs!$B$35-((S289-1)*Skills!D20))))/Inputs!$B$35),IF(Inputs!$B$4="pvp",MIN((Skills!Y20*(1+Inputs!$B$33/100)),15)/15,(Skills!Y20*(1+Inputs!$B$33/100))/Skills!D20)))</f>
        <v/>
      </c>
    </row>
    <row r="310">
      <c r="A310" t="inlineStr">
        <is>
          <t>Global Monster Damage-Taken Bonus %</t>
        </is>
      </c>
      <c r="B310">
        <f>IF(Inputs!$B$3&gt;=82,15,0)+((C285=TRUE)*F285*IF(AND(Inputs!$B$4&lt;&gt;"pvp",Inputs!$B$35&gt;0),(((S285-1)*(Skills!Y16*(1+Inputs!$B$33/100))+MIN((Skills!Y16*(1+Inputs!$B$33/100)),MAX(0,Inputs!$B$35-((S285-1)*Skills!D16))))/Inputs!$B$35),IF(Inputs!$B$4="pvp",MIN((Skills!Y16*(1+Inputs!$B$33/100)),15)/15,(Skills!Y16*(1+Inputs!$B$33/100))/Skills!D16)))</f>
        <v/>
      </c>
    </row>
    <row r="311">
      <c r="A311" t="inlineStr">
        <is>
          <t>Shadow Partner Average Multiplier</t>
        </is>
      </c>
      <c r="B311">
        <f>1+((C280=TRUE)*F280*I280*Skills!J11/100)/100</f>
        <v/>
      </c>
    </row>
    <row r="312">
      <c r="A312" t="inlineStr">
        <is>
          <t>Global Critical Damage Bonus % (Frailty Curse Mastery Lv.111)</t>
        </is>
      </c>
      <c r="B312">
        <f>IF(Inputs!$B$3&gt;=111,30,0)*IF(AND(Inputs!$B$4&lt;&gt;"pvp",Inputs!$B$35&gt;0),(((S285-1)*(Skills!Y16*(1+Inputs!$B$33/100))+MIN((Skills!Y16*(1+Inputs!$B$33/100)),MAX(0,Inputs!$B$35-((S285-1)*Skills!D16))))/Inputs!$B$35),IF(Inputs!$B$4="pvp",MIN((Skills!Y16*(1+Inputs!$B$33/100)),15)/15,(Skills!Y16*(1+Inputs!$B$33/100))/Skills!D16))</f>
        <v/>
      </c>
    </row>
    <row r="313">
      <c r="A313" s="5" t="inlineStr">
        <is>
          <t>TOTAL DPS</t>
        </is>
      </c>
      <c r="B313" s="5">
        <f>SUM(O271:O300)</f>
        <v/>
      </c>
    </row>
    <row r="316">
      <c r="A316" s="5" t="inlineStr">
        <is>
          <t>Stat: NORMAL_DAMAGE %</t>
        </is>
      </c>
    </row>
    <row r="317">
      <c r="A317" s="8" t="inlineStr">
        <is>
          <t>Key</t>
        </is>
      </c>
      <c r="B317" s="8" t="inlineStr">
        <is>
          <t>Name</t>
        </is>
      </c>
      <c r="C317" s="8" t="inlineStr">
        <is>
          <t>Unlocked</t>
        </is>
      </c>
      <c r="D317" s="8" t="inlineStr">
        <is>
          <t>InputLevel</t>
        </is>
      </c>
      <c r="E317" s="8" t="inlineStr">
        <is>
          <t>Factor</t>
        </is>
      </c>
      <c r="F317" s="8" t="inlineStr">
        <is>
          <t>CoefficientPercent</t>
        </is>
      </c>
      <c r="G317" s="8" t="inlineStr">
        <is>
          <t>EffectiveHits</t>
        </is>
      </c>
      <c r="H317" s="8" t="inlineStr">
        <is>
          <t>ProcProbability</t>
        </is>
      </c>
      <c r="I317" s="8" t="inlineStr">
        <is>
          <t>MapleHeroMultiplier</t>
        </is>
      </c>
      <c r="J317" s="8" t="inlineStr">
        <is>
          <t>BaseDamage</t>
        </is>
      </c>
      <c r="K317" s="8" t="inlineStr">
        <is>
          <t>BaseHitDamage</t>
        </is>
      </c>
      <c r="L317" s="8" t="inlineStr">
        <is>
          <t>NonCritAvg</t>
        </is>
      </c>
      <c r="M317" s="8" t="inlineStr">
        <is>
          <t>CritAvg</t>
        </is>
      </c>
      <c r="N317" s="8" t="inlineStr">
        <is>
          <t>ExpectedDamage(perHit)</t>
        </is>
      </c>
      <c r="O317" s="8" t="inlineStr">
        <is>
          <t>DPS</t>
        </is>
      </c>
      <c r="P317" s="8" t="inlineStr">
        <is>
          <t>% of Total</t>
        </is>
      </c>
      <c r="Q317" s="8" t="inlineStr">
        <is>
          <t>InvCooldown</t>
        </is>
      </c>
      <c r="R317" s="8" t="inlineStr">
        <is>
          <t>CastsInFight</t>
        </is>
      </c>
      <c r="S317" s="8" t="inlineStr">
        <is>
          <t>HitRate(perSec)</t>
        </is>
      </c>
      <c r="U317" t="inlineStr">
        <is>
          <t>helpers</t>
        </is>
      </c>
    </row>
    <row r="318">
      <c r="A318">
        <f>Skills!A2</f>
        <v/>
      </c>
      <c r="B318">
        <f>Skills!B2</f>
        <v/>
      </c>
      <c r="C318">
        <f>Inputs!$B$3&gt;=100</f>
        <v/>
      </c>
      <c r="D318" t="inlineStr"/>
      <c r="E318" t="inlineStr"/>
      <c r="F318">
        <f>U322+Skills!O2</f>
        <v/>
      </c>
      <c r="G318">
        <f>Calc!G2</f>
        <v/>
      </c>
      <c r="H318">
        <f>Calc!H2</f>
        <v/>
      </c>
      <c r="I318">
        <f>IF(Skills!AA2&lt;&gt;"",1+(Skills!AA2/10)*(U319/1000)/100,1)</f>
        <v/>
      </c>
      <c r="J318">
        <f>(Inputs!$B$5*(1+Inputs!$B$6/100))*(F318/100)</f>
        <v/>
      </c>
      <c r="K318">
        <f>J318*(1+((Inputs!$B$11*(1+Inputs!$B$12/100))*0.01+Inputs!$B$13*0.0025)/100)*(1+Inputs!$B$14/100)*(1+IF(Inputs!$B$4="pvp",0,(1-Summary!$B$55)*(Inputs!$B$19+((C343=TRUE)*(F343-Calc!F27))+Skills!P2+B357)+Summary!$B$55*((Inputs!$B$20+1)+Skills!Q2+B357))/100)*(1+Inputs!$B$15/100)*(5000/(6000+Inputs!$B$7*(1-Inputs!$B$18/100)))*(1+(Inputs!$B$23+((C346=TRUE)*(F346-Calc!F30)))/100)*(1+Skills!R2/100)*(1+(IF(Skills!A2="SHOWDOWN",Inputs!$B$16+((C339=TRUE)*(F339-Calc!F23)),Inputs!$B$17+((C345=TRUE)*(F345-Calc!F29))))/100)*(((1+(((C337=TRUE)*F337*IF(AND(Inputs!$B$4&lt;&gt;"pvp",Inputs!$B$35&gt;0),(((S337-1)*(Skills!Y21*(1+Inputs!$B$33/100))+MIN((Skills!Y21*(1+Inputs!$B$33/100)),MAX(0,Inputs!$B$35-((S337-1)*Skills!D21))))/Inputs!$B$35),IF(Inputs!$B$4="pvp",MIN((Skills!Y21*(1+Inputs!$B$33/100)),15)/15,(Skills!Y21*(1+Inputs!$B$33/100))/Skills!D21)))+((C344=TRUE)*(F344-Calc!F28))+((C334=TRUE)*(F334-Calc!F18)))/100)*(1+((C331=TRUE)*F331*IF(AND(Inputs!$B$4&lt;&gt;"pvp",Inputs!$B$35&gt;0),(((S331-1)*(Skills!Y15*(1+Inputs!$B$33/100))+MIN((Skills!Y15*(1+Inputs!$B$33/100)),MAX(0,Inputs!$B$35-((S331-1)*Skills!D15))))/Inputs!$B$35),IF(Inputs!$B$4="pvp",MIN((Skills!Y15*(1+Inputs!$B$33/100)),15)/15,(Skills!Y15*(1+Inputs!$B$33/100))/Skills!D15)))/100)*(1+((C322=TRUE)*F322*B350)/100))*B358*I318)</f>
        <v/>
      </c>
      <c r="L318">
        <f>K318*(MIN(Inputs!$B$21+((C340=TRUE)*(F340-Calc!F24)),Inputs!$B$22)/100+Inputs!$B$22/100)/2</f>
        <v/>
      </c>
      <c r="M318">
        <f>L318*(1+(Inputs!$B$9+((C342=TRUE)*(F342-Calc!F26))+B359)/100)</f>
        <v/>
      </c>
      <c r="N318">
        <f>L318*(1-MIN((Inputs!$B$8+((C341=TRUE)*(F341-Calc!F25))+B356),100)/100)+M318*(MIN((Inputs!$B$8+((C341=TRUE)*(F341-Calc!F25))+B356),100)/100)</f>
        <v/>
      </c>
      <c r="O318">
        <f>IF(C318,Skills!G2*N318*B354*IF(Inputs!$B$4="pvp",1,(1-Summary!$B$55)*(1)+Summary!$B$55*(MIN((6+Inputs!$B$32),Inputs!$B$37))),0)</f>
        <v/>
      </c>
      <c r="P318">
        <f>IF(B360=0,0,O318/B360)</f>
        <v/>
      </c>
      <c r="Q318" t="n">
        <v>0</v>
      </c>
      <c r="R318" t="n">
        <v>0</v>
      </c>
      <c r="S318">
        <f>IFERROR(O318/N318,0)</f>
        <v/>
      </c>
      <c r="U318">
        <f>MAX(0,(Inputs!$B$3-100)*3)+Inputs!$B$27+Inputs!$B$28</f>
        <v/>
      </c>
    </row>
    <row r="319">
      <c r="A319">
        <f>Skills!A3</f>
        <v/>
      </c>
      <c r="B319">
        <f>Skills!B3</f>
        <v/>
      </c>
      <c r="C319">
        <f>Inputs!$B$3&gt;=35</f>
        <v/>
      </c>
      <c r="D319">
        <f>IF(Skills!C3=1,60+Inputs!$B$24+Inputs!$B$28,IF(Skills!C3=2,90+Inputs!$B$25+Inputs!$B$28,IF(Skills!C3=3,120+Inputs!$B$26+Inputs!$B$28,MAX(0,(Inputs!$B$3-100)*3)+Inputs!$B$27+Inputs!$B$28)))</f>
        <v/>
      </c>
      <c r="E319">
        <f>INDEX(FactorTable!$B$2:$Y$301, MATCH(ROUND(MIN(300,MAX(1,D319)),0), FactorTable!$A$2:$A$301,0), Skills!M3+1)</f>
        <v/>
      </c>
      <c r="F319">
        <f>IF(Skills!N3=TRUE,(Skills!L3/10)*(E319/1000),Skills!L3/10)+Skills!O3</f>
        <v/>
      </c>
      <c r="G319">
        <f>Calc!G3</f>
        <v/>
      </c>
      <c r="H319">
        <f>Calc!H3</f>
        <v/>
      </c>
      <c r="I319">
        <f>IF(Skills!AA3&lt;&gt;"",1+(Skills!AA3/10)*(U319/1000)/100,1)</f>
        <v/>
      </c>
      <c r="J319">
        <f>(Inputs!$B$5*(1+Inputs!$B$6/100))*(F319/100)</f>
        <v/>
      </c>
      <c r="K319">
        <f>J319*(1+((Inputs!$B$11*(1+Inputs!$B$12/100))*0.01+Inputs!$B$13*0.0025)/100)*(1+Inputs!$B$14/100)*(1+IF(Inputs!$B$4="pvp",0,(1-Summary!$B$55)*(Inputs!$B$19+((C343=TRUE)*(F343-Calc!F27))+Skills!P3+B357)+Summary!$B$55*((Inputs!$B$20+1)+Skills!Q3+B357))/100)*(1+Inputs!$B$15/100)*(5000/(6000+Inputs!$B$7*(1-Inputs!$B$18/100)))*(1+(Inputs!$B$23+((C346=TRUE)*(F346-Calc!F30)))/100)*(1+Skills!R3/100)*(1+(IF(Skills!A3="SHOWDOWN",Inputs!$B$16+((C339=TRUE)*(F339-Calc!F23)),Inputs!$B$17+((C345=TRUE)*(F345-Calc!F29))))/100)*(((1+(((C337=TRUE)*F337*IF(AND(Inputs!$B$4&lt;&gt;"pvp",Inputs!$B$35&gt;0),(((S337-1)*(Skills!Y21*(1+Inputs!$B$33/100))+MIN((Skills!Y21*(1+Inputs!$B$33/100)),MAX(0,Inputs!$B$35-((S337-1)*Skills!D21))))/Inputs!$B$35),IF(Inputs!$B$4="pvp",MIN((Skills!Y21*(1+Inputs!$B$33/100)),15)/15,(Skills!Y21*(1+Inputs!$B$33/100))/Skills!D21)))+((C344=TRUE)*(F344-Calc!F28))+((C334=TRUE)*(F334-Calc!F18)))/100)*(1+((C331=TRUE)*F331*IF(AND(Inputs!$B$4&lt;&gt;"pvp",Inputs!$B$35&gt;0),(((S331-1)*(Skills!Y15*(1+Inputs!$B$33/100))+MIN((Skills!Y15*(1+Inputs!$B$33/100)),MAX(0,Inputs!$B$35-((S331-1)*Skills!D15))))/Inputs!$B$35),IF(Inputs!$B$4="pvp",MIN((Skills!Y15*(1+Inputs!$B$33/100)),15)/15,(Skills!Y15*(1+Inputs!$B$33/100))/Skills!D15)))/100)*(1+((C322=TRUE)*F322*B350)/100))*B358*I319)</f>
        <v/>
      </c>
      <c r="L319">
        <f>K319*(MIN(Inputs!$B$21+((C340=TRUE)*(F340-Calc!F24)),Inputs!$B$22)/100+Inputs!$B$22/100)/2</f>
        <v/>
      </c>
      <c r="M319">
        <f>L319*(1+(Inputs!$B$9+((C342=TRUE)*(F342-Calc!F26))+B359)/100)</f>
        <v/>
      </c>
      <c r="N319">
        <f>L319*(1-MIN((Inputs!$B$8+((C341=TRUE)*(F341-Calc!F25))+B356),100)/100)+M319*(MIN((Inputs!$B$8+((C341=TRUE)*(F341-Calc!F25))+B356),100)/100)</f>
        <v/>
      </c>
      <c r="O319">
        <f>IF(C319,H319*N319*IF(AND(Inputs!$B$4&lt;&gt;"pvp",Inputs!$B$35&gt;0),((Skills!G3*((R319-1)*IF(Skills!H3&gt;0,Skills!I3/Skills!H3,1)+IF(Skills!H3&gt;0,MIN(Skills!I3,MAX(0,Inputs!$B$35-((R319-1)*IF(Inputs!$B$4="pvp",15,MAX(0.1,Skills!D3-IF(Skills!E3=TRUE,Inputs!$B$31,0))))))/Skills!H3,1)))/Inputs!$B$35),G319*Q319)*IF(Inputs!$B$4="pvp",1,(1-Summary!$B$55)*(1)+Summary!$B$55*(MIN(Skills!W3,Inputs!$B$37))),0)</f>
        <v/>
      </c>
      <c r="P319">
        <f>IF(B360=0,0,O319/B360)</f>
        <v/>
      </c>
      <c r="Q319">
        <f>IFERROR(1/IF(Inputs!$B$4="pvp",15,MAX(0.1,Skills!D3-IF(Skills!E3=TRUE,Inputs!$B$31,0))),0)</f>
        <v/>
      </c>
      <c r="R319">
        <f>IF(AND(Inputs!$B$4&lt;&gt;"pvp",Inputs!$B$35&gt;0),(INT(Inputs!$B$35/IF(Inputs!$B$4="pvp",15,MAX(0.1,Skills!D3-IF(Skills!E3=TRUE,Inputs!$B$31,0))))+1),0)</f>
        <v/>
      </c>
      <c r="S319">
        <f>IFERROR(O319/N319,0)</f>
        <v/>
      </c>
      <c r="U319">
        <f>INDEX(FactorTable!$B$2:$Y$301, MATCH(ROUND(MIN(300,MAX(1,U318)),0), FactorTable!$A$2:$A$301,0), 24)</f>
        <v/>
      </c>
    </row>
    <row r="320">
      <c r="A320">
        <f>Skills!A4</f>
        <v/>
      </c>
      <c r="B320">
        <f>Skills!B4</f>
        <v/>
      </c>
      <c r="C320">
        <f>Inputs!$B$3&gt;=40</f>
        <v/>
      </c>
      <c r="D320">
        <f>IF(Skills!C4=1,60+Inputs!$B$24+Inputs!$B$28,IF(Skills!C4=2,90+Inputs!$B$25+Inputs!$B$28,IF(Skills!C4=3,120+Inputs!$B$26+Inputs!$B$28,MAX(0,(Inputs!$B$3-100)*3)+Inputs!$B$27+Inputs!$B$28)))</f>
        <v/>
      </c>
      <c r="E320">
        <f>INDEX(FactorTable!$B$2:$Y$301, MATCH(ROUND(MIN(300,MAX(1,D320)),0), FactorTable!$A$2:$A$301,0), Skills!M4+1)</f>
        <v/>
      </c>
      <c r="F320">
        <f>IF(Skills!N4=TRUE,(Skills!L4/10)*(E320/1000),Skills!L4/10)+Skills!O4</f>
        <v/>
      </c>
      <c r="G320">
        <f>Calc!G4</f>
        <v/>
      </c>
      <c r="H320">
        <f>Calc!H4</f>
        <v/>
      </c>
      <c r="I320">
        <f>IF(Skills!AA4&lt;&gt;"",1+(Skills!AA4/10)*(U319/1000)/100,1)</f>
        <v/>
      </c>
      <c r="J320">
        <f>(Inputs!$B$5*(1+Inputs!$B$6/100))*(F320/100)</f>
        <v/>
      </c>
      <c r="K320">
        <f>J320*(1+((Inputs!$B$11*(1+Inputs!$B$12/100))*0.01+Inputs!$B$13*0.0025)/100)*(1+Inputs!$B$14/100)*(1+IF(Inputs!$B$4="pvp",0,(1-Summary!$B$55)*(Inputs!$B$19+((C343=TRUE)*(F343-Calc!F27))+Skills!P4+B357)+Summary!$B$55*((Inputs!$B$20+1)+Skills!Q4+B357))/100)*(1+Inputs!$B$15/100)*(5000/(6000+Inputs!$B$7*(1-Inputs!$B$18/100)))*(1+(Inputs!$B$23+((C346=TRUE)*(F346-Calc!F30)))/100)*(1+Skills!R4/100)*(1+(IF(Skills!A4="SHOWDOWN",Inputs!$B$16+((C339=TRUE)*(F339-Calc!F23)),Inputs!$B$17+((C345=TRUE)*(F345-Calc!F29))))/100)*(((1+(((C337=TRUE)*F337*IF(AND(Inputs!$B$4&lt;&gt;"pvp",Inputs!$B$35&gt;0),(((S337-1)*(Skills!Y21*(1+Inputs!$B$33/100))+MIN((Skills!Y21*(1+Inputs!$B$33/100)),MAX(0,Inputs!$B$35-((S337-1)*Skills!D21))))/Inputs!$B$35),IF(Inputs!$B$4="pvp",MIN((Skills!Y21*(1+Inputs!$B$33/100)),15)/15,(Skills!Y21*(1+Inputs!$B$33/100))/Skills!D21)))+((C344=TRUE)*(F344-Calc!F28))+((C334=TRUE)*(F334-Calc!F18)))/100)*(1+((C331=TRUE)*F331*IF(AND(Inputs!$B$4&lt;&gt;"pvp",Inputs!$B$35&gt;0),(((S331-1)*(Skills!Y15*(1+Inputs!$B$33/100))+MIN((Skills!Y15*(1+Inputs!$B$33/100)),MAX(0,Inputs!$B$35-((S331-1)*Skills!D15))))/Inputs!$B$35),IF(Inputs!$B$4="pvp",MIN((Skills!Y15*(1+Inputs!$B$33/100)),15)/15,(Skills!Y15*(1+Inputs!$B$33/100))/Skills!D15)))/100)*(1+((C322=TRUE)*F322*B350)/100))*B358*I320)</f>
        <v/>
      </c>
      <c r="L320">
        <f>K320*(MIN(Inputs!$B$21+((C340=TRUE)*(F340-Calc!F24)),Inputs!$B$22)/100+Inputs!$B$22/100)/2</f>
        <v/>
      </c>
      <c r="M320">
        <f>L320*(1+(Inputs!$B$9+((C342=TRUE)*(F342-Calc!F26))+B359)/100)</f>
        <v/>
      </c>
      <c r="N320">
        <f>L320*(1-MIN((Inputs!$B$8+((C341=TRUE)*(F341-Calc!F25))+B356),100)/100)+M320*(MIN((Inputs!$B$8+((C341=TRUE)*(F341-Calc!F25))+B356),100)/100)</f>
        <v/>
      </c>
      <c r="O320">
        <f>IF(C320,H320*N320*IF(AND(Inputs!$B$4&lt;&gt;"pvp",Inputs!$B$35&gt;0),((Skills!G4*((R320-1)*IF(Skills!H4&gt;0,Skills!I4/Skills!H4,1)+IF(Skills!H4&gt;0,MIN(Skills!I4,MAX(0,Inputs!$B$35-((R320-1)*IF(Inputs!$B$4="pvp",15,MAX(0.1,Skills!D4-IF(Skills!E4=TRUE,Inputs!$B$31,0))))))/Skills!H4,1)))/Inputs!$B$35),G320*Q320)*IF(Inputs!$B$4="pvp",1,(1-Summary!$B$55)*(1)+Summary!$B$55*(MIN(Skills!W4,Inputs!$B$37))),0)</f>
        <v/>
      </c>
      <c r="P320">
        <f>IF(B360=0,0,O320/B360)</f>
        <v/>
      </c>
      <c r="Q320">
        <f>IFERROR(1/IF(Inputs!$B$4="pvp",15,MAX(0.1,Skills!D4-IF(Skills!E4=TRUE,Inputs!$B$31,0))),0)</f>
        <v/>
      </c>
      <c r="R320">
        <f>IF(AND(Inputs!$B$4&lt;&gt;"pvp",Inputs!$B$35&gt;0),(INT(Inputs!$B$35/IF(Inputs!$B$4="pvp",15,MAX(0.1,Skills!D4-IF(Skills!E4=TRUE,Inputs!$B$31,0))))+1),0)</f>
        <v/>
      </c>
      <c r="S320">
        <f>IFERROR(O320/N320,0)</f>
        <v/>
      </c>
      <c r="U320">
        <f>MAX(0,(Inputs!$B$3-100)*3)+Inputs!$B$27+Inputs!$B$28</f>
        <v/>
      </c>
    </row>
    <row r="321">
      <c r="A321">
        <f>Skills!A5</f>
        <v/>
      </c>
      <c r="B321">
        <f>Skills!B5</f>
        <v/>
      </c>
      <c r="C321">
        <f>Inputs!$B$3&gt;=63</f>
        <v/>
      </c>
      <c r="D321">
        <f>IF(Skills!C5=1,60+Inputs!$B$24+Inputs!$B$28,IF(Skills!C5=2,90+Inputs!$B$25+Inputs!$B$28,IF(Skills!C5=3,120+Inputs!$B$26+Inputs!$B$28,MAX(0,(Inputs!$B$3-100)*3)+Inputs!$B$27+Inputs!$B$28)))</f>
        <v/>
      </c>
      <c r="E321">
        <f>INDEX(FactorTable!$B$2:$Y$301, MATCH(ROUND(MIN(300,MAX(1,D321)),0), FactorTable!$A$2:$A$301,0), Skills!M5+1)</f>
        <v/>
      </c>
      <c r="F321">
        <f>IF(Skills!N5=TRUE,(Skills!L5/10)*(E321/1000),Skills!L5/10)+Skills!O5</f>
        <v/>
      </c>
      <c r="G321">
        <f>Calc!G5</f>
        <v/>
      </c>
      <c r="H321">
        <f>Calc!H5</f>
        <v/>
      </c>
      <c r="I321">
        <f>IF(Skills!AA5&lt;&gt;"",1+(Skills!AA5/10)*(U319/1000)/100,1)</f>
        <v/>
      </c>
      <c r="J321">
        <f>(Inputs!$B$5*(1+Inputs!$B$6/100))*(F321/100)</f>
        <v/>
      </c>
      <c r="K321">
        <f>J321*(1+((Inputs!$B$11*(1+Inputs!$B$12/100))*0.01+Inputs!$B$13*0.0025)/100)*(1+Inputs!$B$14/100)*(1+IF(Inputs!$B$4="pvp",0,(1-Summary!$B$55)*(Inputs!$B$19+((C343=TRUE)*(F343-Calc!F27))+Skills!P5+B357)+Summary!$B$55*((Inputs!$B$20+1)+Skills!Q5+B357))/100)*(1+Inputs!$B$15/100)*(5000/(6000+Inputs!$B$7*(1-Inputs!$B$18/100)))*(1+(Inputs!$B$23+((C346=TRUE)*(F346-Calc!F30)))/100)*(1+Skills!R5/100)*(1+(IF(Skills!A5="SHOWDOWN",Inputs!$B$16+((C339=TRUE)*(F339-Calc!F23)),Inputs!$B$17+((C345=TRUE)*(F345-Calc!F29))))/100)*(((1+(((C337=TRUE)*F337*IF(AND(Inputs!$B$4&lt;&gt;"pvp",Inputs!$B$35&gt;0),(((S337-1)*(Skills!Y21*(1+Inputs!$B$33/100))+MIN((Skills!Y21*(1+Inputs!$B$33/100)),MAX(0,Inputs!$B$35-((S337-1)*Skills!D21))))/Inputs!$B$35),IF(Inputs!$B$4="pvp",MIN((Skills!Y21*(1+Inputs!$B$33/100)),15)/15,(Skills!Y21*(1+Inputs!$B$33/100))/Skills!D21)))+((C344=TRUE)*(F344-Calc!F28))+((C334=TRUE)*(F334-Calc!F18)))/100)*(1+((C331=TRUE)*F331*IF(AND(Inputs!$B$4&lt;&gt;"pvp",Inputs!$B$35&gt;0),(((S331-1)*(Skills!Y15*(1+Inputs!$B$33/100))+MIN((Skills!Y15*(1+Inputs!$B$33/100)),MAX(0,Inputs!$B$35-((S331-1)*Skills!D15))))/Inputs!$B$35),IF(Inputs!$B$4="pvp",MIN((Skills!Y15*(1+Inputs!$B$33/100)),15)/15,(Skills!Y15*(1+Inputs!$B$33/100))/Skills!D15)))/100)*(1+((C322=TRUE)*F322*B350)/100))*B358*I321)</f>
        <v/>
      </c>
      <c r="L321">
        <f>K321*(MIN(Inputs!$B$21+((C340=TRUE)*(F340-Calc!F24)),Inputs!$B$22)/100+Inputs!$B$22/100)/2</f>
        <v/>
      </c>
      <c r="M321">
        <f>L321*(1+(Inputs!$B$9+((C342=TRUE)*(F342-Calc!F26))+B359)/100)</f>
        <v/>
      </c>
      <c r="N321">
        <f>L321*(1-MIN((Inputs!$B$8+((C341=TRUE)*(F341-Calc!F25))+B356),100)/100)+M321*(MIN((Inputs!$B$8+((C341=TRUE)*(F341-Calc!F25))+B356),100)/100)</f>
        <v/>
      </c>
      <c r="O321">
        <f>IF(C321,H321*N321*IF(AND(Inputs!$B$4&lt;&gt;"pvp",Inputs!$B$35&gt;0),((Skills!G5*((R321-1)*IF(Skills!H5&gt;0,Skills!I5/Skills!H5,1)+IF(Skills!H5&gt;0,MIN(Skills!I5,MAX(0,Inputs!$B$35-((R321-1)*IF(Inputs!$B$4="pvp",15,MAX(0.1,Skills!D5-IF(Skills!E5=TRUE,Inputs!$B$31,0))))))/Skills!H5,1)))/Inputs!$B$35),G321*Q321)*IF(Inputs!$B$4="pvp",1,(1-Summary!$B$55)*(1)+Summary!$B$55*(MIN(Skills!W5,Inputs!$B$37))),0)</f>
        <v/>
      </c>
      <c r="P321">
        <f>IF(B360=0,0,O321/B360)</f>
        <v/>
      </c>
      <c r="Q321">
        <f>IFERROR(1/IF(Inputs!$B$4="pvp",15,MAX(0.1,Skills!D5-IF(Skills!E5=TRUE,Inputs!$B$31,0))),0)</f>
        <v/>
      </c>
      <c r="R321">
        <f>IF(AND(Inputs!$B$4&lt;&gt;"pvp",Inputs!$B$35&gt;0),(INT(Inputs!$B$35/IF(Inputs!$B$4="pvp",15,MAX(0.1,Skills!D5-IF(Skills!E5=TRUE,Inputs!$B$31,0))))+1),0)</f>
        <v/>
      </c>
      <c r="S321">
        <f>IFERROR(O321/N321,0)</f>
        <v/>
      </c>
      <c r="U321">
        <f>INDEX(FactorTable!$B$2:$Y$301, MATCH(ROUND(MIN(300,MAX(1,U320)),0), FactorTable!$A$2:$A$301,0), 22)</f>
        <v/>
      </c>
    </row>
    <row r="322">
      <c r="A322">
        <f>Skills!A6</f>
        <v/>
      </c>
      <c r="B322">
        <f>Skills!B6</f>
        <v/>
      </c>
      <c r="C322">
        <f>Inputs!$B$3&gt;=66</f>
        <v/>
      </c>
      <c r="D322">
        <f>IF(Skills!C6=1,60+Inputs!$B$24+Inputs!$B$28,IF(Skills!C6=2,90+Inputs!$B$25+Inputs!$B$28,IF(Skills!C6=3,120+Inputs!$B$26+Inputs!$B$28,MAX(0,(Inputs!$B$3-100)*3)+Inputs!$B$27+Inputs!$B$28)))</f>
        <v/>
      </c>
      <c r="E322">
        <f>INDEX(FactorTable!$B$2:$Y$301, MATCH(ROUND(MIN(300,MAX(1,D322)),0), FactorTable!$A$2:$A$301,0), Skills!M6+1)</f>
        <v/>
      </c>
      <c r="F322">
        <f>IF(Skills!N6=TRUE,(Skills!L6/10)*(E322/1000),Skills!L6/10)+Skills!O6</f>
        <v/>
      </c>
      <c r="G322">
        <f>Calc!G6</f>
        <v/>
      </c>
      <c r="H322">
        <f>Calc!H6</f>
        <v/>
      </c>
      <c r="I322">
        <f>IF(Skills!AA6&lt;&gt;"",1+(Skills!AA6/10)*(U319/1000)/100,1)</f>
        <v/>
      </c>
      <c r="J322" t="inlineStr"/>
      <c r="K322" t="inlineStr"/>
      <c r="L322" t="inlineStr"/>
      <c r="M322" t="inlineStr"/>
      <c r="N322" t="inlineStr"/>
      <c r="O322" t="n">
        <v>0</v>
      </c>
      <c r="P322">
        <f>IF(B360=0,0,O322/B360)</f>
        <v/>
      </c>
      <c r="Q322" t="n">
        <v>0</v>
      </c>
      <c r="R322" t="n">
        <v>0</v>
      </c>
      <c r="S322">
        <f>IFERROR(O322/N322,0)</f>
        <v/>
      </c>
      <c r="U322">
        <f>290*U321/1000</f>
        <v/>
      </c>
    </row>
    <row r="323">
      <c r="A323">
        <f>Skills!A7</f>
        <v/>
      </c>
      <c r="B323">
        <f>Skills!B7</f>
        <v/>
      </c>
      <c r="C323">
        <f>Inputs!$B$3&gt;=66</f>
        <v/>
      </c>
      <c r="D323">
        <f>IF(Skills!C7=1,60+Inputs!$B$24+Inputs!$B$28,IF(Skills!C7=2,90+Inputs!$B$25+Inputs!$B$28,IF(Skills!C7=3,120+Inputs!$B$26+Inputs!$B$28,MAX(0,(Inputs!$B$3-100)*3)+Inputs!$B$27+Inputs!$B$28)))</f>
        <v/>
      </c>
      <c r="E323">
        <f>INDEX(FactorTable!$B$2:$Y$301, MATCH(ROUND(MIN(300,MAX(1,D323)),0), FactorTable!$A$2:$A$301,0), Skills!M7+1)</f>
        <v/>
      </c>
      <c r="F323">
        <f>IF(Skills!N7=TRUE,(Skills!L7/10)*(E323/1000),Skills!L7/10)+Skills!O7</f>
        <v/>
      </c>
      <c r="G323">
        <f>Calc!G7</f>
        <v/>
      </c>
      <c r="H323">
        <f>Calc!H7</f>
        <v/>
      </c>
      <c r="I323">
        <f>IF(Skills!AA7&lt;&gt;"",1+(Skills!AA7/10)*(U319/1000)/100,1)</f>
        <v/>
      </c>
      <c r="J323" t="inlineStr"/>
      <c r="K323" t="inlineStr"/>
      <c r="L323" t="inlineStr"/>
      <c r="M323" t="inlineStr"/>
      <c r="N323" t="inlineStr"/>
      <c r="O323" t="n">
        <v>0</v>
      </c>
      <c r="P323">
        <f>IF(B360=0,0,O323/B360)</f>
        <v/>
      </c>
      <c r="Q323" t="n">
        <v>0</v>
      </c>
      <c r="R323" t="n">
        <v>0</v>
      </c>
      <c r="S323">
        <f>IFERROR(O323/N323,0)</f>
        <v/>
      </c>
    </row>
    <row r="324">
      <c r="A324">
        <f>Skills!A8</f>
        <v/>
      </c>
      <c r="B324">
        <f>Skills!B8</f>
        <v/>
      </c>
      <c r="C324">
        <f>Inputs!$B$3&gt;=69</f>
        <v/>
      </c>
      <c r="D324">
        <f>IF(Skills!C8=1,60+Inputs!$B$24+Inputs!$B$28,IF(Skills!C8=2,90+Inputs!$B$25+Inputs!$B$28,IF(Skills!C8=3,120+Inputs!$B$26+Inputs!$B$28,MAX(0,(Inputs!$B$3-100)*3)+Inputs!$B$27+Inputs!$B$28)))</f>
        <v/>
      </c>
      <c r="E324">
        <f>INDEX(FactorTable!$B$2:$Y$301, MATCH(ROUND(MIN(300,MAX(1,D324)),0), FactorTable!$A$2:$A$301,0), Skills!M8+1)</f>
        <v/>
      </c>
      <c r="F324">
        <f>IF(Skills!N8=TRUE,(Skills!L8/10)*(E324/1000),Skills!L8/10)+Skills!O8</f>
        <v/>
      </c>
      <c r="G324">
        <f>Calc!G8</f>
        <v/>
      </c>
      <c r="H324">
        <f>Calc!H8</f>
        <v/>
      </c>
      <c r="I324">
        <f>IF(Skills!AA8&lt;&gt;"",1+(Skills!AA8/10)*(U319/1000)/100,1)</f>
        <v/>
      </c>
      <c r="J324">
        <f>(Inputs!$B$5*(1+Inputs!$B$6/100))*(F324/100)</f>
        <v/>
      </c>
      <c r="K324">
        <f>J324*(1+((Inputs!$B$11*(1+Inputs!$B$12/100))*0.01+Inputs!$B$13*0.0025)/100)*(1+Inputs!$B$14/100)*(1+IF(Inputs!$B$4="pvp",0,(1-Summary!$B$55)*(Inputs!$B$19+((C343=TRUE)*(F343-Calc!F27))+Skills!P8+B357)+Summary!$B$55*((Inputs!$B$20+1)+Skills!Q8+B357))/100)*(1+Inputs!$B$15/100)*(5000/(6000+Inputs!$B$7*(1-Inputs!$B$18/100)))*(1+(Inputs!$B$23+((C346=TRUE)*(F346-Calc!F30)))/100)*(1+Skills!R8/100)*(1+(IF(Skills!A8="SHOWDOWN",Inputs!$B$16+((C339=TRUE)*(F339-Calc!F23)),Inputs!$B$17+((C345=TRUE)*(F345-Calc!F29))))/100)*(((1+(((C337=TRUE)*F337*IF(AND(Inputs!$B$4&lt;&gt;"pvp",Inputs!$B$35&gt;0),(((S337-1)*(Skills!Y21*(1+Inputs!$B$33/100))+MIN((Skills!Y21*(1+Inputs!$B$33/100)),MAX(0,Inputs!$B$35-((S337-1)*Skills!D21))))/Inputs!$B$35),IF(Inputs!$B$4="pvp",MIN((Skills!Y21*(1+Inputs!$B$33/100)),15)/15,(Skills!Y21*(1+Inputs!$B$33/100))/Skills!D21)))+((C344=TRUE)*(F344-Calc!F28))+((C334=TRUE)*(F334-Calc!F18)))/100)*(1+((C331=TRUE)*F331*IF(AND(Inputs!$B$4&lt;&gt;"pvp",Inputs!$B$35&gt;0),(((S331-1)*(Skills!Y15*(1+Inputs!$B$33/100))+MIN((Skills!Y15*(1+Inputs!$B$33/100)),MAX(0,Inputs!$B$35-((S331-1)*Skills!D15))))/Inputs!$B$35),IF(Inputs!$B$4="pvp",MIN((Skills!Y15*(1+Inputs!$B$33/100)),15)/15,(Skills!Y15*(1+Inputs!$B$33/100))/Skills!D15)))/100)*(1+((C322=TRUE)*F322*B350)/100))*B358*I324)</f>
        <v/>
      </c>
      <c r="L324">
        <f>K324*(MIN(Inputs!$B$21+((C340=TRUE)*(F340-Calc!F24)),Inputs!$B$22)/100+Inputs!$B$22/100)/2</f>
        <v/>
      </c>
      <c r="M324">
        <f>L324*(1+(Inputs!$B$9+((C342=TRUE)*(F342-Calc!F26))+B359)/100)</f>
        <v/>
      </c>
      <c r="N324">
        <f>L324*(1-MIN((Inputs!$B$8+((C341=TRUE)*(F341-Calc!F25))+B356),100)/100)+M324*(MIN((Inputs!$B$8+((C341=TRUE)*(F341-Calc!F25))+B356),100)/100)</f>
        <v/>
      </c>
      <c r="O324">
        <f>IF(C324,H324*N324*IF(AND(Inputs!$B$4&lt;&gt;"pvp",Inputs!$B$35&gt;0),((Skills!G8*((R324-1)*IF(Skills!H8&gt;0,Skills!I8/Skills!H8,1)+IF(Skills!H8&gt;0,MIN(Skills!I8,MAX(0,Inputs!$B$35-((R324-1)*IF(Inputs!$B$4="pvp",15,MAX(0.1,Skills!D8-IF(Skills!E8=TRUE,Inputs!$B$31,0))))))/Skills!H8,1)))/Inputs!$B$35),G324*Q324)*IF(Inputs!$B$4="pvp",1,(1-Summary!$B$55)*(1)+Summary!$B$55*(MIN(Skills!W8,Inputs!$B$37))),0)</f>
        <v/>
      </c>
      <c r="P324">
        <f>IF(B360=0,0,O324/B360)</f>
        <v/>
      </c>
      <c r="Q324">
        <f>IFERROR(1/IF(Inputs!$B$4="pvp",15,MAX(0.1,Skills!D8-IF(Skills!E8=TRUE,Inputs!$B$31,0))),0)</f>
        <v/>
      </c>
      <c r="R324">
        <f>IF(AND(Inputs!$B$4&lt;&gt;"pvp",Inputs!$B$35&gt;0),(INT(Inputs!$B$35/IF(Inputs!$B$4="pvp",15,MAX(0.1,Skills!D8-IF(Skills!E8=TRUE,Inputs!$B$31,0))))+1),0)</f>
        <v/>
      </c>
      <c r="S324">
        <f>IFERROR(O324/N324,0)</f>
        <v/>
      </c>
    </row>
    <row r="325">
      <c r="A325">
        <f>Skills!A9</f>
        <v/>
      </c>
      <c r="B325">
        <f>Skills!B9</f>
        <v/>
      </c>
      <c r="C325">
        <f>Inputs!$B$3&gt;=72</f>
        <v/>
      </c>
      <c r="D325">
        <f>IF(Skills!C9=1,60+Inputs!$B$24+Inputs!$B$28,IF(Skills!C9=2,90+Inputs!$B$25+Inputs!$B$28,IF(Skills!C9=3,120+Inputs!$B$26+Inputs!$B$28,MAX(0,(Inputs!$B$3-100)*3)+Inputs!$B$27+Inputs!$B$28)))</f>
        <v/>
      </c>
      <c r="E325">
        <f>INDEX(FactorTable!$B$2:$Y$301, MATCH(ROUND(MIN(300,MAX(1,D325)),0), FactorTable!$A$2:$A$301,0), Skills!M9+1)</f>
        <v/>
      </c>
      <c r="F325">
        <f>IF(Skills!N9=TRUE,(Skills!L9/10)*(E325/1000),Skills!L9/10)+Skills!O9</f>
        <v/>
      </c>
      <c r="G325">
        <f>Calc!G9</f>
        <v/>
      </c>
      <c r="H325">
        <f>Calc!H9</f>
        <v/>
      </c>
      <c r="I325">
        <f>IF(Skills!AA9&lt;&gt;"",1+(Skills!AA9/10)*(U319/1000)/100,1)</f>
        <v/>
      </c>
      <c r="J325">
        <f>(Inputs!$B$5*(1+Inputs!$B$6/100))*(F325/100)</f>
        <v/>
      </c>
      <c r="K325">
        <f>J325*(1+((Inputs!$B$11*(1+Inputs!$B$12/100))*0.01+Inputs!$B$13*0.0025)/100)*(1+Inputs!$B$14/100)*(1+IF(Inputs!$B$4="pvp",0,(1-Summary!$B$55)*(Inputs!$B$19+((C343=TRUE)*(F343-Calc!F27))+Skills!P9+B357)+Summary!$B$55*((Inputs!$B$20+1)+Skills!Q9+B357))/100)*(1+Inputs!$B$15/100)*(5000/(6000+Inputs!$B$7*(1-Inputs!$B$18/100)))*(1+(Inputs!$B$23+((C346=TRUE)*(F346-Calc!F30)))/100)*(1+Skills!R9/100)*(1+(IF(Skills!A9="SHOWDOWN",Inputs!$B$16+((C339=TRUE)*(F339-Calc!F23)),Inputs!$B$17+((C345=TRUE)*(F345-Calc!F29))))/100)*(((1+(((C337=TRUE)*F337*IF(AND(Inputs!$B$4&lt;&gt;"pvp",Inputs!$B$35&gt;0),(((S337-1)*(Skills!Y21*(1+Inputs!$B$33/100))+MIN((Skills!Y21*(1+Inputs!$B$33/100)),MAX(0,Inputs!$B$35-((S337-1)*Skills!D21))))/Inputs!$B$35),IF(Inputs!$B$4="pvp",MIN((Skills!Y21*(1+Inputs!$B$33/100)),15)/15,(Skills!Y21*(1+Inputs!$B$33/100))/Skills!D21)))+((C344=TRUE)*(F344-Calc!F28))+((C334=TRUE)*(F334-Calc!F18)))/100)*(1+((C331=TRUE)*F331*IF(AND(Inputs!$B$4&lt;&gt;"pvp",Inputs!$B$35&gt;0),(((S331-1)*(Skills!Y15*(1+Inputs!$B$33/100))+MIN((Skills!Y15*(1+Inputs!$B$33/100)),MAX(0,Inputs!$B$35-((S331-1)*Skills!D15))))/Inputs!$B$35),IF(Inputs!$B$4="pvp",MIN((Skills!Y15*(1+Inputs!$B$33/100)),15)/15,(Skills!Y15*(1+Inputs!$B$33/100))/Skills!D15)))/100)*(1+((C322=TRUE)*F322*B350)/100))*B358*I325)</f>
        <v/>
      </c>
      <c r="L325">
        <f>K325*(MIN(Inputs!$B$21+((C340=TRUE)*(F340-Calc!F24)),Inputs!$B$22)/100+Inputs!$B$22/100)/2</f>
        <v/>
      </c>
      <c r="M325">
        <f>L325*(1+(Inputs!$B$9+((C342=TRUE)*(F342-Calc!F26))+B359)/100)</f>
        <v/>
      </c>
      <c r="N325">
        <f>L325*(1-MIN((Inputs!$B$8+((C341=TRUE)*(F341-Calc!F25))+B356),100)/100)+M325*(MIN((Inputs!$B$8+((C341=TRUE)*(F341-Calc!F25))+B356),100)/100)</f>
        <v/>
      </c>
      <c r="O325">
        <f>IF(C325,H325*N325*IF(AND(Inputs!$B$4&lt;&gt;"pvp",Inputs!$B$35&gt;0),((Skills!G9*((R325-1)*IF(Skills!H9&gt;0,Skills!I9/Skills!H9,1)+IF(Skills!H9&gt;0,MIN(Skills!I9,MAX(0,Inputs!$B$35-((R325-1)*IF(Inputs!$B$4="pvp",15,MAX(0.1,Skills!D9-IF(Skills!E9=TRUE,Inputs!$B$31,0))))))/Skills!H9,1)))/Inputs!$B$35),G325*Q325)*IF(Inputs!$B$4="pvp",1,(1-Summary!$B$55)*(1)+Summary!$B$55*(MIN(Skills!W9,Inputs!$B$37))),0)</f>
        <v/>
      </c>
      <c r="P325">
        <f>IF(B360=0,0,O325/B360)</f>
        <v/>
      </c>
      <c r="Q325">
        <f>IFERROR(1/IF(Inputs!$B$4="pvp",15,MAX(0.1,Skills!D9-IF(Skills!E9=TRUE,Inputs!$B$31,0))),0)</f>
        <v/>
      </c>
      <c r="R325">
        <f>IF(AND(Inputs!$B$4&lt;&gt;"pvp",Inputs!$B$35&gt;0),(INT(Inputs!$B$35/IF(Inputs!$B$4="pvp",15,MAX(0.1,Skills!D9-IF(Skills!E9=TRUE,Inputs!$B$31,0))))+1),0)</f>
        <v/>
      </c>
      <c r="S325">
        <f>IFERROR(O325/N325,0)</f>
        <v/>
      </c>
    </row>
    <row r="326">
      <c r="A326">
        <f>Skills!A10</f>
        <v/>
      </c>
      <c r="B326">
        <f>Skills!B10</f>
        <v/>
      </c>
      <c r="C326">
        <f>Inputs!$B$3&gt;=117</f>
        <v/>
      </c>
      <c r="D326">
        <f>IF(Skills!C10=1,60+Inputs!$B$24+Inputs!$B$28,IF(Skills!C10=2,90+Inputs!$B$25+Inputs!$B$28,IF(Skills!C10=3,120+Inputs!$B$26+Inputs!$B$28,MAX(0,(Inputs!$B$3-100)*3)+Inputs!$B$27+Inputs!$B$28)))</f>
        <v/>
      </c>
      <c r="E326">
        <f>INDEX(FactorTable!$B$2:$Y$301, MATCH(ROUND(MIN(300,MAX(1,D326)),0), FactorTable!$A$2:$A$301,0), Skills!M10+1)</f>
        <v/>
      </c>
      <c r="F326">
        <f>IF(Skills!N10=TRUE,(Skills!L10/10)*(E326/1000),Skills!L10/10)+Skills!O10</f>
        <v/>
      </c>
      <c r="G326">
        <f>Calc!G10</f>
        <v/>
      </c>
      <c r="H326">
        <f>Calc!H10</f>
        <v/>
      </c>
      <c r="I326">
        <f>IF(Skills!AA10&lt;&gt;"",1+(Skills!AA10/10)*(U319/1000)/100,1)</f>
        <v/>
      </c>
      <c r="J326">
        <f>(Inputs!$B$5*(1+Inputs!$B$6/100))*(F326/100)</f>
        <v/>
      </c>
      <c r="K326">
        <f>J326*(1+((Inputs!$B$11*(1+Inputs!$B$12/100))*0.01+Inputs!$B$13*0.0025)/100)*(1+Inputs!$B$14/100)*(1+IF(Inputs!$B$4="pvp",0,(1-Summary!$B$55)*(Inputs!$B$19+((C343=TRUE)*(F343-Calc!F27))+Skills!P10+B357)+Summary!$B$55*((Inputs!$B$20+1)+Skills!Q10+B357))/100)*(1+Inputs!$B$15/100)*(5000/(6000+Inputs!$B$7*(1-Inputs!$B$18/100)))*(1+(Inputs!$B$23+((C346=TRUE)*(F346-Calc!F30)))/100)*(1+Skills!R10/100)*(1+(IF(Skills!A10="SHOWDOWN",Inputs!$B$16+((C339=TRUE)*(F339-Calc!F23)),Inputs!$B$17+((C345=TRUE)*(F345-Calc!F29))))/100)*(((1+(((C337=TRUE)*F337*IF(AND(Inputs!$B$4&lt;&gt;"pvp",Inputs!$B$35&gt;0),(((S337-1)*(Skills!Y21*(1+Inputs!$B$33/100))+MIN((Skills!Y21*(1+Inputs!$B$33/100)),MAX(0,Inputs!$B$35-((S337-1)*Skills!D21))))/Inputs!$B$35),IF(Inputs!$B$4="pvp",MIN((Skills!Y21*(1+Inputs!$B$33/100)),15)/15,(Skills!Y21*(1+Inputs!$B$33/100))/Skills!D21)))+((C344=TRUE)*(F344-Calc!F28))+((C334=TRUE)*(F334-Calc!F18)))/100)*(1+((C331=TRUE)*F331*IF(AND(Inputs!$B$4&lt;&gt;"pvp",Inputs!$B$35&gt;0),(((S331-1)*(Skills!Y15*(1+Inputs!$B$33/100))+MIN((Skills!Y15*(1+Inputs!$B$33/100)),MAX(0,Inputs!$B$35-((S331-1)*Skills!D15))))/Inputs!$B$35),IF(Inputs!$B$4="pvp",MIN((Skills!Y15*(1+Inputs!$B$33/100)),15)/15,(Skills!Y15*(1+Inputs!$B$33/100))/Skills!D15)))/100)*(1+((C322=TRUE)*F322*B350)/100))*B358*I326)</f>
        <v/>
      </c>
      <c r="L326">
        <f>K326*(MIN(Inputs!$B$21+((C340=TRUE)*(F340-Calc!F24)),Inputs!$B$22)/100+Inputs!$B$22/100)/2</f>
        <v/>
      </c>
      <c r="M326">
        <f>L326*(1+(Inputs!$B$9+((C342=TRUE)*(F342-Calc!F26))+B359)/100)</f>
        <v/>
      </c>
      <c r="N326">
        <f>L326*(1-MIN((Inputs!$B$8+((C341=TRUE)*(F341-Calc!F25))+B356),100)/100)+M326*(MIN((Inputs!$B$8+((C341=TRUE)*(F341-Calc!F25))+B356),100)/100)</f>
        <v/>
      </c>
      <c r="O326">
        <f>IF(C326,0.2*SUMPRODUCT((Skills!Z2:Z31=TRUE)*(C318:C347=TRUE)*S318:S347)*N326,0)</f>
        <v/>
      </c>
      <c r="P326">
        <f>IF(B360=0,0,O326/B360)</f>
        <v/>
      </c>
      <c r="Q326" t="n">
        <v>0</v>
      </c>
      <c r="R326" t="n">
        <v>0</v>
      </c>
      <c r="S326" t="n">
        <v>0</v>
      </c>
    </row>
    <row r="327">
      <c r="A327">
        <f>Skills!A11</f>
        <v/>
      </c>
      <c r="B327">
        <f>Skills!B11</f>
        <v/>
      </c>
      <c r="C327">
        <f>Inputs!$B$3&gt;=60</f>
        <v/>
      </c>
      <c r="D327">
        <f>IF(Skills!C11=1,60+Inputs!$B$24+Inputs!$B$28,IF(Skills!C11=2,90+Inputs!$B$25+Inputs!$B$28,IF(Skills!C11=3,120+Inputs!$B$26+Inputs!$B$28,MAX(0,(Inputs!$B$3-100)*3)+Inputs!$B$27+Inputs!$B$28)))</f>
        <v/>
      </c>
      <c r="E327">
        <f>INDEX(FactorTable!$B$2:$Y$301, MATCH(ROUND(MIN(300,MAX(1,D327)),0), FactorTable!$A$2:$A$301,0), Skills!M11+1)</f>
        <v/>
      </c>
      <c r="F327">
        <f>IF(Skills!N11=TRUE,(Skills!L11/10)*(E327/1000),Skills!L11/10)+Skills!O11</f>
        <v/>
      </c>
      <c r="G327">
        <f>Calc!G11</f>
        <v/>
      </c>
      <c r="H327">
        <f>Calc!H11</f>
        <v/>
      </c>
      <c r="I327">
        <f>IF(Skills!AA11&lt;&gt;"",1+(Skills!AA11/10)*(U319/1000)/100,1)</f>
        <v/>
      </c>
      <c r="J327" t="inlineStr"/>
      <c r="K327" t="inlineStr"/>
      <c r="L327" t="inlineStr"/>
      <c r="M327" t="inlineStr"/>
      <c r="N327" t="inlineStr"/>
      <c r="O327" t="n">
        <v>0</v>
      </c>
      <c r="P327">
        <f>IF(B360=0,0,O327/B360)</f>
        <v/>
      </c>
      <c r="Q327" t="n">
        <v>0</v>
      </c>
      <c r="R327" t="n">
        <v>0</v>
      </c>
      <c r="S327">
        <f>IFERROR(O327/N327,0)</f>
        <v/>
      </c>
    </row>
    <row r="328">
      <c r="A328">
        <f>Skills!A12</f>
        <v/>
      </c>
      <c r="B328">
        <f>Skills!B12</f>
        <v/>
      </c>
      <c r="C328">
        <f>Inputs!$B$3&gt;=103</f>
        <v/>
      </c>
      <c r="D328">
        <f>IF(Skills!C12=1,60+Inputs!$B$24+Inputs!$B$28,IF(Skills!C12=2,90+Inputs!$B$25+Inputs!$B$28,IF(Skills!C12=3,120+Inputs!$B$26+Inputs!$B$28,MAX(0,(Inputs!$B$3-100)*3)+Inputs!$B$27+Inputs!$B$28)))</f>
        <v/>
      </c>
      <c r="E328">
        <f>INDEX(FactorTable!$B$2:$Y$301, MATCH(ROUND(MIN(300,MAX(1,D328)),0), FactorTable!$A$2:$A$301,0), Skills!M12+1)</f>
        <v/>
      </c>
      <c r="F328">
        <f>IF(Skills!N12=TRUE,(Skills!L12/10)*(E328/1000),Skills!L12/10)+Skills!O12</f>
        <v/>
      </c>
      <c r="G328">
        <f>Calc!G12</f>
        <v/>
      </c>
      <c r="H328">
        <f>Calc!H12</f>
        <v/>
      </c>
      <c r="I328">
        <f>IF(Skills!AA12&lt;&gt;"",1+(Skills!AA12/10)*(U319/1000)/100,1)</f>
        <v/>
      </c>
      <c r="J328">
        <f>(Inputs!$B$5*(1+Inputs!$B$6/100))*(F328/100)</f>
        <v/>
      </c>
      <c r="K328">
        <f>J328*(1+((Inputs!$B$11*(1+Inputs!$B$12/100))*0.01+Inputs!$B$13*0.0025)/100)*(1+Inputs!$B$14/100)*(1+IF(Inputs!$B$4="pvp",0,(1-Summary!$B$55)*(Inputs!$B$19+((C343=TRUE)*(F343-Calc!F27))+Skills!P12+B357)+Summary!$B$55*((Inputs!$B$20+1)+Skills!Q12+B357))/100)*(1+Inputs!$B$15/100)*(5000/(6000+Inputs!$B$7*(1-Inputs!$B$18/100)))*(1+(Inputs!$B$23+((C346=TRUE)*(F346-Calc!F30)))/100)*(1+Skills!R12/100)*(1+(IF(Skills!A12="SHOWDOWN",Inputs!$B$16+((C339=TRUE)*(F339-Calc!F23)),Inputs!$B$17+((C345=TRUE)*(F345-Calc!F29))))/100)*(((1+(((C337=TRUE)*F337*IF(AND(Inputs!$B$4&lt;&gt;"pvp",Inputs!$B$35&gt;0),(((S337-1)*(Skills!Y21*(1+Inputs!$B$33/100))+MIN((Skills!Y21*(1+Inputs!$B$33/100)),MAX(0,Inputs!$B$35-((S337-1)*Skills!D21))))/Inputs!$B$35),IF(Inputs!$B$4="pvp",MIN((Skills!Y21*(1+Inputs!$B$33/100)),15)/15,(Skills!Y21*(1+Inputs!$B$33/100))/Skills!D21)))+((C344=TRUE)*(F344-Calc!F28))+((C334=TRUE)*(F334-Calc!F18)))/100)*(1+((C331=TRUE)*F331*IF(AND(Inputs!$B$4&lt;&gt;"pvp",Inputs!$B$35&gt;0),(((S331-1)*(Skills!Y15*(1+Inputs!$B$33/100))+MIN((Skills!Y15*(1+Inputs!$B$33/100)),MAX(0,Inputs!$B$35-((S331-1)*Skills!D15))))/Inputs!$B$35),IF(Inputs!$B$4="pvp",MIN((Skills!Y15*(1+Inputs!$B$33/100)),15)/15,(Skills!Y15*(1+Inputs!$B$33/100))/Skills!D15)))/100)*(1+((C322=TRUE)*F322*B350)/100))*B358*I328)</f>
        <v/>
      </c>
      <c r="L328">
        <f>K328*(MIN(Inputs!$B$21+((C340=TRUE)*(F340-Calc!F24)),Inputs!$B$22)/100+Inputs!$B$22/100)/2</f>
        <v/>
      </c>
      <c r="M328">
        <f>L328*(1+(Inputs!$B$9+((C342=TRUE)*(F342-Calc!F26))+B359)/100)</f>
        <v/>
      </c>
      <c r="N328">
        <f>L328*(1-MIN((Inputs!$B$8+((C341=TRUE)*(F341-Calc!F25))+B356),100)/100)+M328*(MIN((Inputs!$B$8+((C341=TRUE)*(F341-Calc!F25))+B356),100)/100)</f>
        <v/>
      </c>
      <c r="O328">
        <f>IF(C328,H328*N328*IF(AND(Inputs!$B$4&lt;&gt;"pvp",Inputs!$B$35&gt;0),((Skills!G12*((R328-1)*IF(Skills!H12&gt;0,Skills!I12/Skills!H12,1)+IF(Skills!H12&gt;0,MIN(Skills!I12,MAX(0,Inputs!$B$35-((R328-1)*IF(Inputs!$B$4="pvp",15,MAX(0.1,Skills!D12-IF(Skills!E12=TRUE,Inputs!$B$31,0))))))/Skills!H12,1)))/Inputs!$B$35),G328*Q328)*IF(Inputs!$B$4="pvp",1,(1-Summary!$B$55)*(1)+Summary!$B$55*(MIN(Skills!W12,Inputs!$B$37))),0)</f>
        <v/>
      </c>
      <c r="P328">
        <f>IF(B360=0,0,O328/B360)</f>
        <v/>
      </c>
      <c r="Q328">
        <f>IFERROR(1/IF(Inputs!$B$4="pvp",15,MAX(0.1,Skills!D12-IF(Skills!E12=TRUE,Inputs!$B$31,0))),0)</f>
        <v/>
      </c>
      <c r="R328">
        <f>IF(AND(Inputs!$B$4&lt;&gt;"pvp",Inputs!$B$35&gt;0),(INT(Inputs!$B$35/IF(Inputs!$B$4="pvp",15,MAX(0.1,Skills!D12-IF(Skills!E12=TRUE,Inputs!$B$31,0))))+1),0)</f>
        <v/>
      </c>
      <c r="S328">
        <f>IFERROR(O328/N328,0)</f>
        <v/>
      </c>
    </row>
    <row r="329">
      <c r="A329">
        <f>Skills!A13</f>
        <v/>
      </c>
      <c r="B329">
        <f>Skills!B13</f>
        <v/>
      </c>
      <c r="C329">
        <f>Inputs!$B$3&gt;=105</f>
        <v/>
      </c>
      <c r="D329">
        <f>IF(Skills!C13=1,60+Inputs!$B$24+Inputs!$B$28,IF(Skills!C13=2,90+Inputs!$B$25+Inputs!$B$28,IF(Skills!C13=3,120+Inputs!$B$26+Inputs!$B$28,MAX(0,(Inputs!$B$3-100)*3)+Inputs!$B$27+Inputs!$B$28)))</f>
        <v/>
      </c>
      <c r="E329">
        <f>INDEX(FactorTable!$B$2:$Y$301, MATCH(ROUND(MIN(300,MAX(1,D329)),0), FactorTable!$A$2:$A$301,0), Skills!M13+1)</f>
        <v/>
      </c>
      <c r="F329">
        <f>IF(Skills!N13=TRUE,(Skills!L13/10)*(E329/1000),Skills!L13/10)+Skills!O13</f>
        <v/>
      </c>
      <c r="G329">
        <f>Calc!G13</f>
        <v/>
      </c>
      <c r="H329">
        <f>Calc!H13</f>
        <v/>
      </c>
      <c r="I329">
        <f>IF(Skills!AA13&lt;&gt;"",1+(Skills!AA13/10)*(U319/1000)/100,1)</f>
        <v/>
      </c>
      <c r="J329">
        <f>(Inputs!$B$5*(1+Inputs!$B$6/100))*(F329/100)</f>
        <v/>
      </c>
      <c r="K329">
        <f>J329*(1+((Inputs!$B$11*(1+Inputs!$B$12/100))*0.01+Inputs!$B$13*0.0025)/100)*(1+Inputs!$B$14/100)*(1+IF(Inputs!$B$4="pvp",0,(1-Summary!$B$55)*(Inputs!$B$19+((C343=TRUE)*(F343-Calc!F27))+Skills!P13+B357)+Summary!$B$55*((Inputs!$B$20+1)+Skills!Q13+B357))/100)*(1+Inputs!$B$15/100)*(5000/(6000+Inputs!$B$7*(1-Inputs!$B$18/100)))*(1+(Inputs!$B$23+((C346=TRUE)*(F346-Calc!F30)))/100)*(1+Skills!R13/100)*(1+(IF(Skills!A13="SHOWDOWN",Inputs!$B$16+((C339=TRUE)*(F339-Calc!F23)),Inputs!$B$17+((C345=TRUE)*(F345-Calc!F29))))/100)*(((1+(((C337=TRUE)*F337*IF(AND(Inputs!$B$4&lt;&gt;"pvp",Inputs!$B$35&gt;0),(((S337-1)*(Skills!Y21*(1+Inputs!$B$33/100))+MIN((Skills!Y21*(1+Inputs!$B$33/100)),MAX(0,Inputs!$B$35-((S337-1)*Skills!D21))))/Inputs!$B$35),IF(Inputs!$B$4="pvp",MIN((Skills!Y21*(1+Inputs!$B$33/100)),15)/15,(Skills!Y21*(1+Inputs!$B$33/100))/Skills!D21)))+((C344=TRUE)*(F344-Calc!F28))+((C334=TRUE)*(F334-Calc!F18)))/100)*(1+((C331=TRUE)*F331*IF(AND(Inputs!$B$4&lt;&gt;"pvp",Inputs!$B$35&gt;0),(((S331-1)*(Skills!Y15*(1+Inputs!$B$33/100))+MIN((Skills!Y15*(1+Inputs!$B$33/100)),MAX(0,Inputs!$B$35-((S331-1)*Skills!D15))))/Inputs!$B$35),IF(Inputs!$B$4="pvp",MIN((Skills!Y15*(1+Inputs!$B$33/100)),15)/15,(Skills!Y15*(1+Inputs!$B$33/100))/Skills!D15)))/100)*(1+((C322=TRUE)*F322*B350)/100))*B358*I329)</f>
        <v/>
      </c>
      <c r="L329">
        <f>K329*(MIN(Inputs!$B$21+((C340=TRUE)*(F340-Calc!F24)),Inputs!$B$22)/100+Inputs!$B$22/100)/2</f>
        <v/>
      </c>
      <c r="M329">
        <f>L329*(1+(Inputs!$B$9+((C342=TRUE)*(F342-Calc!F26))+B359)/100)</f>
        <v/>
      </c>
      <c r="N329">
        <f>L329*(1-MIN((Inputs!$B$8+((C341=TRUE)*(F341-Calc!F25))+B356),100)/100)+M329*(MIN((Inputs!$B$8+((C341=TRUE)*(F341-Calc!F25))+B356),100)/100)</f>
        <v/>
      </c>
      <c r="O329">
        <f>IF(C329,H329*N329*IF(AND(Inputs!$B$4&lt;&gt;"pvp",Inputs!$B$35&gt;0),((Skills!G13*((R329-1)*IF(Skills!H13&gt;0,Skills!I13/Skills!H13,1)+IF(Skills!H13&gt;0,MIN(Skills!I13,MAX(0,Inputs!$B$35-((R329-1)*IF(Inputs!$B$4="pvp",15,MAX(0.1,Skills!D13-IF(Skills!E13=TRUE,Inputs!$B$31,0))))))/Skills!H13,1)))/Inputs!$B$35),G329*Q329)*IF(Inputs!$B$4="pvp",1,(1-Summary!$B$55)*(1)+Summary!$B$55*(MIN(Skills!W13,Inputs!$B$37))),0)</f>
        <v/>
      </c>
      <c r="P329">
        <f>IF(B360=0,0,O329/B360)</f>
        <v/>
      </c>
      <c r="Q329">
        <f>IFERROR(1/IF(Inputs!$B$4="pvp",15,MAX(0.1,Skills!D13-IF(Skills!E13=TRUE,Inputs!$B$31,0))),0)</f>
        <v/>
      </c>
      <c r="R329">
        <f>IF(AND(Inputs!$B$4&lt;&gt;"pvp",Inputs!$B$35&gt;0),(INT(Inputs!$B$35/IF(Inputs!$B$4="pvp",15,MAX(0.1,Skills!D13-IF(Skills!E13=TRUE,Inputs!$B$31,0))))+1),0)</f>
        <v/>
      </c>
      <c r="S329">
        <f>IFERROR(O329/N329,0)</f>
        <v/>
      </c>
    </row>
    <row r="330">
      <c r="A330">
        <f>Skills!A14</f>
        <v/>
      </c>
      <c r="B330">
        <f>Skills!B14</f>
        <v/>
      </c>
      <c r="C330">
        <f>Inputs!$B$3&gt;=105</f>
        <v/>
      </c>
      <c r="D330">
        <f>IF(Skills!C14=1,60+Inputs!$B$24+Inputs!$B$28,IF(Skills!C14=2,90+Inputs!$B$25+Inputs!$B$28,IF(Skills!C14=3,120+Inputs!$B$26+Inputs!$B$28,MAX(0,(Inputs!$B$3-100)*3)+Inputs!$B$27+Inputs!$B$28)))</f>
        <v/>
      </c>
      <c r="E330">
        <f>INDEX(FactorTable!$B$2:$Y$301, MATCH(ROUND(MIN(300,MAX(1,D330)),0), FactorTable!$A$2:$A$301,0), Skills!M14+1)</f>
        <v/>
      </c>
      <c r="F330">
        <f>IF(Skills!N14=TRUE,(Skills!L14/10)*(E330/1000),Skills!L14/10)+Skills!O14</f>
        <v/>
      </c>
      <c r="G330">
        <f>Calc!G14</f>
        <v/>
      </c>
      <c r="H330">
        <f>Calc!H14</f>
        <v/>
      </c>
      <c r="I330">
        <f>IF(Skills!AA14&lt;&gt;"",1+(Skills!AA14/10)*(U319/1000)/100,1)</f>
        <v/>
      </c>
      <c r="J330">
        <f>(Inputs!$B$5*(1+Inputs!$B$6/100))*(F330/100)</f>
        <v/>
      </c>
      <c r="K330">
        <f>J330*(1+((Inputs!$B$11*(1+Inputs!$B$12/100))*0.01+Inputs!$B$13*0.0025)/100)*(1+Inputs!$B$14/100)*(1+IF(Inputs!$B$4="pvp",0,(1-Summary!$B$55)*(Inputs!$B$19+((C343=TRUE)*(F343-Calc!F27))+Skills!P14+B357)+Summary!$B$55*((Inputs!$B$20+1)+Skills!Q14+B357))/100)*(1+Inputs!$B$15/100)*(5000/(6000+Inputs!$B$7*(1-Inputs!$B$18/100)))*(1+(Inputs!$B$23+((C346=TRUE)*(F346-Calc!F30)))/100)*(1+Skills!R14/100)*(1+(IF(Skills!A14="SHOWDOWN",Inputs!$B$16+((C339=TRUE)*(F339-Calc!F23)),Inputs!$B$17+((C345=TRUE)*(F345-Calc!F29))))/100)*(((1+(((C337=TRUE)*F337*IF(AND(Inputs!$B$4&lt;&gt;"pvp",Inputs!$B$35&gt;0),(((S337-1)*(Skills!Y21*(1+Inputs!$B$33/100))+MIN((Skills!Y21*(1+Inputs!$B$33/100)),MAX(0,Inputs!$B$35-((S337-1)*Skills!D21))))/Inputs!$B$35),IF(Inputs!$B$4="pvp",MIN((Skills!Y21*(1+Inputs!$B$33/100)),15)/15,(Skills!Y21*(1+Inputs!$B$33/100))/Skills!D21)))+((C344=TRUE)*(F344-Calc!F28))+((C334=TRUE)*(F334-Calc!F18)))/100)*(1+((C331=TRUE)*F331*IF(AND(Inputs!$B$4&lt;&gt;"pvp",Inputs!$B$35&gt;0),(((S331-1)*(Skills!Y15*(1+Inputs!$B$33/100))+MIN((Skills!Y15*(1+Inputs!$B$33/100)),MAX(0,Inputs!$B$35-((S331-1)*Skills!D15))))/Inputs!$B$35),IF(Inputs!$B$4="pvp",MIN((Skills!Y15*(1+Inputs!$B$33/100)),15)/15,(Skills!Y15*(1+Inputs!$B$33/100))/Skills!D15)))/100)*(1+((C322=TRUE)*F322*B350)/100))*B358*I330)</f>
        <v/>
      </c>
      <c r="L330">
        <f>K330*(MIN(Inputs!$B$21+((C340=TRUE)*(F340-Calc!F24)),Inputs!$B$22)/100+Inputs!$B$22/100)/2</f>
        <v/>
      </c>
      <c r="M330">
        <f>L330*(1+(Inputs!$B$9+((C342=TRUE)*(F342-Calc!F26))+B359)/100)</f>
        <v/>
      </c>
      <c r="N330">
        <f>L330*(1-MIN((Inputs!$B$8+((C341=TRUE)*(F341-Calc!F25))+B356),100)/100)+M330*(MIN((Inputs!$B$8+((C341=TRUE)*(F341-Calc!F25))+B356),100)/100)</f>
        <v/>
      </c>
      <c r="O330">
        <f>IF(C330,H330*N330*IF(AND(Inputs!$B$4&lt;&gt;"pvp",Inputs!$B$35&gt;0),((Skills!G14*((R330-1)*IF(Skills!H14&gt;0,Skills!I14/Skills!H14,1)+IF(Skills!H14&gt;0,MIN(Skills!I14,MAX(0,Inputs!$B$35-((R330-1)*IF(Inputs!$B$4="pvp",15,MAX(0.1,Skills!D14-IF(Skills!E14=TRUE,Inputs!$B$31,0))))))/Skills!H14,1)))/Inputs!$B$35),G330*Q330)*IF(Inputs!$B$4="pvp",1,(1-Summary!$B$55)*(1)+Summary!$B$55*(MIN(Skills!W14,Inputs!$B$37))),0)</f>
        <v/>
      </c>
      <c r="P330">
        <f>IF(B360=0,0,O330/B360)</f>
        <v/>
      </c>
      <c r="Q330">
        <f>IFERROR(1/IF(Inputs!$B$4="pvp",15,MAX(0.1,Skills!D14-IF(Skills!E14=TRUE,Inputs!$B$31,0))),0)</f>
        <v/>
      </c>
      <c r="R330">
        <f>IF(AND(Inputs!$B$4&lt;&gt;"pvp",Inputs!$B$35&gt;0),(INT(Inputs!$B$35/IF(Inputs!$B$4="pvp",15,MAX(0.1,Skills!D14-IF(Skills!E14=TRUE,Inputs!$B$31,0))))+1),0)</f>
        <v/>
      </c>
      <c r="S330">
        <f>IFERROR(O330/N330,0)</f>
        <v/>
      </c>
    </row>
    <row r="331">
      <c r="A331">
        <f>Skills!A15</f>
        <v/>
      </c>
      <c r="B331">
        <f>Skills!B15</f>
        <v/>
      </c>
      <c r="C331">
        <f>Inputs!$B$3&gt;=110</f>
        <v/>
      </c>
      <c r="D331">
        <f>IF(Skills!C15=1,60+Inputs!$B$24+Inputs!$B$28,IF(Skills!C15=2,90+Inputs!$B$25+Inputs!$B$28,IF(Skills!C15=3,120+Inputs!$B$26+Inputs!$B$28,MAX(0,(Inputs!$B$3-100)*3)+Inputs!$B$27+Inputs!$B$28)))</f>
        <v/>
      </c>
      <c r="E331">
        <f>INDEX(FactorTable!$B$2:$Y$301, MATCH(ROUND(MIN(300,MAX(1,D331)),0), FactorTable!$A$2:$A$301,0), Skills!M15+1)</f>
        <v/>
      </c>
      <c r="F331">
        <f>IF(Skills!N15=TRUE,(Skills!L15/10)*(E331/1000),Skills!L15/10)+Skills!O15</f>
        <v/>
      </c>
      <c r="G331">
        <f>Calc!G15</f>
        <v/>
      </c>
      <c r="H331">
        <f>Calc!H15</f>
        <v/>
      </c>
      <c r="I331">
        <f>IF(Skills!AA15&lt;&gt;"",1+(Skills!AA15/10)*(U319/1000)/100,1)</f>
        <v/>
      </c>
      <c r="J331" t="inlineStr"/>
      <c r="K331" t="inlineStr"/>
      <c r="L331" t="inlineStr"/>
      <c r="M331" t="inlineStr"/>
      <c r="N331" t="inlineStr"/>
      <c r="O331" t="n">
        <v>0</v>
      </c>
      <c r="P331">
        <f>IF(B360=0,0,O331/B360)</f>
        <v/>
      </c>
      <c r="Q331">
        <f>IFERROR(1/IF(Inputs!$B$4="pvp",15,MAX(0.1,Skills!D15-IF(Skills!E15=TRUE,Inputs!$B$31,0))),0)</f>
        <v/>
      </c>
      <c r="R331">
        <f>IF(AND(Inputs!$B$4&lt;&gt;"pvp",Inputs!$B$35&gt;0),(INT(Inputs!$B$35/IF(Inputs!$B$4="pvp",15,MAX(0.1,Skills!D15-IF(Skills!E15=TRUE,Inputs!$B$31,0))))+1),0)</f>
        <v/>
      </c>
      <c r="S331">
        <f>IFERROR(O331/N331,0)</f>
        <v/>
      </c>
    </row>
    <row r="332">
      <c r="A332">
        <f>Skills!A16</f>
        <v/>
      </c>
      <c r="B332">
        <f>Skills!B16</f>
        <v/>
      </c>
      <c r="C332">
        <f>Inputs!$B$3&gt;=110</f>
        <v/>
      </c>
      <c r="D332">
        <f>IF(Skills!C16=1,60+Inputs!$B$24+Inputs!$B$28,IF(Skills!C16=2,90+Inputs!$B$25+Inputs!$B$28,IF(Skills!C16=3,120+Inputs!$B$26+Inputs!$B$28,MAX(0,(Inputs!$B$3-100)*3)+Inputs!$B$27+Inputs!$B$28)))</f>
        <v/>
      </c>
      <c r="E332">
        <f>INDEX(FactorTable!$B$2:$Y$301, MATCH(ROUND(MIN(300,MAX(1,D332)),0), FactorTable!$A$2:$A$301,0), Skills!M16+1)</f>
        <v/>
      </c>
      <c r="F332">
        <f>IF(Skills!N16=TRUE,(Skills!L16/10)*(E332/1000),Skills!L16/10)+Skills!O16</f>
        <v/>
      </c>
      <c r="G332">
        <f>Calc!G16</f>
        <v/>
      </c>
      <c r="H332">
        <f>Calc!H16</f>
        <v/>
      </c>
      <c r="I332">
        <f>IF(Skills!AA16&lt;&gt;"",1+(Skills!AA16/10)*(U319/1000)/100,1)</f>
        <v/>
      </c>
      <c r="J332" t="inlineStr"/>
      <c r="K332" t="inlineStr"/>
      <c r="L332" t="inlineStr"/>
      <c r="M332" t="inlineStr"/>
      <c r="N332" t="inlineStr"/>
      <c r="O332" t="n">
        <v>0</v>
      </c>
      <c r="P332">
        <f>IF(B360=0,0,O332/B360)</f>
        <v/>
      </c>
      <c r="Q332">
        <f>IFERROR(1/IF(Inputs!$B$4="pvp",15,MAX(0.1,Skills!D16-IF(Skills!E16=TRUE,Inputs!$B$31,0))),0)</f>
        <v/>
      </c>
      <c r="R332">
        <f>IF(AND(Inputs!$B$4&lt;&gt;"pvp",Inputs!$B$35&gt;0),(INT(Inputs!$B$35/IF(Inputs!$B$4="pvp",15,MAX(0.1,Skills!D16-IF(Skills!E16=TRUE,Inputs!$B$31,0))))+1),0)</f>
        <v/>
      </c>
      <c r="S332">
        <f>IFERROR(O332/N332,0)</f>
        <v/>
      </c>
    </row>
    <row r="333">
      <c r="A333">
        <f>Skills!A17</f>
        <v/>
      </c>
      <c r="B333">
        <f>Skills!B17</f>
        <v/>
      </c>
      <c r="C333">
        <f>Inputs!$B$3&gt;=115</f>
        <v/>
      </c>
      <c r="D333">
        <f>IF(Skills!C17=1,60+Inputs!$B$24+Inputs!$B$28,IF(Skills!C17=2,90+Inputs!$B$25+Inputs!$B$28,IF(Skills!C17=3,120+Inputs!$B$26+Inputs!$B$28,MAX(0,(Inputs!$B$3-100)*3)+Inputs!$B$27+Inputs!$B$28)))</f>
        <v/>
      </c>
      <c r="E333">
        <f>INDEX(FactorTable!$B$2:$Y$301, MATCH(ROUND(MIN(300,MAX(1,D333)),0), FactorTable!$A$2:$A$301,0), Skills!M17+1)</f>
        <v/>
      </c>
      <c r="F333">
        <f>IF(Skills!N17=TRUE,(Skills!L17/10)*(E333/1000),Skills!L17/10)+Skills!O17</f>
        <v/>
      </c>
      <c r="G333">
        <f>Calc!G17</f>
        <v/>
      </c>
      <c r="H333">
        <f>Calc!H17</f>
        <v/>
      </c>
      <c r="I333">
        <f>IF(Skills!AA17&lt;&gt;"",1+(Skills!AA17/10)*(U319/1000)/100,1)</f>
        <v/>
      </c>
      <c r="J333">
        <f>(Inputs!$B$5*(1+Inputs!$B$6/100))*(F333/100)</f>
        <v/>
      </c>
      <c r="K333">
        <f>J333*(1+((Inputs!$B$11*(1+Inputs!$B$12/100))*0.01+Inputs!$B$13*0.0025)/100)*(1+Inputs!$B$14/100)*(1+IF(Inputs!$B$4="pvp",0,(1-Summary!$B$55)*(Inputs!$B$19+((C343=TRUE)*(F343-Calc!F27))+Skills!P17+B357)+Summary!$B$55*((Inputs!$B$20+1)+Skills!Q17+B357))/100)*(1+Inputs!$B$15/100)*(5000/(6000+Inputs!$B$7*(1-Inputs!$B$18/100)))*(1+(Inputs!$B$23+((C346=TRUE)*(F346-Calc!F30)))/100)*(1+Skills!R17/100)*(1+(IF(Skills!A17="SHOWDOWN",Inputs!$B$16+((C339=TRUE)*(F339-Calc!F23)),Inputs!$B$17+((C345=TRUE)*(F345-Calc!F29))))/100)*(((1+(((C337=TRUE)*F337*IF(AND(Inputs!$B$4&lt;&gt;"pvp",Inputs!$B$35&gt;0),(((S337-1)*(Skills!Y21*(1+Inputs!$B$33/100))+MIN((Skills!Y21*(1+Inputs!$B$33/100)),MAX(0,Inputs!$B$35-((S337-1)*Skills!D21))))/Inputs!$B$35),IF(Inputs!$B$4="pvp",MIN((Skills!Y21*(1+Inputs!$B$33/100)),15)/15,(Skills!Y21*(1+Inputs!$B$33/100))/Skills!D21)))+((C344=TRUE)*(F344-Calc!F28))+((C334=TRUE)*(F334-Calc!F18)))/100)*(1+((C331=TRUE)*F331*IF(AND(Inputs!$B$4&lt;&gt;"pvp",Inputs!$B$35&gt;0),(((S331-1)*(Skills!Y15*(1+Inputs!$B$33/100))+MIN((Skills!Y15*(1+Inputs!$B$33/100)),MAX(0,Inputs!$B$35-((S331-1)*Skills!D15))))/Inputs!$B$35),IF(Inputs!$B$4="pvp",MIN((Skills!Y15*(1+Inputs!$B$33/100)),15)/15,(Skills!Y15*(1+Inputs!$B$33/100))/Skills!D15)))/100)*(1+((C322=TRUE)*F322*B350)/100))*B358*I333)</f>
        <v/>
      </c>
      <c r="L333">
        <f>K333*(MIN(Inputs!$B$21+((C340=TRUE)*(F340-Calc!F24)),Inputs!$B$22)/100+Inputs!$B$22/100)/2</f>
        <v/>
      </c>
      <c r="M333">
        <f>L333*(1+(Inputs!$B$9+((C342=TRUE)*(F342-Calc!F26))+B359)/100)</f>
        <v/>
      </c>
      <c r="N333">
        <f>L333*(1-MIN((Inputs!$B$8+((C341=TRUE)*(F341-Calc!F25))+B356),100)/100)+M333*(MIN((Inputs!$B$8+((C341=TRUE)*(F341-Calc!F25))+B356),100)/100)</f>
        <v/>
      </c>
      <c r="O333">
        <f>IF(C333,Inputs!$B$38*0.2*N333,0)</f>
        <v/>
      </c>
      <c r="P333">
        <f>IF(B360=0,0,O333/B360)</f>
        <v/>
      </c>
      <c r="Q333" t="n">
        <v>0</v>
      </c>
      <c r="R333" t="n">
        <v>0</v>
      </c>
      <c r="S333">
        <f>IFERROR(O333/N333,0)</f>
        <v/>
      </c>
    </row>
    <row r="334">
      <c r="A334">
        <f>Skills!A18</f>
        <v/>
      </c>
      <c r="B334">
        <f>Skills!B18</f>
        <v/>
      </c>
      <c r="C334">
        <f>Inputs!$B$3&gt;=115</f>
        <v/>
      </c>
      <c r="D334">
        <f>IF(Skills!C18=1,60+Inputs!$B$24+Inputs!$B$28,IF(Skills!C18=2,90+Inputs!$B$25+Inputs!$B$28,IF(Skills!C18=3,120+Inputs!$B$26+Inputs!$B$28,MAX(0,(Inputs!$B$3-100)*3)+Inputs!$B$27+Inputs!$B$28)))</f>
        <v/>
      </c>
      <c r="E334">
        <f>INDEX(FactorTable!$B$2:$Y$301, MATCH(ROUND(MIN(300,MAX(1,D334)),0), FactorTable!$A$2:$A$301,0), Skills!M18+1)</f>
        <v/>
      </c>
      <c r="F334">
        <f>IF(Skills!N18=TRUE,(Skills!L18/10)*(E334/1000),Skills!L18/10)+Skills!O18</f>
        <v/>
      </c>
      <c r="G334">
        <f>Calc!G18</f>
        <v/>
      </c>
      <c r="H334">
        <f>Calc!H18</f>
        <v/>
      </c>
      <c r="I334">
        <f>IF(Skills!AA18&lt;&gt;"",1+(Skills!AA18/10)*(U319/1000)/100,1)</f>
        <v/>
      </c>
      <c r="J334" t="inlineStr"/>
      <c r="K334" t="inlineStr"/>
      <c r="L334" t="inlineStr"/>
      <c r="M334" t="inlineStr"/>
      <c r="N334" t="inlineStr"/>
      <c r="O334" t="n">
        <v>0</v>
      </c>
      <c r="P334">
        <f>IF(B360=0,0,O334/B360)</f>
        <v/>
      </c>
      <c r="Q334" t="n">
        <v>0</v>
      </c>
      <c r="R334" t="n">
        <v>0</v>
      </c>
      <c r="S334">
        <f>IFERROR(O334/N334,0)</f>
        <v/>
      </c>
    </row>
    <row r="335">
      <c r="A335">
        <f>Skills!A19</f>
        <v/>
      </c>
      <c r="B335">
        <f>Skills!B19</f>
        <v/>
      </c>
      <c r="C335">
        <f>TRUE</f>
        <v/>
      </c>
      <c r="D335">
        <f>IF(Skills!C19=1,60+Inputs!$B$24+Inputs!$B$28,IF(Skills!C19=2,90+Inputs!$B$25+Inputs!$B$28,IF(Skills!C19=3,120+Inputs!$B$26+Inputs!$B$28,MAX(0,(Inputs!$B$3-100)*3)+Inputs!$B$27+Inputs!$B$28)))</f>
        <v/>
      </c>
      <c r="E335">
        <f>INDEX(FactorTable!$B$2:$Y$301, MATCH(ROUND(MIN(300,MAX(1,D335)),0), FactorTable!$A$2:$A$301,0), Skills!M19+1)</f>
        <v/>
      </c>
      <c r="F335">
        <f>IF(Skills!N19=TRUE,(Skills!L19/10)*(E335/1000),Skills!L19/10)+Skills!O19</f>
        <v/>
      </c>
      <c r="G335">
        <f>Calc!G19</f>
        <v/>
      </c>
      <c r="H335">
        <f>Calc!H19</f>
        <v/>
      </c>
      <c r="I335">
        <f>IF(Skills!AA19&lt;&gt;"",1+(Skills!AA19/10)*(U319/1000)/100,1)</f>
        <v/>
      </c>
      <c r="J335" t="inlineStr"/>
      <c r="K335" t="inlineStr"/>
      <c r="L335" t="inlineStr"/>
      <c r="M335" t="inlineStr"/>
      <c r="N335" t="inlineStr"/>
      <c r="O335" t="n">
        <v>0</v>
      </c>
      <c r="P335">
        <f>IF(B360=0,0,O335/B360)</f>
        <v/>
      </c>
      <c r="Q335">
        <f>IFERROR(1/IF(Inputs!$B$4="pvp",15,MAX(0.1,Skills!D19-IF(Skills!E19=TRUE,Inputs!$B$31,0))),0)</f>
        <v/>
      </c>
      <c r="R335">
        <f>IF(AND(Inputs!$B$4&lt;&gt;"pvp",Inputs!$B$35&gt;0),(INT(Inputs!$B$35/IF(Inputs!$B$4="pvp",15,MAX(0.1,Skills!D19-IF(Skills!E19=TRUE,Inputs!$B$31,0))))+1),0)</f>
        <v/>
      </c>
      <c r="S335">
        <f>IFERROR(O335/N335,0)</f>
        <v/>
      </c>
    </row>
    <row r="336">
      <c r="A336">
        <f>Skills!A20</f>
        <v/>
      </c>
      <c r="B336">
        <f>Skills!B20</f>
        <v/>
      </c>
      <c r="C336">
        <f>Inputs!$B$3&gt;=15</f>
        <v/>
      </c>
      <c r="D336">
        <f>IF(Skills!C20=1,60+Inputs!$B$24+Inputs!$B$28,IF(Skills!C20=2,90+Inputs!$B$25+Inputs!$B$28,IF(Skills!C20=3,120+Inputs!$B$26+Inputs!$B$28,MAX(0,(Inputs!$B$3-100)*3)+Inputs!$B$27+Inputs!$B$28)))</f>
        <v/>
      </c>
      <c r="E336">
        <f>INDEX(FactorTable!$B$2:$Y$301, MATCH(ROUND(MIN(300,MAX(1,D336)),0), FactorTable!$A$2:$A$301,0), Skills!M20+1)</f>
        <v/>
      </c>
      <c r="F336">
        <f>IF(Skills!N20=TRUE,(Skills!L20/10)*(E336/1000),Skills!L20/10)+Skills!O20</f>
        <v/>
      </c>
      <c r="G336">
        <f>Calc!G20</f>
        <v/>
      </c>
      <c r="H336">
        <f>Calc!H20</f>
        <v/>
      </c>
      <c r="I336">
        <f>IF(Skills!AA20&lt;&gt;"",1+(Skills!AA20/10)*(U319/1000)/100,1)</f>
        <v/>
      </c>
      <c r="J336" t="inlineStr"/>
      <c r="K336" t="inlineStr"/>
      <c r="L336" t="inlineStr"/>
      <c r="M336" t="inlineStr"/>
      <c r="N336" t="inlineStr"/>
      <c r="O336" t="n">
        <v>0</v>
      </c>
      <c r="P336">
        <f>IF(B360=0,0,O336/B360)</f>
        <v/>
      </c>
      <c r="Q336">
        <f>IFERROR(1/IF(Inputs!$B$4="pvp",15,MAX(0.1,Skills!D20-IF(Skills!E20=TRUE,Inputs!$B$31,0))),0)</f>
        <v/>
      </c>
      <c r="R336">
        <f>IF(AND(Inputs!$B$4&lt;&gt;"pvp",Inputs!$B$35&gt;0),(INT(Inputs!$B$35/IF(Inputs!$B$4="pvp",15,MAX(0.1,Skills!D20-IF(Skills!E20=TRUE,Inputs!$B$31,0))))+1),0)</f>
        <v/>
      </c>
      <c r="S336">
        <f>IFERROR(O336/N336,0)</f>
        <v/>
      </c>
    </row>
    <row r="337">
      <c r="A337">
        <f>Skills!A21</f>
        <v/>
      </c>
      <c r="B337">
        <f>Skills!B21</f>
        <v/>
      </c>
      <c r="C337">
        <f>Inputs!$B$3&gt;=15</f>
        <v/>
      </c>
      <c r="D337">
        <f>IF(Skills!C21=1,60+Inputs!$B$24+Inputs!$B$28,IF(Skills!C21=2,90+Inputs!$B$25+Inputs!$B$28,IF(Skills!C21=3,120+Inputs!$B$26+Inputs!$B$28,MAX(0,(Inputs!$B$3-100)*3)+Inputs!$B$27+Inputs!$B$28)))</f>
        <v/>
      </c>
      <c r="E337">
        <f>INDEX(FactorTable!$B$2:$Y$301, MATCH(ROUND(MIN(300,MAX(1,D337)),0), FactorTable!$A$2:$A$301,0), Skills!M21+1)</f>
        <v/>
      </c>
      <c r="F337">
        <f>IF(Skills!N21=TRUE,(Skills!L21/10)*(E337/1000),Skills!L21/10)+Skills!O21</f>
        <v/>
      </c>
      <c r="G337">
        <f>Calc!G21</f>
        <v/>
      </c>
      <c r="H337">
        <f>Calc!H21</f>
        <v/>
      </c>
      <c r="I337">
        <f>IF(Skills!AA21&lt;&gt;"",1+(Skills!AA21/10)*(U319/1000)/100,1)</f>
        <v/>
      </c>
      <c r="J337" t="inlineStr"/>
      <c r="K337" t="inlineStr"/>
      <c r="L337" t="inlineStr"/>
      <c r="M337" t="inlineStr"/>
      <c r="N337" t="inlineStr"/>
      <c r="O337" t="n">
        <v>0</v>
      </c>
      <c r="P337">
        <f>IF(B360=0,0,O337/B360)</f>
        <v/>
      </c>
      <c r="Q337">
        <f>IFERROR(1/IF(Inputs!$B$4="pvp",15,MAX(0.1,Skills!D21-IF(Skills!E21=TRUE,Inputs!$B$31,0))),0)</f>
        <v/>
      </c>
      <c r="R337">
        <f>IF(AND(Inputs!$B$4&lt;&gt;"pvp",Inputs!$B$35&gt;0),(INT(Inputs!$B$35/IF(Inputs!$B$4="pvp",15,MAX(0.1,Skills!D21-IF(Skills!E21=TRUE,Inputs!$B$31,0))))+1),0)</f>
        <v/>
      </c>
      <c r="S337">
        <f>IFERROR(O337/N337,0)</f>
        <v/>
      </c>
    </row>
    <row r="338">
      <c r="A338">
        <f>Skills!A22</f>
        <v/>
      </c>
      <c r="B338">
        <f>Skills!B22</f>
        <v/>
      </c>
      <c r="C338">
        <f>Inputs!$B$3&gt;=33</f>
        <v/>
      </c>
      <c r="D338">
        <f>IF(Skills!C22=1,60+Inputs!$B$24+Inputs!$B$28,IF(Skills!C22=2,90+Inputs!$B$25+Inputs!$B$28,IF(Skills!C22=3,120+Inputs!$B$26+Inputs!$B$28,MAX(0,(Inputs!$B$3-100)*3)+Inputs!$B$27+Inputs!$B$28)))</f>
        <v/>
      </c>
      <c r="E338">
        <f>INDEX(FactorTable!$B$2:$Y$301, MATCH(ROUND(MIN(300,MAX(1,D338)),0), FactorTable!$A$2:$A$301,0), Skills!M22+1)</f>
        <v/>
      </c>
      <c r="F338">
        <f>IF(Skills!N22=TRUE,(Skills!L22/10)*(E338/1000),Skills!L22/10)+Skills!O22</f>
        <v/>
      </c>
      <c r="G338">
        <f>Calc!G22</f>
        <v/>
      </c>
      <c r="H338">
        <f>Calc!H22</f>
        <v/>
      </c>
      <c r="I338">
        <f>IF(Skills!AA22&lt;&gt;"",1+(Skills!AA22/10)*(U319/1000)/100,1)</f>
        <v/>
      </c>
      <c r="J338" t="inlineStr"/>
      <c r="K338" t="inlineStr"/>
      <c r="L338" t="inlineStr"/>
      <c r="M338" t="inlineStr"/>
      <c r="N338" t="inlineStr"/>
      <c r="O338" t="n">
        <v>0</v>
      </c>
      <c r="P338">
        <f>IF(B360=0,0,O338/B360)</f>
        <v/>
      </c>
      <c r="Q338" t="n">
        <v>0</v>
      </c>
      <c r="R338" t="n">
        <v>0</v>
      </c>
      <c r="S338">
        <f>IFERROR(O338/N338,0)</f>
        <v/>
      </c>
    </row>
    <row r="339">
      <c r="A339">
        <f>Skills!A23</f>
        <v/>
      </c>
      <c r="B339">
        <f>Skills!B23</f>
        <v/>
      </c>
      <c r="C339">
        <f>Inputs!$B$3&gt;=38</f>
        <v/>
      </c>
      <c r="D339">
        <f>IF(Skills!C23=1,60+Inputs!$B$24+Inputs!$B$28,IF(Skills!C23=2,90+Inputs!$B$25+Inputs!$B$28,IF(Skills!C23=3,120+Inputs!$B$26+Inputs!$B$28,MAX(0,(Inputs!$B$3-100)*3)+Inputs!$B$27+Inputs!$B$28)))</f>
        <v/>
      </c>
      <c r="E339">
        <f>INDEX(FactorTable!$B$2:$Y$301, MATCH(ROUND(MIN(300,MAX(1,D339)),0), FactorTable!$A$2:$A$301,0), Skills!M23+1)</f>
        <v/>
      </c>
      <c r="F339">
        <f>IF(Skills!N23=TRUE,(Skills!L23/10)*(E339/1000),Skills!L23/10)+Skills!O23</f>
        <v/>
      </c>
      <c r="G339">
        <f>Calc!G23</f>
        <v/>
      </c>
      <c r="H339">
        <f>Calc!H23</f>
        <v/>
      </c>
      <c r="I339">
        <f>IF(Skills!AA23&lt;&gt;"",1+(Skills!AA23/10)*(U319/1000)/100,1)</f>
        <v/>
      </c>
      <c r="J339" t="inlineStr"/>
      <c r="K339" t="inlineStr"/>
      <c r="L339" t="inlineStr"/>
      <c r="M339" t="inlineStr"/>
      <c r="N339" t="inlineStr"/>
      <c r="O339" t="n">
        <v>0</v>
      </c>
      <c r="P339">
        <f>IF(B360=0,0,O339/B360)</f>
        <v/>
      </c>
      <c r="Q339" t="n">
        <v>0</v>
      </c>
      <c r="R339" t="n">
        <v>0</v>
      </c>
      <c r="S339">
        <f>IFERROR(O339/N339,0)</f>
        <v/>
      </c>
    </row>
    <row r="340">
      <c r="A340">
        <f>Skills!A24</f>
        <v/>
      </c>
      <c r="B340">
        <f>Skills!B24</f>
        <v/>
      </c>
      <c r="C340">
        <f>Inputs!$B$3&gt;=40</f>
        <v/>
      </c>
      <c r="D340">
        <f>IF(Skills!C24=1,60+Inputs!$B$24+Inputs!$B$28,IF(Skills!C24=2,90+Inputs!$B$25+Inputs!$B$28,IF(Skills!C24=3,120+Inputs!$B$26+Inputs!$B$28,MAX(0,(Inputs!$B$3-100)*3)+Inputs!$B$27+Inputs!$B$28)))</f>
        <v/>
      </c>
      <c r="E340">
        <f>INDEX(FactorTable!$B$2:$Y$301, MATCH(ROUND(MIN(300,MAX(1,D340)),0), FactorTable!$A$2:$A$301,0), Skills!M24+1)</f>
        <v/>
      </c>
      <c r="F340">
        <f>IF(Skills!N24=TRUE,(Skills!L24/10)*(E340/1000),Skills!L24/10)+Skills!O24</f>
        <v/>
      </c>
      <c r="G340">
        <f>Calc!G24</f>
        <v/>
      </c>
      <c r="H340">
        <f>Calc!H24</f>
        <v/>
      </c>
      <c r="I340">
        <f>IF(Skills!AA24&lt;&gt;"",1+(Skills!AA24/10)*(U319/1000)/100,1)</f>
        <v/>
      </c>
      <c r="J340" t="inlineStr"/>
      <c r="K340" t="inlineStr"/>
      <c r="L340" t="inlineStr"/>
      <c r="M340" t="inlineStr"/>
      <c r="N340" t="inlineStr"/>
      <c r="O340" t="n">
        <v>0</v>
      </c>
      <c r="P340">
        <f>IF(B360=0,0,O340/B360)</f>
        <v/>
      </c>
      <c r="Q340" t="n">
        <v>0</v>
      </c>
      <c r="R340" t="n">
        <v>0</v>
      </c>
      <c r="S340">
        <f>IFERROR(O340/N340,0)</f>
        <v/>
      </c>
    </row>
    <row r="341">
      <c r="A341">
        <f>Skills!A25</f>
        <v/>
      </c>
      <c r="B341">
        <f>Skills!B25</f>
        <v/>
      </c>
      <c r="C341">
        <f>Inputs!$B$3&gt;=45</f>
        <v/>
      </c>
      <c r="D341">
        <f>IF(Skills!C25=1,60+Inputs!$B$24+Inputs!$B$28,IF(Skills!C25=2,90+Inputs!$B$25+Inputs!$B$28,IF(Skills!C25=3,120+Inputs!$B$26+Inputs!$B$28,MAX(0,(Inputs!$B$3-100)*3)+Inputs!$B$27+Inputs!$B$28)))</f>
        <v/>
      </c>
      <c r="E341">
        <f>INDEX(FactorTable!$B$2:$Y$301, MATCH(ROUND(MIN(300,MAX(1,D341)),0), FactorTable!$A$2:$A$301,0), Skills!M25+1)</f>
        <v/>
      </c>
      <c r="F341">
        <f>IF(Skills!N25=TRUE,(Skills!L25/10)*(E341/1000),Skills!L25/10)+Skills!O25</f>
        <v/>
      </c>
      <c r="G341">
        <f>Calc!G25</f>
        <v/>
      </c>
      <c r="H341">
        <f>Calc!H25</f>
        <v/>
      </c>
      <c r="I341">
        <f>IF(Skills!AA25&lt;&gt;"",1+(Skills!AA25/10)*(U319/1000)/100,1)</f>
        <v/>
      </c>
      <c r="J341" t="inlineStr"/>
      <c r="K341" t="inlineStr"/>
      <c r="L341" t="inlineStr"/>
      <c r="M341" t="inlineStr"/>
      <c r="N341" t="inlineStr"/>
      <c r="O341" t="n">
        <v>0</v>
      </c>
      <c r="P341">
        <f>IF(B360=0,0,O341/B360)</f>
        <v/>
      </c>
      <c r="Q341" t="n">
        <v>0</v>
      </c>
      <c r="R341" t="n">
        <v>0</v>
      </c>
      <c r="S341">
        <f>IFERROR(O341/N341,0)</f>
        <v/>
      </c>
    </row>
    <row r="342">
      <c r="A342">
        <f>Skills!A26</f>
        <v/>
      </c>
      <c r="B342">
        <f>Skills!B26</f>
        <v/>
      </c>
      <c r="C342">
        <f>Inputs!$B$3&gt;=45</f>
        <v/>
      </c>
      <c r="D342">
        <f>IF(Skills!C26=1,60+Inputs!$B$24+Inputs!$B$28,IF(Skills!C26=2,90+Inputs!$B$25+Inputs!$B$28,IF(Skills!C26=3,120+Inputs!$B$26+Inputs!$B$28,MAX(0,(Inputs!$B$3-100)*3)+Inputs!$B$27+Inputs!$B$28)))</f>
        <v/>
      </c>
      <c r="E342">
        <f>INDEX(FactorTable!$B$2:$Y$301, MATCH(ROUND(MIN(300,MAX(1,D342)),0), FactorTable!$A$2:$A$301,0), Skills!M26+1)</f>
        <v/>
      </c>
      <c r="F342">
        <f>IF(Skills!N26=TRUE,(Skills!L26/10)*(E342/1000),Skills!L26/10)+Skills!O26</f>
        <v/>
      </c>
      <c r="G342">
        <f>Calc!G26</f>
        <v/>
      </c>
      <c r="H342">
        <f>Calc!H26</f>
        <v/>
      </c>
      <c r="I342">
        <f>IF(Skills!AA26&lt;&gt;"",1+(Skills!AA26/10)*(U319/1000)/100,1)</f>
        <v/>
      </c>
      <c r="J342" t="inlineStr"/>
      <c r="K342" t="inlineStr"/>
      <c r="L342" t="inlineStr"/>
      <c r="M342" t="inlineStr"/>
      <c r="N342" t="inlineStr"/>
      <c r="O342" t="n">
        <v>0</v>
      </c>
      <c r="P342">
        <f>IF(B360=0,0,O342/B360)</f>
        <v/>
      </c>
      <c r="Q342" t="n">
        <v>0</v>
      </c>
      <c r="R342" t="n">
        <v>0</v>
      </c>
      <c r="S342">
        <f>IFERROR(O342/N342,0)</f>
        <v/>
      </c>
    </row>
    <row r="343">
      <c r="A343">
        <f>Skills!A27</f>
        <v/>
      </c>
      <c r="B343">
        <f>Skills!B27</f>
        <v/>
      </c>
      <c r="C343">
        <f>Inputs!$B$3&gt;=72</f>
        <v/>
      </c>
      <c r="D343">
        <f>IF(Skills!C27=1,60+Inputs!$B$24+Inputs!$B$28,IF(Skills!C27=2,90+Inputs!$B$25+Inputs!$B$28,IF(Skills!C27=3,120+Inputs!$B$26+Inputs!$B$28,MAX(0,(Inputs!$B$3-100)*3)+Inputs!$B$27+Inputs!$B$28)))</f>
        <v/>
      </c>
      <c r="E343">
        <f>INDEX(FactorTable!$B$2:$Y$301, MATCH(ROUND(MIN(300,MAX(1,D343)),0), FactorTable!$A$2:$A$301,0), Skills!M27+1)</f>
        <v/>
      </c>
      <c r="F343">
        <f>IF(Skills!N27=TRUE,(Skills!L27/10)*(E343/1000),Skills!L27/10)+Skills!O27</f>
        <v/>
      </c>
      <c r="G343">
        <f>Calc!G27</f>
        <v/>
      </c>
      <c r="H343">
        <f>Calc!H27</f>
        <v/>
      </c>
      <c r="I343">
        <f>IF(Skills!AA27&lt;&gt;"",1+(Skills!AA27/10)*(U319/1000)/100,1)</f>
        <v/>
      </c>
      <c r="J343" t="inlineStr"/>
      <c r="K343" t="inlineStr"/>
      <c r="L343" t="inlineStr"/>
      <c r="M343" t="inlineStr"/>
      <c r="N343" t="inlineStr"/>
      <c r="O343" t="n">
        <v>0</v>
      </c>
      <c r="P343">
        <f>IF(B360=0,0,O343/B360)</f>
        <v/>
      </c>
      <c r="Q343" t="n">
        <v>0</v>
      </c>
      <c r="R343" t="n">
        <v>0</v>
      </c>
      <c r="S343">
        <f>IFERROR(O343/N343,0)</f>
        <v/>
      </c>
    </row>
    <row r="344">
      <c r="A344">
        <f>Skills!A28</f>
        <v/>
      </c>
      <c r="B344">
        <f>Skills!B28</f>
        <v/>
      </c>
      <c r="C344">
        <f>Inputs!$B$3&gt;=75</f>
        <v/>
      </c>
      <c r="D344">
        <f>IF(Skills!C28=1,60+Inputs!$B$24+Inputs!$B$28,IF(Skills!C28=2,90+Inputs!$B$25+Inputs!$B$28,IF(Skills!C28=3,120+Inputs!$B$26+Inputs!$B$28,MAX(0,(Inputs!$B$3-100)*3)+Inputs!$B$27+Inputs!$B$28)))</f>
        <v/>
      </c>
      <c r="E344">
        <f>INDEX(FactorTable!$B$2:$Y$301, MATCH(ROUND(MIN(300,MAX(1,D344)),0), FactorTable!$A$2:$A$301,0), Skills!M28+1)</f>
        <v/>
      </c>
      <c r="F344">
        <f>IF(Skills!N28=TRUE,(Skills!L28/10)*(E344/1000),Skills!L28/10)+Skills!O28</f>
        <v/>
      </c>
      <c r="G344">
        <f>Calc!G28</f>
        <v/>
      </c>
      <c r="H344">
        <f>Calc!H28</f>
        <v/>
      </c>
      <c r="I344">
        <f>IF(Skills!AA28&lt;&gt;"",1+(Skills!AA28/10)*(U319/1000)/100,1)</f>
        <v/>
      </c>
      <c r="J344" t="inlineStr"/>
      <c r="K344" t="inlineStr"/>
      <c r="L344" t="inlineStr"/>
      <c r="M344" t="inlineStr"/>
      <c r="N344" t="inlineStr"/>
      <c r="O344" t="n">
        <v>0</v>
      </c>
      <c r="P344">
        <f>IF(B360=0,0,O344/B360)</f>
        <v/>
      </c>
      <c r="Q344" t="n">
        <v>0</v>
      </c>
      <c r="R344" t="n">
        <v>0</v>
      </c>
      <c r="S344">
        <f>IFERROR(O344/N344,0)</f>
        <v/>
      </c>
    </row>
    <row r="345">
      <c r="A345">
        <f>Skills!A29</f>
        <v/>
      </c>
      <c r="B345">
        <f>Skills!B29</f>
        <v/>
      </c>
      <c r="C345">
        <f>Inputs!$B$3&gt;=120</f>
        <v/>
      </c>
      <c r="D345">
        <f>IF(Skills!C29=1,60+Inputs!$B$24+Inputs!$B$28,IF(Skills!C29=2,90+Inputs!$B$25+Inputs!$B$28,IF(Skills!C29=3,120+Inputs!$B$26+Inputs!$B$28,MAX(0,(Inputs!$B$3-100)*3)+Inputs!$B$27+Inputs!$B$28)))</f>
        <v/>
      </c>
      <c r="E345">
        <f>INDEX(FactorTable!$B$2:$Y$301, MATCH(ROUND(MIN(300,MAX(1,D345)),0), FactorTable!$A$2:$A$301,0), Skills!M29+1)</f>
        <v/>
      </c>
      <c r="F345">
        <f>IF(Skills!N29=TRUE,(Skills!L29/10)*(E345/1000),Skills!L29/10)+Skills!O29</f>
        <v/>
      </c>
      <c r="G345">
        <f>Calc!G29</f>
        <v/>
      </c>
      <c r="H345">
        <f>Calc!H29</f>
        <v/>
      </c>
      <c r="I345">
        <f>IF(Skills!AA29&lt;&gt;"",1+(Skills!AA29/10)*(U319/1000)/100,1)</f>
        <v/>
      </c>
      <c r="J345" t="inlineStr"/>
      <c r="K345" t="inlineStr"/>
      <c r="L345" t="inlineStr"/>
      <c r="M345" t="inlineStr"/>
      <c r="N345" t="inlineStr"/>
      <c r="O345" t="n">
        <v>0</v>
      </c>
      <c r="P345">
        <f>IF(B360=0,0,O345/B360)</f>
        <v/>
      </c>
      <c r="Q345" t="n">
        <v>0</v>
      </c>
      <c r="R345" t="n">
        <v>0</v>
      </c>
      <c r="S345">
        <f>IFERROR(O345/N345,0)</f>
        <v/>
      </c>
    </row>
    <row r="346">
      <c r="A346">
        <f>Skills!A30</f>
        <v/>
      </c>
      <c r="B346">
        <f>Skills!B30</f>
        <v/>
      </c>
      <c r="C346">
        <f>Inputs!$B$3&gt;=125</f>
        <v/>
      </c>
      <c r="D346">
        <f>IF(Skills!C30=1,60+Inputs!$B$24+Inputs!$B$28,IF(Skills!C30=2,90+Inputs!$B$25+Inputs!$B$28,IF(Skills!C30=3,120+Inputs!$B$26+Inputs!$B$28,MAX(0,(Inputs!$B$3-100)*3)+Inputs!$B$27+Inputs!$B$28)))</f>
        <v/>
      </c>
      <c r="E346">
        <f>INDEX(FactorTable!$B$2:$Y$301, MATCH(ROUND(MIN(300,MAX(1,D346)),0), FactorTable!$A$2:$A$301,0), Skills!M30+1)</f>
        <v/>
      </c>
      <c r="F346">
        <f>IF(Skills!N30=TRUE,(Skills!L30/10)*(E346/1000),Skills!L30/10)+Skills!O30</f>
        <v/>
      </c>
      <c r="G346">
        <f>Calc!G30</f>
        <v/>
      </c>
      <c r="H346">
        <f>Calc!H30</f>
        <v/>
      </c>
      <c r="I346">
        <f>IF(Skills!AA30&lt;&gt;"",1+(Skills!AA30/10)*(U319/1000)/100,1)</f>
        <v/>
      </c>
      <c r="J346" t="inlineStr"/>
      <c r="K346" t="inlineStr"/>
      <c r="L346" t="inlineStr"/>
      <c r="M346" t="inlineStr"/>
      <c r="N346" t="inlineStr"/>
      <c r="O346" t="n">
        <v>0</v>
      </c>
      <c r="P346">
        <f>IF(B360=0,0,O346/B360)</f>
        <v/>
      </c>
      <c r="Q346" t="n">
        <v>0</v>
      </c>
      <c r="R346" t="n">
        <v>0</v>
      </c>
      <c r="S346">
        <f>IFERROR(O346/N346,0)</f>
        <v/>
      </c>
    </row>
    <row r="347">
      <c r="A347">
        <f>Skills!A31</f>
        <v/>
      </c>
      <c r="B347">
        <f>Skills!B31</f>
        <v/>
      </c>
      <c r="C347">
        <f>Inputs!$B$3&gt;=107</f>
        <v/>
      </c>
      <c r="D347">
        <f>IF(Skills!C31=1,60+Inputs!$B$24+Inputs!$B$28,IF(Skills!C31=2,90+Inputs!$B$25+Inputs!$B$28,IF(Skills!C31=3,120+Inputs!$B$26+Inputs!$B$28,MAX(0,(Inputs!$B$3-100)*3)+Inputs!$B$27+Inputs!$B$28)))</f>
        <v/>
      </c>
      <c r="E347">
        <f>INDEX(FactorTable!$B$2:$Y$301, MATCH(ROUND(MIN(300,MAX(1,D347)),0), FactorTable!$A$2:$A$301,0), Skills!M31+1)</f>
        <v/>
      </c>
      <c r="F347">
        <f>IF(Skills!N31=TRUE,(Skills!L31/10)*(E347/1000),Skills!L31/10)+Skills!O31</f>
        <v/>
      </c>
      <c r="G347">
        <f>Calc!G31</f>
        <v/>
      </c>
      <c r="H347">
        <f>Calc!H31</f>
        <v/>
      </c>
      <c r="I347">
        <f>IF(Skills!AA31&lt;&gt;"",1+(Skills!AA31/10)*(U319/1000)/100,1)</f>
        <v/>
      </c>
      <c r="J347" t="inlineStr"/>
      <c r="K347" t="inlineStr"/>
      <c r="L347" t="inlineStr"/>
      <c r="M347" t="inlineStr"/>
      <c r="N347" t="inlineStr"/>
      <c r="O347" t="n">
        <v>0</v>
      </c>
      <c r="P347">
        <f>IF(B360=0,0,O347/B360)</f>
        <v/>
      </c>
      <c r="Q347" t="n">
        <v>0</v>
      </c>
      <c r="R347" t="n">
        <v>0</v>
      </c>
      <c r="S347">
        <f>IFERROR(O347/N347,0)</f>
        <v/>
      </c>
    </row>
    <row r="349">
      <c r="A349" t="inlineStr">
        <is>
          <t>Actions Per Second (pre-Adrenalin)</t>
        </is>
      </c>
      <c r="B349">
        <f>1+MIN(150,150*(1-(1-(Inputs!$B$10+((C338=TRUE)*(F338-Calc!F22)))/150)*(1-((C335=TRUE)*F335*IF(AND(Inputs!$B$4&lt;&gt;"pvp",Inputs!$B$35&gt;0),(((S335-1)*(Skills!Y19*(1+Inputs!$B$33/100))+MIN((Skills!Y19*(1+Inputs!$B$33/100)),MAX(0,Inputs!$B$35-((S335-1)*Skills!D19))))/Inputs!$B$35),IF(Inputs!$B$4="pvp",MIN((Skills!Y19*(1+Inputs!$B$33/100)),15)/15,(Skills!Y19*(1+Inputs!$B$33/100))/Skills!D19)))/150)))/100</f>
        <v/>
      </c>
    </row>
    <row r="350">
      <c r="A350" t="inlineStr">
        <is>
          <t>Alchemic Adrenaline Uptime</t>
        </is>
      </c>
      <c r="B350">
        <f>(Skills!Y6*(1+Inputs!$B$33/100))/((Skills!Y6*(1+Inputs!$B$33/100))+(5/B349))</f>
        <v/>
      </c>
    </row>
    <row r="351">
      <c r="A351" t="inlineStr">
        <is>
          <t>Attack Speed Buff Bonus %</t>
        </is>
      </c>
      <c r="B351">
        <f>((C335=TRUE)*F335*IF(AND(Inputs!$B$4&lt;&gt;"pvp",Inputs!$B$35&gt;0),(((S335-1)*(Skills!Y19*(1+Inputs!$B$33/100))+MIN((Skills!Y19*(1+Inputs!$B$33/100)),MAX(0,Inputs!$B$35-((S335-1)*Skills!D19))))/Inputs!$B$35),IF(Inputs!$B$4="pvp",MIN((Skills!Y19*(1+Inputs!$B$33/100)),15)/15,(Skills!Y19*(1+Inputs!$B$33/100))/Skills!D19)))+((C323=TRUE)*F323*B350)</f>
        <v/>
      </c>
    </row>
    <row r="352">
      <c r="A352" t="inlineStr">
        <is>
          <t>Actions Per Second (final)</t>
        </is>
      </c>
      <c r="B352">
        <f>1+MIN(150,150*(1-(1-(Inputs!$B$10+((C338=TRUE)*(F338-Calc!F22)))/150)*(1-B351/150)))/100</f>
        <v/>
      </c>
    </row>
    <row r="353">
      <c r="A353" t="inlineStr">
        <is>
          <t>Skill + Buff Cast Rate</t>
        </is>
      </c>
      <c r="B353">
        <f>IF(AND(Inputs!$B$4&lt;&gt;"pvp",Inputs!$B$35&gt;0),SUMPRODUCT((Skills!E2:E31=TRUE)*(C318:C347=TRUE)*R318:R347*Skills!F2:F31)/Inputs!$B$35,SUMPRODUCT((Skills!E2:E31=TRUE)*(C318:C347=TRUE)*Q318:Q347*Skills!F2:F31))</f>
        <v/>
      </c>
    </row>
    <row r="354">
      <c r="A354" t="inlineStr">
        <is>
          <t>Showdown Casts Per Second</t>
        </is>
      </c>
      <c r="B354">
        <f>MAX(0,B352-B353)</f>
        <v/>
      </c>
    </row>
    <row r="355">
      <c r="A355" t="inlineStr">
        <is>
          <t>Average Buff Multiplier</t>
        </is>
      </c>
      <c r="B355">
        <f>(1+(((C337=TRUE)*F337*IF(AND(Inputs!$B$4&lt;&gt;"pvp",Inputs!$B$35&gt;0),(((S337-1)*(Skills!Y21*(1+Inputs!$B$33/100))+MIN((Skills!Y21*(1+Inputs!$B$33/100)),MAX(0,Inputs!$B$35-((S337-1)*Skills!D21))))/Inputs!$B$35),IF(Inputs!$B$4="pvp",MIN((Skills!Y21*(1+Inputs!$B$33/100)),15)/15,(Skills!Y21*(1+Inputs!$B$33/100))/Skills!D21)))+((C344=TRUE)*(F344-Calc!F28))+((C334=TRUE)*(F334-Calc!F18)))/100)*(1+((C331=TRUE)*F331*IF(AND(Inputs!$B$4&lt;&gt;"pvp",Inputs!$B$35&gt;0),(((S331-1)*(Skills!Y15*(1+Inputs!$B$33/100))+MIN((Skills!Y15*(1+Inputs!$B$33/100)),MAX(0,Inputs!$B$35-((S331-1)*Skills!D15))))/Inputs!$B$35),IF(Inputs!$B$4="pvp",MIN((Skills!Y15*(1+Inputs!$B$33/100)),15)/15,(Skills!Y15*(1+Inputs!$B$33/100))/Skills!D15)))/100)*(1+((C322=TRUE)*F322*B350)/100)</f>
        <v/>
      </c>
    </row>
    <row r="356">
      <c r="A356" t="inlineStr">
        <is>
          <t>Global Crit Rate Bonus %</t>
        </is>
      </c>
      <c r="B356">
        <f>IF(Inputs!$B$3&gt;=47,8,0)+((C336=TRUE)*F336*IF(AND(Inputs!$B$4&lt;&gt;"pvp",Inputs!$B$35&gt;0),(((S336-1)*(Skills!Y20*(1+Inputs!$B$33/100))+MIN((Skills!Y20*(1+Inputs!$B$33/100)),MAX(0,Inputs!$B$35-((S336-1)*Skills!D20))))/Inputs!$B$35),IF(Inputs!$B$4="pvp",MIN((Skills!Y20*(1+Inputs!$B$33/100)),15)/15,(Skills!Y20*(1+Inputs!$B$33/100))/Skills!D20)))</f>
        <v/>
      </c>
    </row>
    <row r="357">
      <c r="A357" t="inlineStr">
        <is>
          <t>Global Monster Damage-Taken Bonus %</t>
        </is>
      </c>
      <c r="B357">
        <f>IF(Inputs!$B$3&gt;=82,15,0)+((C332=TRUE)*F332*IF(AND(Inputs!$B$4&lt;&gt;"pvp",Inputs!$B$35&gt;0),(((S332-1)*(Skills!Y16*(1+Inputs!$B$33/100))+MIN((Skills!Y16*(1+Inputs!$B$33/100)),MAX(0,Inputs!$B$35-((S332-1)*Skills!D16))))/Inputs!$B$35),IF(Inputs!$B$4="pvp",MIN((Skills!Y16*(1+Inputs!$B$33/100)),15)/15,(Skills!Y16*(1+Inputs!$B$33/100))/Skills!D16)))</f>
        <v/>
      </c>
    </row>
    <row r="358">
      <c r="A358" t="inlineStr">
        <is>
          <t>Shadow Partner Average Multiplier</t>
        </is>
      </c>
      <c r="B358">
        <f>1+((C327=TRUE)*F327*I327*Skills!J11/100)/100</f>
        <v/>
      </c>
    </row>
    <row r="359">
      <c r="A359" t="inlineStr">
        <is>
          <t>Global Critical Damage Bonus % (Frailty Curse Mastery Lv.111)</t>
        </is>
      </c>
      <c r="B359">
        <f>IF(Inputs!$B$3&gt;=111,30,0)*IF(AND(Inputs!$B$4&lt;&gt;"pvp",Inputs!$B$35&gt;0),(((S332-1)*(Skills!Y16*(1+Inputs!$B$33/100))+MIN((Skills!Y16*(1+Inputs!$B$33/100)),MAX(0,Inputs!$B$35-((S332-1)*Skills!D16))))/Inputs!$B$35),IF(Inputs!$B$4="pvp",MIN((Skills!Y16*(1+Inputs!$B$33/100)),15)/15,(Skills!Y16*(1+Inputs!$B$33/100))/Skills!D16))</f>
        <v/>
      </c>
    </row>
    <row r="360">
      <c r="A360" s="5" t="inlineStr">
        <is>
          <t>TOTAL DPS</t>
        </is>
      </c>
      <c r="B360" s="5">
        <f>SUM(O318:O347)</f>
        <v/>
      </c>
    </row>
    <row r="363">
      <c r="A363" s="5" t="inlineStr">
        <is>
          <t>Stat: FINAL_DAMAGE % (multiplicative source)</t>
        </is>
      </c>
    </row>
    <row r="364">
      <c r="A364" s="8" t="inlineStr">
        <is>
          <t>Key</t>
        </is>
      </c>
      <c r="B364" s="8" t="inlineStr">
        <is>
          <t>Name</t>
        </is>
      </c>
      <c r="C364" s="8" t="inlineStr">
        <is>
          <t>Unlocked</t>
        </is>
      </c>
      <c r="D364" s="8" t="inlineStr">
        <is>
          <t>InputLevel</t>
        </is>
      </c>
      <c r="E364" s="8" t="inlineStr">
        <is>
          <t>Factor</t>
        </is>
      </c>
      <c r="F364" s="8" t="inlineStr">
        <is>
          <t>CoefficientPercent</t>
        </is>
      </c>
      <c r="G364" s="8" t="inlineStr">
        <is>
          <t>EffectiveHits</t>
        </is>
      </c>
      <c r="H364" s="8" t="inlineStr">
        <is>
          <t>ProcProbability</t>
        </is>
      </c>
      <c r="I364" s="8" t="inlineStr">
        <is>
          <t>MapleHeroMultiplier</t>
        </is>
      </c>
      <c r="J364" s="8" t="inlineStr">
        <is>
          <t>BaseDamage</t>
        </is>
      </c>
      <c r="K364" s="8" t="inlineStr">
        <is>
          <t>BaseHitDamage</t>
        </is>
      </c>
      <c r="L364" s="8" t="inlineStr">
        <is>
          <t>NonCritAvg</t>
        </is>
      </c>
      <c r="M364" s="8" t="inlineStr">
        <is>
          <t>CritAvg</t>
        </is>
      </c>
      <c r="N364" s="8" t="inlineStr">
        <is>
          <t>ExpectedDamage(perHit)</t>
        </is>
      </c>
      <c r="O364" s="8" t="inlineStr">
        <is>
          <t>DPS</t>
        </is>
      </c>
      <c r="P364" s="8" t="inlineStr">
        <is>
          <t>% of Total</t>
        </is>
      </c>
      <c r="Q364" s="8" t="inlineStr">
        <is>
          <t>InvCooldown</t>
        </is>
      </c>
      <c r="R364" s="8" t="inlineStr">
        <is>
          <t>CastsInFight</t>
        </is>
      </c>
      <c r="S364" s="8" t="inlineStr">
        <is>
          <t>HitRate(perSec)</t>
        </is>
      </c>
      <c r="U364" t="inlineStr">
        <is>
          <t>helpers</t>
        </is>
      </c>
    </row>
    <row r="365">
      <c r="A365">
        <f>Skills!A2</f>
        <v/>
      </c>
      <c r="B365">
        <f>Skills!B2</f>
        <v/>
      </c>
      <c r="C365">
        <f>Inputs!$B$3&gt;=100</f>
        <v/>
      </c>
      <c r="D365" t="inlineStr"/>
      <c r="E365" t="inlineStr"/>
      <c r="F365">
        <f>U369+Skills!O2</f>
        <v/>
      </c>
      <c r="G365">
        <f>Calc!G2</f>
        <v/>
      </c>
      <c r="H365">
        <f>Calc!H2</f>
        <v/>
      </c>
      <c r="I365">
        <f>IF(Skills!AA2&lt;&gt;"",1+(Skills!AA2/10)*(U366/1000)/100,1)</f>
        <v/>
      </c>
      <c r="J365">
        <f>(Inputs!$B$5*(1+Inputs!$B$6/100))*(F365/100)</f>
        <v/>
      </c>
      <c r="K365">
        <f>J365*(1+((Inputs!$B$11*(1+Inputs!$B$12/100))*0.01+Inputs!$B$13*0.0025)/100)*(1+Inputs!$B$14/100)*(1+IF(Inputs!$B$4="pvp",0,(1-Summary!$B$55)*(Inputs!$B$19+((C390=TRUE)*(F390-Calc!F27))+Skills!P2+B404)+Summary!$B$55*(Inputs!$B$20+Skills!Q2+B404))/100)*(1+Inputs!$B$15/100)*(5000/(6000+Inputs!$B$7*(1-Inputs!$B$18/100)))*(1+(((((1+Inputs!$B$23/100)*(1.01))-1)*100)+((C393=TRUE)*(F393-Calc!F30)))/100)*(1+Skills!R2/100)*(1+(IF(Skills!A2="SHOWDOWN",Inputs!$B$16+((C386=TRUE)*(F386-Calc!F23)),Inputs!$B$17+((C392=TRUE)*(F392-Calc!F29))))/100)*(((1+(((C384=TRUE)*F384*IF(AND(Inputs!$B$4&lt;&gt;"pvp",Inputs!$B$35&gt;0),(((S384-1)*(Skills!Y21*(1+Inputs!$B$33/100))+MIN((Skills!Y21*(1+Inputs!$B$33/100)),MAX(0,Inputs!$B$35-((S384-1)*Skills!D21))))/Inputs!$B$35),IF(Inputs!$B$4="pvp",MIN((Skills!Y21*(1+Inputs!$B$33/100)),15)/15,(Skills!Y21*(1+Inputs!$B$33/100))/Skills!D21)))+((C391=TRUE)*(F391-Calc!F28))+((C381=TRUE)*(F381-Calc!F18)))/100)*(1+((C378=TRUE)*F378*IF(AND(Inputs!$B$4&lt;&gt;"pvp",Inputs!$B$35&gt;0),(((S378-1)*(Skills!Y15*(1+Inputs!$B$33/100))+MIN((Skills!Y15*(1+Inputs!$B$33/100)),MAX(0,Inputs!$B$35-((S378-1)*Skills!D15))))/Inputs!$B$35),IF(Inputs!$B$4="pvp",MIN((Skills!Y15*(1+Inputs!$B$33/100)),15)/15,(Skills!Y15*(1+Inputs!$B$33/100))/Skills!D15)))/100)*(1+((C369=TRUE)*F369*B397)/100))*B405*I365)</f>
        <v/>
      </c>
      <c r="L365">
        <f>K365*(MIN(Inputs!$B$21+((C387=TRUE)*(F387-Calc!F24)),Inputs!$B$22)/100+Inputs!$B$22/100)/2</f>
        <v/>
      </c>
      <c r="M365">
        <f>L365*(1+(Inputs!$B$9+((C389=TRUE)*(F389-Calc!F26))+B406)/100)</f>
        <v/>
      </c>
      <c r="N365">
        <f>L365*(1-MIN((Inputs!$B$8+((C388=TRUE)*(F388-Calc!F25))+B403),100)/100)+M365*(MIN((Inputs!$B$8+((C388=TRUE)*(F388-Calc!F25))+B403),100)/100)</f>
        <v/>
      </c>
      <c r="O365">
        <f>IF(C365,Skills!G2*N365*B401*IF(Inputs!$B$4="pvp",1,(1-Summary!$B$55)*(1)+Summary!$B$55*(MIN((6+Inputs!$B$32),Inputs!$B$37))),0)</f>
        <v/>
      </c>
      <c r="P365">
        <f>IF(B407=0,0,O365/B407)</f>
        <v/>
      </c>
      <c r="Q365" t="n">
        <v>0</v>
      </c>
      <c r="R365" t="n">
        <v>0</v>
      </c>
      <c r="S365">
        <f>IFERROR(O365/N365,0)</f>
        <v/>
      </c>
      <c r="U365">
        <f>MAX(0,(Inputs!$B$3-100)*3)+Inputs!$B$27+Inputs!$B$28</f>
        <v/>
      </c>
    </row>
    <row r="366">
      <c r="A366">
        <f>Skills!A3</f>
        <v/>
      </c>
      <c r="B366">
        <f>Skills!B3</f>
        <v/>
      </c>
      <c r="C366">
        <f>Inputs!$B$3&gt;=35</f>
        <v/>
      </c>
      <c r="D366">
        <f>IF(Skills!C3=1,60+Inputs!$B$24+Inputs!$B$28,IF(Skills!C3=2,90+Inputs!$B$25+Inputs!$B$28,IF(Skills!C3=3,120+Inputs!$B$26+Inputs!$B$28,MAX(0,(Inputs!$B$3-100)*3)+Inputs!$B$27+Inputs!$B$28)))</f>
        <v/>
      </c>
      <c r="E366">
        <f>INDEX(FactorTable!$B$2:$Y$301, MATCH(ROUND(MIN(300,MAX(1,D366)),0), FactorTable!$A$2:$A$301,0), Skills!M3+1)</f>
        <v/>
      </c>
      <c r="F366">
        <f>IF(Skills!N3=TRUE,(Skills!L3/10)*(E366/1000),Skills!L3/10)+Skills!O3</f>
        <v/>
      </c>
      <c r="G366">
        <f>Calc!G3</f>
        <v/>
      </c>
      <c r="H366">
        <f>Calc!H3</f>
        <v/>
      </c>
      <c r="I366">
        <f>IF(Skills!AA3&lt;&gt;"",1+(Skills!AA3/10)*(U366/1000)/100,1)</f>
        <v/>
      </c>
      <c r="J366">
        <f>(Inputs!$B$5*(1+Inputs!$B$6/100))*(F366/100)</f>
        <v/>
      </c>
      <c r="K366">
        <f>J366*(1+((Inputs!$B$11*(1+Inputs!$B$12/100))*0.01+Inputs!$B$13*0.0025)/100)*(1+Inputs!$B$14/100)*(1+IF(Inputs!$B$4="pvp",0,(1-Summary!$B$55)*(Inputs!$B$19+((C390=TRUE)*(F390-Calc!F27))+Skills!P3+B404)+Summary!$B$55*(Inputs!$B$20+Skills!Q3+B404))/100)*(1+Inputs!$B$15/100)*(5000/(6000+Inputs!$B$7*(1-Inputs!$B$18/100)))*(1+(((((1+Inputs!$B$23/100)*(1.01))-1)*100)+((C393=TRUE)*(F393-Calc!F30)))/100)*(1+Skills!R3/100)*(1+(IF(Skills!A3="SHOWDOWN",Inputs!$B$16+((C386=TRUE)*(F386-Calc!F23)),Inputs!$B$17+((C392=TRUE)*(F392-Calc!F29))))/100)*(((1+(((C384=TRUE)*F384*IF(AND(Inputs!$B$4&lt;&gt;"pvp",Inputs!$B$35&gt;0),(((S384-1)*(Skills!Y21*(1+Inputs!$B$33/100))+MIN((Skills!Y21*(1+Inputs!$B$33/100)),MAX(0,Inputs!$B$35-((S384-1)*Skills!D21))))/Inputs!$B$35),IF(Inputs!$B$4="pvp",MIN((Skills!Y21*(1+Inputs!$B$33/100)),15)/15,(Skills!Y21*(1+Inputs!$B$33/100))/Skills!D21)))+((C391=TRUE)*(F391-Calc!F28))+((C381=TRUE)*(F381-Calc!F18)))/100)*(1+((C378=TRUE)*F378*IF(AND(Inputs!$B$4&lt;&gt;"pvp",Inputs!$B$35&gt;0),(((S378-1)*(Skills!Y15*(1+Inputs!$B$33/100))+MIN((Skills!Y15*(1+Inputs!$B$33/100)),MAX(0,Inputs!$B$35-((S378-1)*Skills!D15))))/Inputs!$B$35),IF(Inputs!$B$4="pvp",MIN((Skills!Y15*(1+Inputs!$B$33/100)),15)/15,(Skills!Y15*(1+Inputs!$B$33/100))/Skills!D15)))/100)*(1+((C369=TRUE)*F369*B397)/100))*B405*I366)</f>
        <v/>
      </c>
      <c r="L366">
        <f>K366*(MIN(Inputs!$B$21+((C387=TRUE)*(F387-Calc!F24)),Inputs!$B$22)/100+Inputs!$B$22/100)/2</f>
        <v/>
      </c>
      <c r="M366">
        <f>L366*(1+(Inputs!$B$9+((C389=TRUE)*(F389-Calc!F26))+B406)/100)</f>
        <v/>
      </c>
      <c r="N366">
        <f>L366*(1-MIN((Inputs!$B$8+((C388=TRUE)*(F388-Calc!F25))+B403),100)/100)+M366*(MIN((Inputs!$B$8+((C388=TRUE)*(F388-Calc!F25))+B403),100)/100)</f>
        <v/>
      </c>
      <c r="O366">
        <f>IF(C366,H366*N366*IF(AND(Inputs!$B$4&lt;&gt;"pvp",Inputs!$B$35&gt;0),((Skills!G3*((R366-1)*IF(Skills!H3&gt;0,Skills!I3/Skills!H3,1)+IF(Skills!H3&gt;0,MIN(Skills!I3,MAX(0,Inputs!$B$35-((R366-1)*IF(Inputs!$B$4="pvp",15,MAX(0.1,Skills!D3-IF(Skills!E3=TRUE,Inputs!$B$31,0))))))/Skills!H3,1)))/Inputs!$B$35),G366*Q366)*IF(Inputs!$B$4="pvp",1,(1-Summary!$B$55)*(1)+Summary!$B$55*(MIN(Skills!W3,Inputs!$B$37))),0)</f>
        <v/>
      </c>
      <c r="P366">
        <f>IF(B407=0,0,O366/B407)</f>
        <v/>
      </c>
      <c r="Q366">
        <f>IFERROR(1/IF(Inputs!$B$4="pvp",15,MAX(0.1,Skills!D3-IF(Skills!E3=TRUE,Inputs!$B$31,0))),0)</f>
        <v/>
      </c>
      <c r="R366">
        <f>IF(AND(Inputs!$B$4&lt;&gt;"pvp",Inputs!$B$35&gt;0),(INT(Inputs!$B$35/IF(Inputs!$B$4="pvp",15,MAX(0.1,Skills!D3-IF(Skills!E3=TRUE,Inputs!$B$31,0))))+1),0)</f>
        <v/>
      </c>
      <c r="S366">
        <f>IFERROR(O366/N366,0)</f>
        <v/>
      </c>
      <c r="U366">
        <f>INDEX(FactorTable!$B$2:$Y$301, MATCH(ROUND(MIN(300,MAX(1,U365)),0), FactorTable!$A$2:$A$301,0), 24)</f>
        <v/>
      </c>
    </row>
    <row r="367">
      <c r="A367">
        <f>Skills!A4</f>
        <v/>
      </c>
      <c r="B367">
        <f>Skills!B4</f>
        <v/>
      </c>
      <c r="C367">
        <f>Inputs!$B$3&gt;=40</f>
        <v/>
      </c>
      <c r="D367">
        <f>IF(Skills!C4=1,60+Inputs!$B$24+Inputs!$B$28,IF(Skills!C4=2,90+Inputs!$B$25+Inputs!$B$28,IF(Skills!C4=3,120+Inputs!$B$26+Inputs!$B$28,MAX(0,(Inputs!$B$3-100)*3)+Inputs!$B$27+Inputs!$B$28)))</f>
        <v/>
      </c>
      <c r="E367">
        <f>INDEX(FactorTable!$B$2:$Y$301, MATCH(ROUND(MIN(300,MAX(1,D367)),0), FactorTable!$A$2:$A$301,0), Skills!M4+1)</f>
        <v/>
      </c>
      <c r="F367">
        <f>IF(Skills!N4=TRUE,(Skills!L4/10)*(E367/1000),Skills!L4/10)+Skills!O4</f>
        <v/>
      </c>
      <c r="G367">
        <f>Calc!G4</f>
        <v/>
      </c>
      <c r="H367">
        <f>Calc!H4</f>
        <v/>
      </c>
      <c r="I367">
        <f>IF(Skills!AA4&lt;&gt;"",1+(Skills!AA4/10)*(U366/1000)/100,1)</f>
        <v/>
      </c>
      <c r="J367">
        <f>(Inputs!$B$5*(1+Inputs!$B$6/100))*(F367/100)</f>
        <v/>
      </c>
      <c r="K367">
        <f>J367*(1+((Inputs!$B$11*(1+Inputs!$B$12/100))*0.01+Inputs!$B$13*0.0025)/100)*(1+Inputs!$B$14/100)*(1+IF(Inputs!$B$4="pvp",0,(1-Summary!$B$55)*(Inputs!$B$19+((C390=TRUE)*(F390-Calc!F27))+Skills!P4+B404)+Summary!$B$55*(Inputs!$B$20+Skills!Q4+B404))/100)*(1+Inputs!$B$15/100)*(5000/(6000+Inputs!$B$7*(1-Inputs!$B$18/100)))*(1+(((((1+Inputs!$B$23/100)*(1.01))-1)*100)+((C393=TRUE)*(F393-Calc!F30)))/100)*(1+Skills!R4/100)*(1+(IF(Skills!A4="SHOWDOWN",Inputs!$B$16+((C386=TRUE)*(F386-Calc!F23)),Inputs!$B$17+((C392=TRUE)*(F392-Calc!F29))))/100)*(((1+(((C384=TRUE)*F384*IF(AND(Inputs!$B$4&lt;&gt;"pvp",Inputs!$B$35&gt;0),(((S384-1)*(Skills!Y21*(1+Inputs!$B$33/100))+MIN((Skills!Y21*(1+Inputs!$B$33/100)),MAX(0,Inputs!$B$35-((S384-1)*Skills!D21))))/Inputs!$B$35),IF(Inputs!$B$4="pvp",MIN((Skills!Y21*(1+Inputs!$B$33/100)),15)/15,(Skills!Y21*(1+Inputs!$B$33/100))/Skills!D21)))+((C391=TRUE)*(F391-Calc!F28))+((C381=TRUE)*(F381-Calc!F18)))/100)*(1+((C378=TRUE)*F378*IF(AND(Inputs!$B$4&lt;&gt;"pvp",Inputs!$B$35&gt;0),(((S378-1)*(Skills!Y15*(1+Inputs!$B$33/100))+MIN((Skills!Y15*(1+Inputs!$B$33/100)),MAX(0,Inputs!$B$35-((S378-1)*Skills!D15))))/Inputs!$B$35),IF(Inputs!$B$4="pvp",MIN((Skills!Y15*(1+Inputs!$B$33/100)),15)/15,(Skills!Y15*(1+Inputs!$B$33/100))/Skills!D15)))/100)*(1+((C369=TRUE)*F369*B397)/100))*B405*I367)</f>
        <v/>
      </c>
      <c r="L367">
        <f>K367*(MIN(Inputs!$B$21+((C387=TRUE)*(F387-Calc!F24)),Inputs!$B$22)/100+Inputs!$B$22/100)/2</f>
        <v/>
      </c>
      <c r="M367">
        <f>L367*(1+(Inputs!$B$9+((C389=TRUE)*(F389-Calc!F26))+B406)/100)</f>
        <v/>
      </c>
      <c r="N367">
        <f>L367*(1-MIN((Inputs!$B$8+((C388=TRUE)*(F388-Calc!F25))+B403),100)/100)+M367*(MIN((Inputs!$B$8+((C388=TRUE)*(F388-Calc!F25))+B403),100)/100)</f>
        <v/>
      </c>
      <c r="O367">
        <f>IF(C367,H367*N367*IF(AND(Inputs!$B$4&lt;&gt;"pvp",Inputs!$B$35&gt;0),((Skills!G4*((R367-1)*IF(Skills!H4&gt;0,Skills!I4/Skills!H4,1)+IF(Skills!H4&gt;0,MIN(Skills!I4,MAX(0,Inputs!$B$35-((R367-1)*IF(Inputs!$B$4="pvp",15,MAX(0.1,Skills!D4-IF(Skills!E4=TRUE,Inputs!$B$31,0))))))/Skills!H4,1)))/Inputs!$B$35),G367*Q367)*IF(Inputs!$B$4="pvp",1,(1-Summary!$B$55)*(1)+Summary!$B$55*(MIN(Skills!W4,Inputs!$B$37))),0)</f>
        <v/>
      </c>
      <c r="P367">
        <f>IF(B407=0,0,O367/B407)</f>
        <v/>
      </c>
      <c r="Q367">
        <f>IFERROR(1/IF(Inputs!$B$4="pvp",15,MAX(0.1,Skills!D4-IF(Skills!E4=TRUE,Inputs!$B$31,0))),0)</f>
        <v/>
      </c>
      <c r="R367">
        <f>IF(AND(Inputs!$B$4&lt;&gt;"pvp",Inputs!$B$35&gt;0),(INT(Inputs!$B$35/IF(Inputs!$B$4="pvp",15,MAX(0.1,Skills!D4-IF(Skills!E4=TRUE,Inputs!$B$31,0))))+1),0)</f>
        <v/>
      </c>
      <c r="S367">
        <f>IFERROR(O367/N367,0)</f>
        <v/>
      </c>
      <c r="U367">
        <f>MAX(0,(Inputs!$B$3-100)*3)+Inputs!$B$27+Inputs!$B$28</f>
        <v/>
      </c>
    </row>
    <row r="368">
      <c r="A368">
        <f>Skills!A5</f>
        <v/>
      </c>
      <c r="B368">
        <f>Skills!B5</f>
        <v/>
      </c>
      <c r="C368">
        <f>Inputs!$B$3&gt;=63</f>
        <v/>
      </c>
      <c r="D368">
        <f>IF(Skills!C5=1,60+Inputs!$B$24+Inputs!$B$28,IF(Skills!C5=2,90+Inputs!$B$25+Inputs!$B$28,IF(Skills!C5=3,120+Inputs!$B$26+Inputs!$B$28,MAX(0,(Inputs!$B$3-100)*3)+Inputs!$B$27+Inputs!$B$28)))</f>
        <v/>
      </c>
      <c r="E368">
        <f>INDEX(FactorTable!$B$2:$Y$301, MATCH(ROUND(MIN(300,MAX(1,D368)),0), FactorTable!$A$2:$A$301,0), Skills!M5+1)</f>
        <v/>
      </c>
      <c r="F368">
        <f>IF(Skills!N5=TRUE,(Skills!L5/10)*(E368/1000),Skills!L5/10)+Skills!O5</f>
        <v/>
      </c>
      <c r="G368">
        <f>Calc!G5</f>
        <v/>
      </c>
      <c r="H368">
        <f>Calc!H5</f>
        <v/>
      </c>
      <c r="I368">
        <f>IF(Skills!AA5&lt;&gt;"",1+(Skills!AA5/10)*(U366/1000)/100,1)</f>
        <v/>
      </c>
      <c r="J368">
        <f>(Inputs!$B$5*(1+Inputs!$B$6/100))*(F368/100)</f>
        <v/>
      </c>
      <c r="K368">
        <f>J368*(1+((Inputs!$B$11*(1+Inputs!$B$12/100))*0.01+Inputs!$B$13*0.0025)/100)*(1+Inputs!$B$14/100)*(1+IF(Inputs!$B$4="pvp",0,(1-Summary!$B$55)*(Inputs!$B$19+((C390=TRUE)*(F390-Calc!F27))+Skills!P5+B404)+Summary!$B$55*(Inputs!$B$20+Skills!Q5+B404))/100)*(1+Inputs!$B$15/100)*(5000/(6000+Inputs!$B$7*(1-Inputs!$B$18/100)))*(1+(((((1+Inputs!$B$23/100)*(1.01))-1)*100)+((C393=TRUE)*(F393-Calc!F30)))/100)*(1+Skills!R5/100)*(1+(IF(Skills!A5="SHOWDOWN",Inputs!$B$16+((C386=TRUE)*(F386-Calc!F23)),Inputs!$B$17+((C392=TRUE)*(F392-Calc!F29))))/100)*(((1+(((C384=TRUE)*F384*IF(AND(Inputs!$B$4&lt;&gt;"pvp",Inputs!$B$35&gt;0),(((S384-1)*(Skills!Y21*(1+Inputs!$B$33/100))+MIN((Skills!Y21*(1+Inputs!$B$33/100)),MAX(0,Inputs!$B$35-((S384-1)*Skills!D21))))/Inputs!$B$35),IF(Inputs!$B$4="pvp",MIN((Skills!Y21*(1+Inputs!$B$33/100)),15)/15,(Skills!Y21*(1+Inputs!$B$33/100))/Skills!D21)))+((C391=TRUE)*(F391-Calc!F28))+((C381=TRUE)*(F381-Calc!F18)))/100)*(1+((C378=TRUE)*F378*IF(AND(Inputs!$B$4&lt;&gt;"pvp",Inputs!$B$35&gt;0),(((S378-1)*(Skills!Y15*(1+Inputs!$B$33/100))+MIN((Skills!Y15*(1+Inputs!$B$33/100)),MAX(0,Inputs!$B$35-((S378-1)*Skills!D15))))/Inputs!$B$35),IF(Inputs!$B$4="pvp",MIN((Skills!Y15*(1+Inputs!$B$33/100)),15)/15,(Skills!Y15*(1+Inputs!$B$33/100))/Skills!D15)))/100)*(1+((C369=TRUE)*F369*B397)/100))*B405*I368)</f>
        <v/>
      </c>
      <c r="L368">
        <f>K368*(MIN(Inputs!$B$21+((C387=TRUE)*(F387-Calc!F24)),Inputs!$B$22)/100+Inputs!$B$22/100)/2</f>
        <v/>
      </c>
      <c r="M368">
        <f>L368*(1+(Inputs!$B$9+((C389=TRUE)*(F389-Calc!F26))+B406)/100)</f>
        <v/>
      </c>
      <c r="N368">
        <f>L368*(1-MIN((Inputs!$B$8+((C388=TRUE)*(F388-Calc!F25))+B403),100)/100)+M368*(MIN((Inputs!$B$8+((C388=TRUE)*(F388-Calc!F25))+B403),100)/100)</f>
        <v/>
      </c>
      <c r="O368">
        <f>IF(C368,H368*N368*IF(AND(Inputs!$B$4&lt;&gt;"pvp",Inputs!$B$35&gt;0),((Skills!G5*((R368-1)*IF(Skills!H5&gt;0,Skills!I5/Skills!H5,1)+IF(Skills!H5&gt;0,MIN(Skills!I5,MAX(0,Inputs!$B$35-((R368-1)*IF(Inputs!$B$4="pvp",15,MAX(0.1,Skills!D5-IF(Skills!E5=TRUE,Inputs!$B$31,0))))))/Skills!H5,1)))/Inputs!$B$35),G368*Q368)*IF(Inputs!$B$4="pvp",1,(1-Summary!$B$55)*(1)+Summary!$B$55*(MIN(Skills!W5,Inputs!$B$37))),0)</f>
        <v/>
      </c>
      <c r="P368">
        <f>IF(B407=0,0,O368/B407)</f>
        <v/>
      </c>
      <c r="Q368">
        <f>IFERROR(1/IF(Inputs!$B$4="pvp",15,MAX(0.1,Skills!D5-IF(Skills!E5=TRUE,Inputs!$B$31,0))),0)</f>
        <v/>
      </c>
      <c r="R368">
        <f>IF(AND(Inputs!$B$4&lt;&gt;"pvp",Inputs!$B$35&gt;0),(INT(Inputs!$B$35/IF(Inputs!$B$4="pvp",15,MAX(0.1,Skills!D5-IF(Skills!E5=TRUE,Inputs!$B$31,0))))+1),0)</f>
        <v/>
      </c>
      <c r="S368">
        <f>IFERROR(O368/N368,0)</f>
        <v/>
      </c>
      <c r="U368">
        <f>INDEX(FactorTable!$B$2:$Y$301, MATCH(ROUND(MIN(300,MAX(1,U367)),0), FactorTable!$A$2:$A$301,0), 22)</f>
        <v/>
      </c>
    </row>
    <row r="369">
      <c r="A369">
        <f>Skills!A6</f>
        <v/>
      </c>
      <c r="B369">
        <f>Skills!B6</f>
        <v/>
      </c>
      <c r="C369">
        <f>Inputs!$B$3&gt;=66</f>
        <v/>
      </c>
      <c r="D369">
        <f>IF(Skills!C6=1,60+Inputs!$B$24+Inputs!$B$28,IF(Skills!C6=2,90+Inputs!$B$25+Inputs!$B$28,IF(Skills!C6=3,120+Inputs!$B$26+Inputs!$B$28,MAX(0,(Inputs!$B$3-100)*3)+Inputs!$B$27+Inputs!$B$28)))</f>
        <v/>
      </c>
      <c r="E369">
        <f>INDEX(FactorTable!$B$2:$Y$301, MATCH(ROUND(MIN(300,MAX(1,D369)),0), FactorTable!$A$2:$A$301,0), Skills!M6+1)</f>
        <v/>
      </c>
      <c r="F369">
        <f>IF(Skills!N6=TRUE,(Skills!L6/10)*(E369/1000),Skills!L6/10)+Skills!O6</f>
        <v/>
      </c>
      <c r="G369">
        <f>Calc!G6</f>
        <v/>
      </c>
      <c r="H369">
        <f>Calc!H6</f>
        <v/>
      </c>
      <c r="I369">
        <f>IF(Skills!AA6&lt;&gt;"",1+(Skills!AA6/10)*(U366/1000)/100,1)</f>
        <v/>
      </c>
      <c r="J369" t="inlineStr"/>
      <c r="K369" t="inlineStr"/>
      <c r="L369" t="inlineStr"/>
      <c r="M369" t="inlineStr"/>
      <c r="N369" t="inlineStr"/>
      <c r="O369" t="n">
        <v>0</v>
      </c>
      <c r="P369">
        <f>IF(B407=0,0,O369/B407)</f>
        <v/>
      </c>
      <c r="Q369" t="n">
        <v>0</v>
      </c>
      <c r="R369" t="n">
        <v>0</v>
      </c>
      <c r="S369">
        <f>IFERROR(O369/N369,0)</f>
        <v/>
      </c>
      <c r="U369">
        <f>290*U368/1000</f>
        <v/>
      </c>
    </row>
    <row r="370">
      <c r="A370">
        <f>Skills!A7</f>
        <v/>
      </c>
      <c r="B370">
        <f>Skills!B7</f>
        <v/>
      </c>
      <c r="C370">
        <f>Inputs!$B$3&gt;=66</f>
        <v/>
      </c>
      <c r="D370">
        <f>IF(Skills!C7=1,60+Inputs!$B$24+Inputs!$B$28,IF(Skills!C7=2,90+Inputs!$B$25+Inputs!$B$28,IF(Skills!C7=3,120+Inputs!$B$26+Inputs!$B$28,MAX(0,(Inputs!$B$3-100)*3)+Inputs!$B$27+Inputs!$B$28)))</f>
        <v/>
      </c>
      <c r="E370">
        <f>INDEX(FactorTable!$B$2:$Y$301, MATCH(ROUND(MIN(300,MAX(1,D370)),0), FactorTable!$A$2:$A$301,0), Skills!M7+1)</f>
        <v/>
      </c>
      <c r="F370">
        <f>IF(Skills!N7=TRUE,(Skills!L7/10)*(E370/1000),Skills!L7/10)+Skills!O7</f>
        <v/>
      </c>
      <c r="G370">
        <f>Calc!G7</f>
        <v/>
      </c>
      <c r="H370">
        <f>Calc!H7</f>
        <v/>
      </c>
      <c r="I370">
        <f>IF(Skills!AA7&lt;&gt;"",1+(Skills!AA7/10)*(U366/1000)/100,1)</f>
        <v/>
      </c>
      <c r="J370" t="inlineStr"/>
      <c r="K370" t="inlineStr"/>
      <c r="L370" t="inlineStr"/>
      <c r="M370" t="inlineStr"/>
      <c r="N370" t="inlineStr"/>
      <c r="O370" t="n">
        <v>0</v>
      </c>
      <c r="P370">
        <f>IF(B407=0,0,O370/B407)</f>
        <v/>
      </c>
      <c r="Q370" t="n">
        <v>0</v>
      </c>
      <c r="R370" t="n">
        <v>0</v>
      </c>
      <c r="S370">
        <f>IFERROR(O370/N370,0)</f>
        <v/>
      </c>
    </row>
    <row r="371">
      <c r="A371">
        <f>Skills!A8</f>
        <v/>
      </c>
      <c r="B371">
        <f>Skills!B8</f>
        <v/>
      </c>
      <c r="C371">
        <f>Inputs!$B$3&gt;=69</f>
        <v/>
      </c>
      <c r="D371">
        <f>IF(Skills!C8=1,60+Inputs!$B$24+Inputs!$B$28,IF(Skills!C8=2,90+Inputs!$B$25+Inputs!$B$28,IF(Skills!C8=3,120+Inputs!$B$26+Inputs!$B$28,MAX(0,(Inputs!$B$3-100)*3)+Inputs!$B$27+Inputs!$B$28)))</f>
        <v/>
      </c>
      <c r="E371">
        <f>INDEX(FactorTable!$B$2:$Y$301, MATCH(ROUND(MIN(300,MAX(1,D371)),0), FactorTable!$A$2:$A$301,0), Skills!M8+1)</f>
        <v/>
      </c>
      <c r="F371">
        <f>IF(Skills!N8=TRUE,(Skills!L8/10)*(E371/1000),Skills!L8/10)+Skills!O8</f>
        <v/>
      </c>
      <c r="G371">
        <f>Calc!G8</f>
        <v/>
      </c>
      <c r="H371">
        <f>Calc!H8</f>
        <v/>
      </c>
      <c r="I371">
        <f>IF(Skills!AA8&lt;&gt;"",1+(Skills!AA8/10)*(U366/1000)/100,1)</f>
        <v/>
      </c>
      <c r="J371">
        <f>(Inputs!$B$5*(1+Inputs!$B$6/100))*(F371/100)</f>
        <v/>
      </c>
      <c r="K371">
        <f>J371*(1+((Inputs!$B$11*(1+Inputs!$B$12/100))*0.01+Inputs!$B$13*0.0025)/100)*(1+Inputs!$B$14/100)*(1+IF(Inputs!$B$4="pvp",0,(1-Summary!$B$55)*(Inputs!$B$19+((C390=TRUE)*(F390-Calc!F27))+Skills!P8+B404)+Summary!$B$55*(Inputs!$B$20+Skills!Q8+B404))/100)*(1+Inputs!$B$15/100)*(5000/(6000+Inputs!$B$7*(1-Inputs!$B$18/100)))*(1+(((((1+Inputs!$B$23/100)*(1.01))-1)*100)+((C393=TRUE)*(F393-Calc!F30)))/100)*(1+Skills!R8/100)*(1+(IF(Skills!A8="SHOWDOWN",Inputs!$B$16+((C386=TRUE)*(F386-Calc!F23)),Inputs!$B$17+((C392=TRUE)*(F392-Calc!F29))))/100)*(((1+(((C384=TRUE)*F384*IF(AND(Inputs!$B$4&lt;&gt;"pvp",Inputs!$B$35&gt;0),(((S384-1)*(Skills!Y21*(1+Inputs!$B$33/100))+MIN((Skills!Y21*(1+Inputs!$B$33/100)),MAX(0,Inputs!$B$35-((S384-1)*Skills!D21))))/Inputs!$B$35),IF(Inputs!$B$4="pvp",MIN((Skills!Y21*(1+Inputs!$B$33/100)),15)/15,(Skills!Y21*(1+Inputs!$B$33/100))/Skills!D21)))+((C391=TRUE)*(F391-Calc!F28))+((C381=TRUE)*(F381-Calc!F18)))/100)*(1+((C378=TRUE)*F378*IF(AND(Inputs!$B$4&lt;&gt;"pvp",Inputs!$B$35&gt;0),(((S378-1)*(Skills!Y15*(1+Inputs!$B$33/100))+MIN((Skills!Y15*(1+Inputs!$B$33/100)),MAX(0,Inputs!$B$35-((S378-1)*Skills!D15))))/Inputs!$B$35),IF(Inputs!$B$4="pvp",MIN((Skills!Y15*(1+Inputs!$B$33/100)),15)/15,(Skills!Y15*(1+Inputs!$B$33/100))/Skills!D15)))/100)*(1+((C369=TRUE)*F369*B397)/100))*B405*I371)</f>
        <v/>
      </c>
      <c r="L371">
        <f>K371*(MIN(Inputs!$B$21+((C387=TRUE)*(F387-Calc!F24)),Inputs!$B$22)/100+Inputs!$B$22/100)/2</f>
        <v/>
      </c>
      <c r="M371">
        <f>L371*(1+(Inputs!$B$9+((C389=TRUE)*(F389-Calc!F26))+B406)/100)</f>
        <v/>
      </c>
      <c r="N371">
        <f>L371*(1-MIN((Inputs!$B$8+((C388=TRUE)*(F388-Calc!F25))+B403),100)/100)+M371*(MIN((Inputs!$B$8+((C388=TRUE)*(F388-Calc!F25))+B403),100)/100)</f>
        <v/>
      </c>
      <c r="O371">
        <f>IF(C371,H371*N371*IF(AND(Inputs!$B$4&lt;&gt;"pvp",Inputs!$B$35&gt;0),((Skills!G8*((R371-1)*IF(Skills!H8&gt;0,Skills!I8/Skills!H8,1)+IF(Skills!H8&gt;0,MIN(Skills!I8,MAX(0,Inputs!$B$35-((R371-1)*IF(Inputs!$B$4="pvp",15,MAX(0.1,Skills!D8-IF(Skills!E8=TRUE,Inputs!$B$31,0))))))/Skills!H8,1)))/Inputs!$B$35),G371*Q371)*IF(Inputs!$B$4="pvp",1,(1-Summary!$B$55)*(1)+Summary!$B$55*(MIN(Skills!W8,Inputs!$B$37))),0)</f>
        <v/>
      </c>
      <c r="P371">
        <f>IF(B407=0,0,O371/B407)</f>
        <v/>
      </c>
      <c r="Q371">
        <f>IFERROR(1/IF(Inputs!$B$4="pvp",15,MAX(0.1,Skills!D8-IF(Skills!E8=TRUE,Inputs!$B$31,0))),0)</f>
        <v/>
      </c>
      <c r="R371">
        <f>IF(AND(Inputs!$B$4&lt;&gt;"pvp",Inputs!$B$35&gt;0),(INT(Inputs!$B$35/IF(Inputs!$B$4="pvp",15,MAX(0.1,Skills!D8-IF(Skills!E8=TRUE,Inputs!$B$31,0))))+1),0)</f>
        <v/>
      </c>
      <c r="S371">
        <f>IFERROR(O371/N371,0)</f>
        <v/>
      </c>
    </row>
    <row r="372">
      <c r="A372">
        <f>Skills!A9</f>
        <v/>
      </c>
      <c r="B372">
        <f>Skills!B9</f>
        <v/>
      </c>
      <c r="C372">
        <f>Inputs!$B$3&gt;=72</f>
        <v/>
      </c>
      <c r="D372">
        <f>IF(Skills!C9=1,60+Inputs!$B$24+Inputs!$B$28,IF(Skills!C9=2,90+Inputs!$B$25+Inputs!$B$28,IF(Skills!C9=3,120+Inputs!$B$26+Inputs!$B$28,MAX(0,(Inputs!$B$3-100)*3)+Inputs!$B$27+Inputs!$B$28)))</f>
        <v/>
      </c>
      <c r="E372">
        <f>INDEX(FactorTable!$B$2:$Y$301, MATCH(ROUND(MIN(300,MAX(1,D372)),0), FactorTable!$A$2:$A$301,0), Skills!M9+1)</f>
        <v/>
      </c>
      <c r="F372">
        <f>IF(Skills!N9=TRUE,(Skills!L9/10)*(E372/1000),Skills!L9/10)+Skills!O9</f>
        <v/>
      </c>
      <c r="G372">
        <f>Calc!G9</f>
        <v/>
      </c>
      <c r="H372">
        <f>Calc!H9</f>
        <v/>
      </c>
      <c r="I372">
        <f>IF(Skills!AA9&lt;&gt;"",1+(Skills!AA9/10)*(U366/1000)/100,1)</f>
        <v/>
      </c>
      <c r="J372">
        <f>(Inputs!$B$5*(1+Inputs!$B$6/100))*(F372/100)</f>
        <v/>
      </c>
      <c r="K372">
        <f>J372*(1+((Inputs!$B$11*(1+Inputs!$B$12/100))*0.01+Inputs!$B$13*0.0025)/100)*(1+Inputs!$B$14/100)*(1+IF(Inputs!$B$4="pvp",0,(1-Summary!$B$55)*(Inputs!$B$19+((C390=TRUE)*(F390-Calc!F27))+Skills!P9+B404)+Summary!$B$55*(Inputs!$B$20+Skills!Q9+B404))/100)*(1+Inputs!$B$15/100)*(5000/(6000+Inputs!$B$7*(1-Inputs!$B$18/100)))*(1+(((((1+Inputs!$B$23/100)*(1.01))-1)*100)+((C393=TRUE)*(F393-Calc!F30)))/100)*(1+Skills!R9/100)*(1+(IF(Skills!A9="SHOWDOWN",Inputs!$B$16+((C386=TRUE)*(F386-Calc!F23)),Inputs!$B$17+((C392=TRUE)*(F392-Calc!F29))))/100)*(((1+(((C384=TRUE)*F384*IF(AND(Inputs!$B$4&lt;&gt;"pvp",Inputs!$B$35&gt;0),(((S384-1)*(Skills!Y21*(1+Inputs!$B$33/100))+MIN((Skills!Y21*(1+Inputs!$B$33/100)),MAX(0,Inputs!$B$35-((S384-1)*Skills!D21))))/Inputs!$B$35),IF(Inputs!$B$4="pvp",MIN((Skills!Y21*(1+Inputs!$B$33/100)),15)/15,(Skills!Y21*(1+Inputs!$B$33/100))/Skills!D21)))+((C391=TRUE)*(F391-Calc!F28))+((C381=TRUE)*(F381-Calc!F18)))/100)*(1+((C378=TRUE)*F378*IF(AND(Inputs!$B$4&lt;&gt;"pvp",Inputs!$B$35&gt;0),(((S378-1)*(Skills!Y15*(1+Inputs!$B$33/100))+MIN((Skills!Y15*(1+Inputs!$B$33/100)),MAX(0,Inputs!$B$35-((S378-1)*Skills!D15))))/Inputs!$B$35),IF(Inputs!$B$4="pvp",MIN((Skills!Y15*(1+Inputs!$B$33/100)),15)/15,(Skills!Y15*(1+Inputs!$B$33/100))/Skills!D15)))/100)*(1+((C369=TRUE)*F369*B397)/100))*B405*I372)</f>
        <v/>
      </c>
      <c r="L372">
        <f>K372*(MIN(Inputs!$B$21+((C387=TRUE)*(F387-Calc!F24)),Inputs!$B$22)/100+Inputs!$B$22/100)/2</f>
        <v/>
      </c>
      <c r="M372">
        <f>L372*(1+(Inputs!$B$9+((C389=TRUE)*(F389-Calc!F26))+B406)/100)</f>
        <v/>
      </c>
      <c r="N372">
        <f>L372*(1-MIN((Inputs!$B$8+((C388=TRUE)*(F388-Calc!F25))+B403),100)/100)+M372*(MIN((Inputs!$B$8+((C388=TRUE)*(F388-Calc!F25))+B403),100)/100)</f>
        <v/>
      </c>
      <c r="O372">
        <f>IF(C372,H372*N372*IF(AND(Inputs!$B$4&lt;&gt;"pvp",Inputs!$B$35&gt;0),((Skills!G9*((R372-1)*IF(Skills!H9&gt;0,Skills!I9/Skills!H9,1)+IF(Skills!H9&gt;0,MIN(Skills!I9,MAX(0,Inputs!$B$35-((R372-1)*IF(Inputs!$B$4="pvp",15,MAX(0.1,Skills!D9-IF(Skills!E9=TRUE,Inputs!$B$31,0))))))/Skills!H9,1)))/Inputs!$B$35),G372*Q372)*IF(Inputs!$B$4="pvp",1,(1-Summary!$B$55)*(1)+Summary!$B$55*(MIN(Skills!W9,Inputs!$B$37))),0)</f>
        <v/>
      </c>
      <c r="P372">
        <f>IF(B407=0,0,O372/B407)</f>
        <v/>
      </c>
      <c r="Q372">
        <f>IFERROR(1/IF(Inputs!$B$4="pvp",15,MAX(0.1,Skills!D9-IF(Skills!E9=TRUE,Inputs!$B$31,0))),0)</f>
        <v/>
      </c>
      <c r="R372">
        <f>IF(AND(Inputs!$B$4&lt;&gt;"pvp",Inputs!$B$35&gt;0),(INT(Inputs!$B$35/IF(Inputs!$B$4="pvp",15,MAX(0.1,Skills!D9-IF(Skills!E9=TRUE,Inputs!$B$31,0))))+1),0)</f>
        <v/>
      </c>
      <c r="S372">
        <f>IFERROR(O372/N372,0)</f>
        <v/>
      </c>
    </row>
    <row r="373">
      <c r="A373">
        <f>Skills!A10</f>
        <v/>
      </c>
      <c r="B373">
        <f>Skills!B10</f>
        <v/>
      </c>
      <c r="C373">
        <f>Inputs!$B$3&gt;=117</f>
        <v/>
      </c>
      <c r="D373">
        <f>IF(Skills!C10=1,60+Inputs!$B$24+Inputs!$B$28,IF(Skills!C10=2,90+Inputs!$B$25+Inputs!$B$28,IF(Skills!C10=3,120+Inputs!$B$26+Inputs!$B$28,MAX(0,(Inputs!$B$3-100)*3)+Inputs!$B$27+Inputs!$B$28)))</f>
        <v/>
      </c>
      <c r="E373">
        <f>INDEX(FactorTable!$B$2:$Y$301, MATCH(ROUND(MIN(300,MAX(1,D373)),0), FactorTable!$A$2:$A$301,0), Skills!M10+1)</f>
        <v/>
      </c>
      <c r="F373">
        <f>IF(Skills!N10=TRUE,(Skills!L10/10)*(E373/1000),Skills!L10/10)+Skills!O10</f>
        <v/>
      </c>
      <c r="G373">
        <f>Calc!G10</f>
        <v/>
      </c>
      <c r="H373">
        <f>Calc!H10</f>
        <v/>
      </c>
      <c r="I373">
        <f>IF(Skills!AA10&lt;&gt;"",1+(Skills!AA10/10)*(U366/1000)/100,1)</f>
        <v/>
      </c>
      <c r="J373">
        <f>(Inputs!$B$5*(1+Inputs!$B$6/100))*(F373/100)</f>
        <v/>
      </c>
      <c r="K373">
        <f>J373*(1+((Inputs!$B$11*(1+Inputs!$B$12/100))*0.01+Inputs!$B$13*0.0025)/100)*(1+Inputs!$B$14/100)*(1+IF(Inputs!$B$4="pvp",0,(1-Summary!$B$55)*(Inputs!$B$19+((C390=TRUE)*(F390-Calc!F27))+Skills!P10+B404)+Summary!$B$55*(Inputs!$B$20+Skills!Q10+B404))/100)*(1+Inputs!$B$15/100)*(5000/(6000+Inputs!$B$7*(1-Inputs!$B$18/100)))*(1+(((((1+Inputs!$B$23/100)*(1.01))-1)*100)+((C393=TRUE)*(F393-Calc!F30)))/100)*(1+Skills!R10/100)*(1+(IF(Skills!A10="SHOWDOWN",Inputs!$B$16+((C386=TRUE)*(F386-Calc!F23)),Inputs!$B$17+((C392=TRUE)*(F392-Calc!F29))))/100)*(((1+(((C384=TRUE)*F384*IF(AND(Inputs!$B$4&lt;&gt;"pvp",Inputs!$B$35&gt;0),(((S384-1)*(Skills!Y21*(1+Inputs!$B$33/100))+MIN((Skills!Y21*(1+Inputs!$B$33/100)),MAX(0,Inputs!$B$35-((S384-1)*Skills!D21))))/Inputs!$B$35),IF(Inputs!$B$4="pvp",MIN((Skills!Y21*(1+Inputs!$B$33/100)),15)/15,(Skills!Y21*(1+Inputs!$B$33/100))/Skills!D21)))+((C391=TRUE)*(F391-Calc!F28))+((C381=TRUE)*(F381-Calc!F18)))/100)*(1+((C378=TRUE)*F378*IF(AND(Inputs!$B$4&lt;&gt;"pvp",Inputs!$B$35&gt;0),(((S378-1)*(Skills!Y15*(1+Inputs!$B$33/100))+MIN((Skills!Y15*(1+Inputs!$B$33/100)),MAX(0,Inputs!$B$35-((S378-1)*Skills!D15))))/Inputs!$B$35),IF(Inputs!$B$4="pvp",MIN((Skills!Y15*(1+Inputs!$B$33/100)),15)/15,(Skills!Y15*(1+Inputs!$B$33/100))/Skills!D15)))/100)*(1+((C369=TRUE)*F369*B397)/100))*B405*I373)</f>
        <v/>
      </c>
      <c r="L373">
        <f>K373*(MIN(Inputs!$B$21+((C387=TRUE)*(F387-Calc!F24)),Inputs!$B$22)/100+Inputs!$B$22/100)/2</f>
        <v/>
      </c>
      <c r="M373">
        <f>L373*(1+(Inputs!$B$9+((C389=TRUE)*(F389-Calc!F26))+B406)/100)</f>
        <v/>
      </c>
      <c r="N373">
        <f>L373*(1-MIN((Inputs!$B$8+((C388=TRUE)*(F388-Calc!F25))+B403),100)/100)+M373*(MIN((Inputs!$B$8+((C388=TRUE)*(F388-Calc!F25))+B403),100)/100)</f>
        <v/>
      </c>
      <c r="O373">
        <f>IF(C373,0.2*SUMPRODUCT((Skills!Z2:Z31=TRUE)*(C365:C394=TRUE)*S365:S394)*N373,0)</f>
        <v/>
      </c>
      <c r="P373">
        <f>IF(B407=0,0,O373/B407)</f>
        <v/>
      </c>
      <c r="Q373" t="n">
        <v>0</v>
      </c>
      <c r="R373" t="n">
        <v>0</v>
      </c>
      <c r="S373" t="n">
        <v>0</v>
      </c>
    </row>
    <row r="374">
      <c r="A374">
        <f>Skills!A11</f>
        <v/>
      </c>
      <c r="B374">
        <f>Skills!B11</f>
        <v/>
      </c>
      <c r="C374">
        <f>Inputs!$B$3&gt;=60</f>
        <v/>
      </c>
      <c r="D374">
        <f>IF(Skills!C11=1,60+Inputs!$B$24+Inputs!$B$28,IF(Skills!C11=2,90+Inputs!$B$25+Inputs!$B$28,IF(Skills!C11=3,120+Inputs!$B$26+Inputs!$B$28,MAX(0,(Inputs!$B$3-100)*3)+Inputs!$B$27+Inputs!$B$28)))</f>
        <v/>
      </c>
      <c r="E374">
        <f>INDEX(FactorTable!$B$2:$Y$301, MATCH(ROUND(MIN(300,MAX(1,D374)),0), FactorTable!$A$2:$A$301,0), Skills!M11+1)</f>
        <v/>
      </c>
      <c r="F374">
        <f>IF(Skills!N11=TRUE,(Skills!L11/10)*(E374/1000),Skills!L11/10)+Skills!O11</f>
        <v/>
      </c>
      <c r="G374">
        <f>Calc!G11</f>
        <v/>
      </c>
      <c r="H374">
        <f>Calc!H11</f>
        <v/>
      </c>
      <c r="I374">
        <f>IF(Skills!AA11&lt;&gt;"",1+(Skills!AA11/10)*(U366/1000)/100,1)</f>
        <v/>
      </c>
      <c r="J374" t="inlineStr"/>
      <c r="K374" t="inlineStr"/>
      <c r="L374" t="inlineStr"/>
      <c r="M374" t="inlineStr"/>
      <c r="N374" t="inlineStr"/>
      <c r="O374" t="n">
        <v>0</v>
      </c>
      <c r="P374">
        <f>IF(B407=0,0,O374/B407)</f>
        <v/>
      </c>
      <c r="Q374" t="n">
        <v>0</v>
      </c>
      <c r="R374" t="n">
        <v>0</v>
      </c>
      <c r="S374">
        <f>IFERROR(O374/N374,0)</f>
        <v/>
      </c>
    </row>
    <row r="375">
      <c r="A375">
        <f>Skills!A12</f>
        <v/>
      </c>
      <c r="B375">
        <f>Skills!B12</f>
        <v/>
      </c>
      <c r="C375">
        <f>Inputs!$B$3&gt;=103</f>
        <v/>
      </c>
      <c r="D375">
        <f>IF(Skills!C12=1,60+Inputs!$B$24+Inputs!$B$28,IF(Skills!C12=2,90+Inputs!$B$25+Inputs!$B$28,IF(Skills!C12=3,120+Inputs!$B$26+Inputs!$B$28,MAX(0,(Inputs!$B$3-100)*3)+Inputs!$B$27+Inputs!$B$28)))</f>
        <v/>
      </c>
      <c r="E375">
        <f>INDEX(FactorTable!$B$2:$Y$301, MATCH(ROUND(MIN(300,MAX(1,D375)),0), FactorTable!$A$2:$A$301,0), Skills!M12+1)</f>
        <v/>
      </c>
      <c r="F375">
        <f>IF(Skills!N12=TRUE,(Skills!L12/10)*(E375/1000),Skills!L12/10)+Skills!O12</f>
        <v/>
      </c>
      <c r="G375">
        <f>Calc!G12</f>
        <v/>
      </c>
      <c r="H375">
        <f>Calc!H12</f>
        <v/>
      </c>
      <c r="I375">
        <f>IF(Skills!AA12&lt;&gt;"",1+(Skills!AA12/10)*(U366/1000)/100,1)</f>
        <v/>
      </c>
      <c r="J375">
        <f>(Inputs!$B$5*(1+Inputs!$B$6/100))*(F375/100)</f>
        <v/>
      </c>
      <c r="K375">
        <f>J375*(1+((Inputs!$B$11*(1+Inputs!$B$12/100))*0.01+Inputs!$B$13*0.0025)/100)*(1+Inputs!$B$14/100)*(1+IF(Inputs!$B$4="pvp",0,(1-Summary!$B$55)*(Inputs!$B$19+((C390=TRUE)*(F390-Calc!F27))+Skills!P12+B404)+Summary!$B$55*(Inputs!$B$20+Skills!Q12+B404))/100)*(1+Inputs!$B$15/100)*(5000/(6000+Inputs!$B$7*(1-Inputs!$B$18/100)))*(1+(((((1+Inputs!$B$23/100)*(1.01))-1)*100)+((C393=TRUE)*(F393-Calc!F30)))/100)*(1+Skills!R12/100)*(1+(IF(Skills!A12="SHOWDOWN",Inputs!$B$16+((C386=TRUE)*(F386-Calc!F23)),Inputs!$B$17+((C392=TRUE)*(F392-Calc!F29))))/100)*(((1+(((C384=TRUE)*F384*IF(AND(Inputs!$B$4&lt;&gt;"pvp",Inputs!$B$35&gt;0),(((S384-1)*(Skills!Y21*(1+Inputs!$B$33/100))+MIN((Skills!Y21*(1+Inputs!$B$33/100)),MAX(0,Inputs!$B$35-((S384-1)*Skills!D21))))/Inputs!$B$35),IF(Inputs!$B$4="pvp",MIN((Skills!Y21*(1+Inputs!$B$33/100)),15)/15,(Skills!Y21*(1+Inputs!$B$33/100))/Skills!D21)))+((C391=TRUE)*(F391-Calc!F28))+((C381=TRUE)*(F381-Calc!F18)))/100)*(1+((C378=TRUE)*F378*IF(AND(Inputs!$B$4&lt;&gt;"pvp",Inputs!$B$35&gt;0),(((S378-1)*(Skills!Y15*(1+Inputs!$B$33/100))+MIN((Skills!Y15*(1+Inputs!$B$33/100)),MAX(0,Inputs!$B$35-((S378-1)*Skills!D15))))/Inputs!$B$35),IF(Inputs!$B$4="pvp",MIN((Skills!Y15*(1+Inputs!$B$33/100)),15)/15,(Skills!Y15*(1+Inputs!$B$33/100))/Skills!D15)))/100)*(1+((C369=TRUE)*F369*B397)/100))*B405*I375)</f>
        <v/>
      </c>
      <c r="L375">
        <f>K375*(MIN(Inputs!$B$21+((C387=TRUE)*(F387-Calc!F24)),Inputs!$B$22)/100+Inputs!$B$22/100)/2</f>
        <v/>
      </c>
      <c r="M375">
        <f>L375*(1+(Inputs!$B$9+((C389=TRUE)*(F389-Calc!F26))+B406)/100)</f>
        <v/>
      </c>
      <c r="N375">
        <f>L375*(1-MIN((Inputs!$B$8+((C388=TRUE)*(F388-Calc!F25))+B403),100)/100)+M375*(MIN((Inputs!$B$8+((C388=TRUE)*(F388-Calc!F25))+B403),100)/100)</f>
        <v/>
      </c>
      <c r="O375">
        <f>IF(C375,H375*N375*IF(AND(Inputs!$B$4&lt;&gt;"pvp",Inputs!$B$35&gt;0),((Skills!G12*((R375-1)*IF(Skills!H12&gt;0,Skills!I12/Skills!H12,1)+IF(Skills!H12&gt;0,MIN(Skills!I12,MAX(0,Inputs!$B$35-((R375-1)*IF(Inputs!$B$4="pvp",15,MAX(0.1,Skills!D12-IF(Skills!E12=TRUE,Inputs!$B$31,0))))))/Skills!H12,1)))/Inputs!$B$35),G375*Q375)*IF(Inputs!$B$4="pvp",1,(1-Summary!$B$55)*(1)+Summary!$B$55*(MIN(Skills!W12,Inputs!$B$37))),0)</f>
        <v/>
      </c>
      <c r="P375">
        <f>IF(B407=0,0,O375/B407)</f>
        <v/>
      </c>
      <c r="Q375">
        <f>IFERROR(1/IF(Inputs!$B$4="pvp",15,MAX(0.1,Skills!D12-IF(Skills!E12=TRUE,Inputs!$B$31,0))),0)</f>
        <v/>
      </c>
      <c r="R375">
        <f>IF(AND(Inputs!$B$4&lt;&gt;"pvp",Inputs!$B$35&gt;0),(INT(Inputs!$B$35/IF(Inputs!$B$4="pvp",15,MAX(0.1,Skills!D12-IF(Skills!E12=TRUE,Inputs!$B$31,0))))+1),0)</f>
        <v/>
      </c>
      <c r="S375">
        <f>IFERROR(O375/N375,0)</f>
        <v/>
      </c>
    </row>
    <row r="376">
      <c r="A376">
        <f>Skills!A13</f>
        <v/>
      </c>
      <c r="B376">
        <f>Skills!B13</f>
        <v/>
      </c>
      <c r="C376">
        <f>Inputs!$B$3&gt;=105</f>
        <v/>
      </c>
      <c r="D376">
        <f>IF(Skills!C13=1,60+Inputs!$B$24+Inputs!$B$28,IF(Skills!C13=2,90+Inputs!$B$25+Inputs!$B$28,IF(Skills!C13=3,120+Inputs!$B$26+Inputs!$B$28,MAX(0,(Inputs!$B$3-100)*3)+Inputs!$B$27+Inputs!$B$28)))</f>
        <v/>
      </c>
      <c r="E376">
        <f>INDEX(FactorTable!$B$2:$Y$301, MATCH(ROUND(MIN(300,MAX(1,D376)),0), FactorTable!$A$2:$A$301,0), Skills!M13+1)</f>
        <v/>
      </c>
      <c r="F376">
        <f>IF(Skills!N13=TRUE,(Skills!L13/10)*(E376/1000),Skills!L13/10)+Skills!O13</f>
        <v/>
      </c>
      <c r="G376">
        <f>Calc!G13</f>
        <v/>
      </c>
      <c r="H376">
        <f>Calc!H13</f>
        <v/>
      </c>
      <c r="I376">
        <f>IF(Skills!AA13&lt;&gt;"",1+(Skills!AA13/10)*(U366/1000)/100,1)</f>
        <v/>
      </c>
      <c r="J376">
        <f>(Inputs!$B$5*(1+Inputs!$B$6/100))*(F376/100)</f>
        <v/>
      </c>
      <c r="K376">
        <f>J376*(1+((Inputs!$B$11*(1+Inputs!$B$12/100))*0.01+Inputs!$B$13*0.0025)/100)*(1+Inputs!$B$14/100)*(1+IF(Inputs!$B$4="pvp",0,(1-Summary!$B$55)*(Inputs!$B$19+((C390=TRUE)*(F390-Calc!F27))+Skills!P13+B404)+Summary!$B$55*(Inputs!$B$20+Skills!Q13+B404))/100)*(1+Inputs!$B$15/100)*(5000/(6000+Inputs!$B$7*(1-Inputs!$B$18/100)))*(1+(((((1+Inputs!$B$23/100)*(1.01))-1)*100)+((C393=TRUE)*(F393-Calc!F30)))/100)*(1+Skills!R13/100)*(1+(IF(Skills!A13="SHOWDOWN",Inputs!$B$16+((C386=TRUE)*(F386-Calc!F23)),Inputs!$B$17+((C392=TRUE)*(F392-Calc!F29))))/100)*(((1+(((C384=TRUE)*F384*IF(AND(Inputs!$B$4&lt;&gt;"pvp",Inputs!$B$35&gt;0),(((S384-1)*(Skills!Y21*(1+Inputs!$B$33/100))+MIN((Skills!Y21*(1+Inputs!$B$33/100)),MAX(0,Inputs!$B$35-((S384-1)*Skills!D21))))/Inputs!$B$35),IF(Inputs!$B$4="pvp",MIN((Skills!Y21*(1+Inputs!$B$33/100)),15)/15,(Skills!Y21*(1+Inputs!$B$33/100))/Skills!D21)))+((C391=TRUE)*(F391-Calc!F28))+((C381=TRUE)*(F381-Calc!F18)))/100)*(1+((C378=TRUE)*F378*IF(AND(Inputs!$B$4&lt;&gt;"pvp",Inputs!$B$35&gt;0),(((S378-1)*(Skills!Y15*(1+Inputs!$B$33/100))+MIN((Skills!Y15*(1+Inputs!$B$33/100)),MAX(0,Inputs!$B$35-((S378-1)*Skills!D15))))/Inputs!$B$35),IF(Inputs!$B$4="pvp",MIN((Skills!Y15*(1+Inputs!$B$33/100)),15)/15,(Skills!Y15*(1+Inputs!$B$33/100))/Skills!D15)))/100)*(1+((C369=TRUE)*F369*B397)/100))*B405*I376)</f>
        <v/>
      </c>
      <c r="L376">
        <f>K376*(MIN(Inputs!$B$21+((C387=TRUE)*(F387-Calc!F24)),Inputs!$B$22)/100+Inputs!$B$22/100)/2</f>
        <v/>
      </c>
      <c r="M376">
        <f>L376*(1+(Inputs!$B$9+((C389=TRUE)*(F389-Calc!F26))+B406)/100)</f>
        <v/>
      </c>
      <c r="N376">
        <f>L376*(1-MIN((Inputs!$B$8+((C388=TRUE)*(F388-Calc!F25))+B403),100)/100)+M376*(MIN((Inputs!$B$8+((C388=TRUE)*(F388-Calc!F25))+B403),100)/100)</f>
        <v/>
      </c>
      <c r="O376">
        <f>IF(C376,H376*N376*IF(AND(Inputs!$B$4&lt;&gt;"pvp",Inputs!$B$35&gt;0),((Skills!G13*((R376-1)*IF(Skills!H13&gt;0,Skills!I13/Skills!H13,1)+IF(Skills!H13&gt;0,MIN(Skills!I13,MAX(0,Inputs!$B$35-((R376-1)*IF(Inputs!$B$4="pvp",15,MAX(0.1,Skills!D13-IF(Skills!E13=TRUE,Inputs!$B$31,0))))))/Skills!H13,1)))/Inputs!$B$35),G376*Q376)*IF(Inputs!$B$4="pvp",1,(1-Summary!$B$55)*(1)+Summary!$B$55*(MIN(Skills!W13,Inputs!$B$37))),0)</f>
        <v/>
      </c>
      <c r="P376">
        <f>IF(B407=0,0,O376/B407)</f>
        <v/>
      </c>
      <c r="Q376">
        <f>IFERROR(1/IF(Inputs!$B$4="pvp",15,MAX(0.1,Skills!D13-IF(Skills!E13=TRUE,Inputs!$B$31,0))),0)</f>
        <v/>
      </c>
      <c r="R376">
        <f>IF(AND(Inputs!$B$4&lt;&gt;"pvp",Inputs!$B$35&gt;0),(INT(Inputs!$B$35/IF(Inputs!$B$4="pvp",15,MAX(0.1,Skills!D13-IF(Skills!E13=TRUE,Inputs!$B$31,0))))+1),0)</f>
        <v/>
      </c>
      <c r="S376">
        <f>IFERROR(O376/N376,0)</f>
        <v/>
      </c>
    </row>
    <row r="377">
      <c r="A377">
        <f>Skills!A14</f>
        <v/>
      </c>
      <c r="B377">
        <f>Skills!B14</f>
        <v/>
      </c>
      <c r="C377">
        <f>Inputs!$B$3&gt;=105</f>
        <v/>
      </c>
      <c r="D377">
        <f>IF(Skills!C14=1,60+Inputs!$B$24+Inputs!$B$28,IF(Skills!C14=2,90+Inputs!$B$25+Inputs!$B$28,IF(Skills!C14=3,120+Inputs!$B$26+Inputs!$B$28,MAX(0,(Inputs!$B$3-100)*3)+Inputs!$B$27+Inputs!$B$28)))</f>
        <v/>
      </c>
      <c r="E377">
        <f>INDEX(FactorTable!$B$2:$Y$301, MATCH(ROUND(MIN(300,MAX(1,D377)),0), FactorTable!$A$2:$A$301,0), Skills!M14+1)</f>
        <v/>
      </c>
      <c r="F377">
        <f>IF(Skills!N14=TRUE,(Skills!L14/10)*(E377/1000),Skills!L14/10)+Skills!O14</f>
        <v/>
      </c>
      <c r="G377">
        <f>Calc!G14</f>
        <v/>
      </c>
      <c r="H377">
        <f>Calc!H14</f>
        <v/>
      </c>
      <c r="I377">
        <f>IF(Skills!AA14&lt;&gt;"",1+(Skills!AA14/10)*(U366/1000)/100,1)</f>
        <v/>
      </c>
      <c r="J377">
        <f>(Inputs!$B$5*(1+Inputs!$B$6/100))*(F377/100)</f>
        <v/>
      </c>
      <c r="K377">
        <f>J377*(1+((Inputs!$B$11*(1+Inputs!$B$12/100))*0.01+Inputs!$B$13*0.0025)/100)*(1+Inputs!$B$14/100)*(1+IF(Inputs!$B$4="pvp",0,(1-Summary!$B$55)*(Inputs!$B$19+((C390=TRUE)*(F390-Calc!F27))+Skills!P14+B404)+Summary!$B$55*(Inputs!$B$20+Skills!Q14+B404))/100)*(1+Inputs!$B$15/100)*(5000/(6000+Inputs!$B$7*(1-Inputs!$B$18/100)))*(1+(((((1+Inputs!$B$23/100)*(1.01))-1)*100)+((C393=TRUE)*(F393-Calc!F30)))/100)*(1+Skills!R14/100)*(1+(IF(Skills!A14="SHOWDOWN",Inputs!$B$16+((C386=TRUE)*(F386-Calc!F23)),Inputs!$B$17+((C392=TRUE)*(F392-Calc!F29))))/100)*(((1+(((C384=TRUE)*F384*IF(AND(Inputs!$B$4&lt;&gt;"pvp",Inputs!$B$35&gt;0),(((S384-1)*(Skills!Y21*(1+Inputs!$B$33/100))+MIN((Skills!Y21*(1+Inputs!$B$33/100)),MAX(0,Inputs!$B$35-((S384-1)*Skills!D21))))/Inputs!$B$35),IF(Inputs!$B$4="pvp",MIN((Skills!Y21*(1+Inputs!$B$33/100)),15)/15,(Skills!Y21*(1+Inputs!$B$33/100))/Skills!D21)))+((C391=TRUE)*(F391-Calc!F28))+((C381=TRUE)*(F381-Calc!F18)))/100)*(1+((C378=TRUE)*F378*IF(AND(Inputs!$B$4&lt;&gt;"pvp",Inputs!$B$35&gt;0),(((S378-1)*(Skills!Y15*(1+Inputs!$B$33/100))+MIN((Skills!Y15*(1+Inputs!$B$33/100)),MAX(0,Inputs!$B$35-((S378-1)*Skills!D15))))/Inputs!$B$35),IF(Inputs!$B$4="pvp",MIN((Skills!Y15*(1+Inputs!$B$33/100)),15)/15,(Skills!Y15*(1+Inputs!$B$33/100))/Skills!D15)))/100)*(1+((C369=TRUE)*F369*B397)/100))*B405*I377)</f>
        <v/>
      </c>
      <c r="L377">
        <f>K377*(MIN(Inputs!$B$21+((C387=TRUE)*(F387-Calc!F24)),Inputs!$B$22)/100+Inputs!$B$22/100)/2</f>
        <v/>
      </c>
      <c r="M377">
        <f>L377*(1+(Inputs!$B$9+((C389=TRUE)*(F389-Calc!F26))+B406)/100)</f>
        <v/>
      </c>
      <c r="N377">
        <f>L377*(1-MIN((Inputs!$B$8+((C388=TRUE)*(F388-Calc!F25))+B403),100)/100)+M377*(MIN((Inputs!$B$8+((C388=TRUE)*(F388-Calc!F25))+B403),100)/100)</f>
        <v/>
      </c>
      <c r="O377">
        <f>IF(C377,H377*N377*IF(AND(Inputs!$B$4&lt;&gt;"pvp",Inputs!$B$35&gt;0),((Skills!G14*((R377-1)*IF(Skills!H14&gt;0,Skills!I14/Skills!H14,1)+IF(Skills!H14&gt;0,MIN(Skills!I14,MAX(0,Inputs!$B$35-((R377-1)*IF(Inputs!$B$4="pvp",15,MAX(0.1,Skills!D14-IF(Skills!E14=TRUE,Inputs!$B$31,0))))))/Skills!H14,1)))/Inputs!$B$35),G377*Q377)*IF(Inputs!$B$4="pvp",1,(1-Summary!$B$55)*(1)+Summary!$B$55*(MIN(Skills!W14,Inputs!$B$37))),0)</f>
        <v/>
      </c>
      <c r="P377">
        <f>IF(B407=0,0,O377/B407)</f>
        <v/>
      </c>
      <c r="Q377">
        <f>IFERROR(1/IF(Inputs!$B$4="pvp",15,MAX(0.1,Skills!D14-IF(Skills!E14=TRUE,Inputs!$B$31,0))),0)</f>
        <v/>
      </c>
      <c r="R377">
        <f>IF(AND(Inputs!$B$4&lt;&gt;"pvp",Inputs!$B$35&gt;0),(INT(Inputs!$B$35/IF(Inputs!$B$4="pvp",15,MAX(0.1,Skills!D14-IF(Skills!E14=TRUE,Inputs!$B$31,0))))+1),0)</f>
        <v/>
      </c>
      <c r="S377">
        <f>IFERROR(O377/N377,0)</f>
        <v/>
      </c>
    </row>
    <row r="378">
      <c r="A378">
        <f>Skills!A15</f>
        <v/>
      </c>
      <c r="B378">
        <f>Skills!B15</f>
        <v/>
      </c>
      <c r="C378">
        <f>Inputs!$B$3&gt;=110</f>
        <v/>
      </c>
      <c r="D378">
        <f>IF(Skills!C15=1,60+Inputs!$B$24+Inputs!$B$28,IF(Skills!C15=2,90+Inputs!$B$25+Inputs!$B$28,IF(Skills!C15=3,120+Inputs!$B$26+Inputs!$B$28,MAX(0,(Inputs!$B$3-100)*3)+Inputs!$B$27+Inputs!$B$28)))</f>
        <v/>
      </c>
      <c r="E378">
        <f>INDEX(FactorTable!$B$2:$Y$301, MATCH(ROUND(MIN(300,MAX(1,D378)),0), FactorTable!$A$2:$A$301,0), Skills!M15+1)</f>
        <v/>
      </c>
      <c r="F378">
        <f>IF(Skills!N15=TRUE,(Skills!L15/10)*(E378/1000),Skills!L15/10)+Skills!O15</f>
        <v/>
      </c>
      <c r="G378">
        <f>Calc!G15</f>
        <v/>
      </c>
      <c r="H378">
        <f>Calc!H15</f>
        <v/>
      </c>
      <c r="I378">
        <f>IF(Skills!AA15&lt;&gt;"",1+(Skills!AA15/10)*(U366/1000)/100,1)</f>
        <v/>
      </c>
      <c r="J378" t="inlineStr"/>
      <c r="K378" t="inlineStr"/>
      <c r="L378" t="inlineStr"/>
      <c r="M378" t="inlineStr"/>
      <c r="N378" t="inlineStr"/>
      <c r="O378" t="n">
        <v>0</v>
      </c>
      <c r="P378">
        <f>IF(B407=0,0,O378/B407)</f>
        <v/>
      </c>
      <c r="Q378">
        <f>IFERROR(1/IF(Inputs!$B$4="pvp",15,MAX(0.1,Skills!D15-IF(Skills!E15=TRUE,Inputs!$B$31,0))),0)</f>
        <v/>
      </c>
      <c r="R378">
        <f>IF(AND(Inputs!$B$4&lt;&gt;"pvp",Inputs!$B$35&gt;0),(INT(Inputs!$B$35/IF(Inputs!$B$4="pvp",15,MAX(0.1,Skills!D15-IF(Skills!E15=TRUE,Inputs!$B$31,0))))+1),0)</f>
        <v/>
      </c>
      <c r="S378">
        <f>IFERROR(O378/N378,0)</f>
        <v/>
      </c>
    </row>
    <row r="379">
      <c r="A379">
        <f>Skills!A16</f>
        <v/>
      </c>
      <c r="B379">
        <f>Skills!B16</f>
        <v/>
      </c>
      <c r="C379">
        <f>Inputs!$B$3&gt;=110</f>
        <v/>
      </c>
      <c r="D379">
        <f>IF(Skills!C16=1,60+Inputs!$B$24+Inputs!$B$28,IF(Skills!C16=2,90+Inputs!$B$25+Inputs!$B$28,IF(Skills!C16=3,120+Inputs!$B$26+Inputs!$B$28,MAX(0,(Inputs!$B$3-100)*3)+Inputs!$B$27+Inputs!$B$28)))</f>
        <v/>
      </c>
      <c r="E379">
        <f>INDEX(FactorTable!$B$2:$Y$301, MATCH(ROUND(MIN(300,MAX(1,D379)),0), FactorTable!$A$2:$A$301,0), Skills!M16+1)</f>
        <v/>
      </c>
      <c r="F379">
        <f>IF(Skills!N16=TRUE,(Skills!L16/10)*(E379/1000),Skills!L16/10)+Skills!O16</f>
        <v/>
      </c>
      <c r="G379">
        <f>Calc!G16</f>
        <v/>
      </c>
      <c r="H379">
        <f>Calc!H16</f>
        <v/>
      </c>
      <c r="I379">
        <f>IF(Skills!AA16&lt;&gt;"",1+(Skills!AA16/10)*(U366/1000)/100,1)</f>
        <v/>
      </c>
      <c r="J379" t="inlineStr"/>
      <c r="K379" t="inlineStr"/>
      <c r="L379" t="inlineStr"/>
      <c r="M379" t="inlineStr"/>
      <c r="N379" t="inlineStr"/>
      <c r="O379" t="n">
        <v>0</v>
      </c>
      <c r="P379">
        <f>IF(B407=0,0,O379/B407)</f>
        <v/>
      </c>
      <c r="Q379">
        <f>IFERROR(1/IF(Inputs!$B$4="pvp",15,MAX(0.1,Skills!D16-IF(Skills!E16=TRUE,Inputs!$B$31,0))),0)</f>
        <v/>
      </c>
      <c r="R379">
        <f>IF(AND(Inputs!$B$4&lt;&gt;"pvp",Inputs!$B$35&gt;0),(INT(Inputs!$B$35/IF(Inputs!$B$4="pvp",15,MAX(0.1,Skills!D16-IF(Skills!E16=TRUE,Inputs!$B$31,0))))+1),0)</f>
        <v/>
      </c>
      <c r="S379">
        <f>IFERROR(O379/N379,0)</f>
        <v/>
      </c>
    </row>
    <row r="380">
      <c r="A380">
        <f>Skills!A17</f>
        <v/>
      </c>
      <c r="B380">
        <f>Skills!B17</f>
        <v/>
      </c>
      <c r="C380">
        <f>Inputs!$B$3&gt;=115</f>
        <v/>
      </c>
      <c r="D380">
        <f>IF(Skills!C17=1,60+Inputs!$B$24+Inputs!$B$28,IF(Skills!C17=2,90+Inputs!$B$25+Inputs!$B$28,IF(Skills!C17=3,120+Inputs!$B$26+Inputs!$B$28,MAX(0,(Inputs!$B$3-100)*3)+Inputs!$B$27+Inputs!$B$28)))</f>
        <v/>
      </c>
      <c r="E380">
        <f>INDEX(FactorTable!$B$2:$Y$301, MATCH(ROUND(MIN(300,MAX(1,D380)),0), FactorTable!$A$2:$A$301,0), Skills!M17+1)</f>
        <v/>
      </c>
      <c r="F380">
        <f>IF(Skills!N17=TRUE,(Skills!L17/10)*(E380/1000),Skills!L17/10)+Skills!O17</f>
        <v/>
      </c>
      <c r="G380">
        <f>Calc!G17</f>
        <v/>
      </c>
      <c r="H380">
        <f>Calc!H17</f>
        <v/>
      </c>
      <c r="I380">
        <f>IF(Skills!AA17&lt;&gt;"",1+(Skills!AA17/10)*(U366/1000)/100,1)</f>
        <v/>
      </c>
      <c r="J380">
        <f>(Inputs!$B$5*(1+Inputs!$B$6/100))*(F380/100)</f>
        <v/>
      </c>
      <c r="K380">
        <f>J380*(1+((Inputs!$B$11*(1+Inputs!$B$12/100))*0.01+Inputs!$B$13*0.0025)/100)*(1+Inputs!$B$14/100)*(1+IF(Inputs!$B$4="pvp",0,(1-Summary!$B$55)*(Inputs!$B$19+((C390=TRUE)*(F390-Calc!F27))+Skills!P17+B404)+Summary!$B$55*(Inputs!$B$20+Skills!Q17+B404))/100)*(1+Inputs!$B$15/100)*(5000/(6000+Inputs!$B$7*(1-Inputs!$B$18/100)))*(1+(((((1+Inputs!$B$23/100)*(1.01))-1)*100)+((C393=TRUE)*(F393-Calc!F30)))/100)*(1+Skills!R17/100)*(1+(IF(Skills!A17="SHOWDOWN",Inputs!$B$16+((C386=TRUE)*(F386-Calc!F23)),Inputs!$B$17+((C392=TRUE)*(F392-Calc!F29))))/100)*(((1+(((C384=TRUE)*F384*IF(AND(Inputs!$B$4&lt;&gt;"pvp",Inputs!$B$35&gt;0),(((S384-1)*(Skills!Y21*(1+Inputs!$B$33/100))+MIN((Skills!Y21*(1+Inputs!$B$33/100)),MAX(0,Inputs!$B$35-((S384-1)*Skills!D21))))/Inputs!$B$35),IF(Inputs!$B$4="pvp",MIN((Skills!Y21*(1+Inputs!$B$33/100)),15)/15,(Skills!Y21*(1+Inputs!$B$33/100))/Skills!D21)))+((C391=TRUE)*(F391-Calc!F28))+((C381=TRUE)*(F381-Calc!F18)))/100)*(1+((C378=TRUE)*F378*IF(AND(Inputs!$B$4&lt;&gt;"pvp",Inputs!$B$35&gt;0),(((S378-1)*(Skills!Y15*(1+Inputs!$B$33/100))+MIN((Skills!Y15*(1+Inputs!$B$33/100)),MAX(0,Inputs!$B$35-((S378-1)*Skills!D15))))/Inputs!$B$35),IF(Inputs!$B$4="pvp",MIN((Skills!Y15*(1+Inputs!$B$33/100)),15)/15,(Skills!Y15*(1+Inputs!$B$33/100))/Skills!D15)))/100)*(1+((C369=TRUE)*F369*B397)/100))*B405*I380)</f>
        <v/>
      </c>
      <c r="L380">
        <f>K380*(MIN(Inputs!$B$21+((C387=TRUE)*(F387-Calc!F24)),Inputs!$B$22)/100+Inputs!$B$22/100)/2</f>
        <v/>
      </c>
      <c r="M380">
        <f>L380*(1+(Inputs!$B$9+((C389=TRUE)*(F389-Calc!F26))+B406)/100)</f>
        <v/>
      </c>
      <c r="N380">
        <f>L380*(1-MIN((Inputs!$B$8+((C388=TRUE)*(F388-Calc!F25))+B403),100)/100)+M380*(MIN((Inputs!$B$8+((C388=TRUE)*(F388-Calc!F25))+B403),100)/100)</f>
        <v/>
      </c>
      <c r="O380">
        <f>IF(C380,Inputs!$B$38*0.2*N380,0)</f>
        <v/>
      </c>
      <c r="P380">
        <f>IF(B407=0,0,O380/B407)</f>
        <v/>
      </c>
      <c r="Q380" t="n">
        <v>0</v>
      </c>
      <c r="R380" t="n">
        <v>0</v>
      </c>
      <c r="S380">
        <f>IFERROR(O380/N380,0)</f>
        <v/>
      </c>
    </row>
    <row r="381">
      <c r="A381">
        <f>Skills!A18</f>
        <v/>
      </c>
      <c r="B381">
        <f>Skills!B18</f>
        <v/>
      </c>
      <c r="C381">
        <f>Inputs!$B$3&gt;=115</f>
        <v/>
      </c>
      <c r="D381">
        <f>IF(Skills!C18=1,60+Inputs!$B$24+Inputs!$B$28,IF(Skills!C18=2,90+Inputs!$B$25+Inputs!$B$28,IF(Skills!C18=3,120+Inputs!$B$26+Inputs!$B$28,MAX(0,(Inputs!$B$3-100)*3)+Inputs!$B$27+Inputs!$B$28)))</f>
        <v/>
      </c>
      <c r="E381">
        <f>INDEX(FactorTable!$B$2:$Y$301, MATCH(ROUND(MIN(300,MAX(1,D381)),0), FactorTable!$A$2:$A$301,0), Skills!M18+1)</f>
        <v/>
      </c>
      <c r="F381">
        <f>IF(Skills!N18=TRUE,(Skills!L18/10)*(E381/1000),Skills!L18/10)+Skills!O18</f>
        <v/>
      </c>
      <c r="G381">
        <f>Calc!G18</f>
        <v/>
      </c>
      <c r="H381">
        <f>Calc!H18</f>
        <v/>
      </c>
      <c r="I381">
        <f>IF(Skills!AA18&lt;&gt;"",1+(Skills!AA18/10)*(U366/1000)/100,1)</f>
        <v/>
      </c>
      <c r="J381" t="inlineStr"/>
      <c r="K381" t="inlineStr"/>
      <c r="L381" t="inlineStr"/>
      <c r="M381" t="inlineStr"/>
      <c r="N381" t="inlineStr"/>
      <c r="O381" t="n">
        <v>0</v>
      </c>
      <c r="P381">
        <f>IF(B407=0,0,O381/B407)</f>
        <v/>
      </c>
      <c r="Q381" t="n">
        <v>0</v>
      </c>
      <c r="R381" t="n">
        <v>0</v>
      </c>
      <c r="S381">
        <f>IFERROR(O381/N381,0)</f>
        <v/>
      </c>
    </row>
    <row r="382">
      <c r="A382">
        <f>Skills!A19</f>
        <v/>
      </c>
      <c r="B382">
        <f>Skills!B19</f>
        <v/>
      </c>
      <c r="C382">
        <f>TRUE</f>
        <v/>
      </c>
      <c r="D382">
        <f>IF(Skills!C19=1,60+Inputs!$B$24+Inputs!$B$28,IF(Skills!C19=2,90+Inputs!$B$25+Inputs!$B$28,IF(Skills!C19=3,120+Inputs!$B$26+Inputs!$B$28,MAX(0,(Inputs!$B$3-100)*3)+Inputs!$B$27+Inputs!$B$28)))</f>
        <v/>
      </c>
      <c r="E382">
        <f>INDEX(FactorTable!$B$2:$Y$301, MATCH(ROUND(MIN(300,MAX(1,D382)),0), FactorTable!$A$2:$A$301,0), Skills!M19+1)</f>
        <v/>
      </c>
      <c r="F382">
        <f>IF(Skills!N19=TRUE,(Skills!L19/10)*(E382/1000),Skills!L19/10)+Skills!O19</f>
        <v/>
      </c>
      <c r="G382">
        <f>Calc!G19</f>
        <v/>
      </c>
      <c r="H382">
        <f>Calc!H19</f>
        <v/>
      </c>
      <c r="I382">
        <f>IF(Skills!AA19&lt;&gt;"",1+(Skills!AA19/10)*(U366/1000)/100,1)</f>
        <v/>
      </c>
      <c r="J382" t="inlineStr"/>
      <c r="K382" t="inlineStr"/>
      <c r="L382" t="inlineStr"/>
      <c r="M382" t="inlineStr"/>
      <c r="N382" t="inlineStr"/>
      <c r="O382" t="n">
        <v>0</v>
      </c>
      <c r="P382">
        <f>IF(B407=0,0,O382/B407)</f>
        <v/>
      </c>
      <c r="Q382">
        <f>IFERROR(1/IF(Inputs!$B$4="pvp",15,MAX(0.1,Skills!D19-IF(Skills!E19=TRUE,Inputs!$B$31,0))),0)</f>
        <v/>
      </c>
      <c r="R382">
        <f>IF(AND(Inputs!$B$4&lt;&gt;"pvp",Inputs!$B$35&gt;0),(INT(Inputs!$B$35/IF(Inputs!$B$4="pvp",15,MAX(0.1,Skills!D19-IF(Skills!E19=TRUE,Inputs!$B$31,0))))+1),0)</f>
        <v/>
      </c>
      <c r="S382">
        <f>IFERROR(O382/N382,0)</f>
        <v/>
      </c>
    </row>
    <row r="383">
      <c r="A383">
        <f>Skills!A20</f>
        <v/>
      </c>
      <c r="B383">
        <f>Skills!B20</f>
        <v/>
      </c>
      <c r="C383">
        <f>Inputs!$B$3&gt;=15</f>
        <v/>
      </c>
      <c r="D383">
        <f>IF(Skills!C20=1,60+Inputs!$B$24+Inputs!$B$28,IF(Skills!C20=2,90+Inputs!$B$25+Inputs!$B$28,IF(Skills!C20=3,120+Inputs!$B$26+Inputs!$B$28,MAX(0,(Inputs!$B$3-100)*3)+Inputs!$B$27+Inputs!$B$28)))</f>
        <v/>
      </c>
      <c r="E383">
        <f>INDEX(FactorTable!$B$2:$Y$301, MATCH(ROUND(MIN(300,MAX(1,D383)),0), FactorTable!$A$2:$A$301,0), Skills!M20+1)</f>
        <v/>
      </c>
      <c r="F383">
        <f>IF(Skills!N20=TRUE,(Skills!L20/10)*(E383/1000),Skills!L20/10)+Skills!O20</f>
        <v/>
      </c>
      <c r="G383">
        <f>Calc!G20</f>
        <v/>
      </c>
      <c r="H383">
        <f>Calc!H20</f>
        <v/>
      </c>
      <c r="I383">
        <f>IF(Skills!AA20&lt;&gt;"",1+(Skills!AA20/10)*(U366/1000)/100,1)</f>
        <v/>
      </c>
      <c r="J383" t="inlineStr"/>
      <c r="K383" t="inlineStr"/>
      <c r="L383" t="inlineStr"/>
      <c r="M383" t="inlineStr"/>
      <c r="N383" t="inlineStr"/>
      <c r="O383" t="n">
        <v>0</v>
      </c>
      <c r="P383">
        <f>IF(B407=0,0,O383/B407)</f>
        <v/>
      </c>
      <c r="Q383">
        <f>IFERROR(1/IF(Inputs!$B$4="pvp",15,MAX(0.1,Skills!D20-IF(Skills!E20=TRUE,Inputs!$B$31,0))),0)</f>
        <v/>
      </c>
      <c r="R383">
        <f>IF(AND(Inputs!$B$4&lt;&gt;"pvp",Inputs!$B$35&gt;0),(INT(Inputs!$B$35/IF(Inputs!$B$4="pvp",15,MAX(0.1,Skills!D20-IF(Skills!E20=TRUE,Inputs!$B$31,0))))+1),0)</f>
        <v/>
      </c>
      <c r="S383">
        <f>IFERROR(O383/N383,0)</f>
        <v/>
      </c>
    </row>
    <row r="384">
      <c r="A384">
        <f>Skills!A21</f>
        <v/>
      </c>
      <c r="B384">
        <f>Skills!B21</f>
        <v/>
      </c>
      <c r="C384">
        <f>Inputs!$B$3&gt;=15</f>
        <v/>
      </c>
      <c r="D384">
        <f>IF(Skills!C21=1,60+Inputs!$B$24+Inputs!$B$28,IF(Skills!C21=2,90+Inputs!$B$25+Inputs!$B$28,IF(Skills!C21=3,120+Inputs!$B$26+Inputs!$B$28,MAX(0,(Inputs!$B$3-100)*3)+Inputs!$B$27+Inputs!$B$28)))</f>
        <v/>
      </c>
      <c r="E384">
        <f>INDEX(FactorTable!$B$2:$Y$301, MATCH(ROUND(MIN(300,MAX(1,D384)),0), FactorTable!$A$2:$A$301,0), Skills!M21+1)</f>
        <v/>
      </c>
      <c r="F384">
        <f>IF(Skills!N21=TRUE,(Skills!L21/10)*(E384/1000),Skills!L21/10)+Skills!O21</f>
        <v/>
      </c>
      <c r="G384">
        <f>Calc!G21</f>
        <v/>
      </c>
      <c r="H384">
        <f>Calc!H21</f>
        <v/>
      </c>
      <c r="I384">
        <f>IF(Skills!AA21&lt;&gt;"",1+(Skills!AA21/10)*(U366/1000)/100,1)</f>
        <v/>
      </c>
      <c r="J384" t="inlineStr"/>
      <c r="K384" t="inlineStr"/>
      <c r="L384" t="inlineStr"/>
      <c r="M384" t="inlineStr"/>
      <c r="N384" t="inlineStr"/>
      <c r="O384" t="n">
        <v>0</v>
      </c>
      <c r="P384">
        <f>IF(B407=0,0,O384/B407)</f>
        <v/>
      </c>
      <c r="Q384">
        <f>IFERROR(1/IF(Inputs!$B$4="pvp",15,MAX(0.1,Skills!D21-IF(Skills!E21=TRUE,Inputs!$B$31,0))),0)</f>
        <v/>
      </c>
      <c r="R384">
        <f>IF(AND(Inputs!$B$4&lt;&gt;"pvp",Inputs!$B$35&gt;0),(INT(Inputs!$B$35/IF(Inputs!$B$4="pvp",15,MAX(0.1,Skills!D21-IF(Skills!E21=TRUE,Inputs!$B$31,0))))+1),0)</f>
        <v/>
      </c>
      <c r="S384">
        <f>IFERROR(O384/N384,0)</f>
        <v/>
      </c>
    </row>
    <row r="385">
      <c r="A385">
        <f>Skills!A22</f>
        <v/>
      </c>
      <c r="B385">
        <f>Skills!B22</f>
        <v/>
      </c>
      <c r="C385">
        <f>Inputs!$B$3&gt;=33</f>
        <v/>
      </c>
      <c r="D385">
        <f>IF(Skills!C22=1,60+Inputs!$B$24+Inputs!$B$28,IF(Skills!C22=2,90+Inputs!$B$25+Inputs!$B$28,IF(Skills!C22=3,120+Inputs!$B$26+Inputs!$B$28,MAX(0,(Inputs!$B$3-100)*3)+Inputs!$B$27+Inputs!$B$28)))</f>
        <v/>
      </c>
      <c r="E385">
        <f>INDEX(FactorTable!$B$2:$Y$301, MATCH(ROUND(MIN(300,MAX(1,D385)),0), FactorTable!$A$2:$A$301,0), Skills!M22+1)</f>
        <v/>
      </c>
      <c r="F385">
        <f>IF(Skills!N22=TRUE,(Skills!L22/10)*(E385/1000),Skills!L22/10)+Skills!O22</f>
        <v/>
      </c>
      <c r="G385">
        <f>Calc!G22</f>
        <v/>
      </c>
      <c r="H385">
        <f>Calc!H22</f>
        <v/>
      </c>
      <c r="I385">
        <f>IF(Skills!AA22&lt;&gt;"",1+(Skills!AA22/10)*(U366/1000)/100,1)</f>
        <v/>
      </c>
      <c r="J385" t="inlineStr"/>
      <c r="K385" t="inlineStr"/>
      <c r="L385" t="inlineStr"/>
      <c r="M385" t="inlineStr"/>
      <c r="N385" t="inlineStr"/>
      <c r="O385" t="n">
        <v>0</v>
      </c>
      <c r="P385">
        <f>IF(B407=0,0,O385/B407)</f>
        <v/>
      </c>
      <c r="Q385" t="n">
        <v>0</v>
      </c>
      <c r="R385" t="n">
        <v>0</v>
      </c>
      <c r="S385">
        <f>IFERROR(O385/N385,0)</f>
        <v/>
      </c>
    </row>
    <row r="386">
      <c r="A386">
        <f>Skills!A23</f>
        <v/>
      </c>
      <c r="B386">
        <f>Skills!B23</f>
        <v/>
      </c>
      <c r="C386">
        <f>Inputs!$B$3&gt;=38</f>
        <v/>
      </c>
      <c r="D386">
        <f>IF(Skills!C23=1,60+Inputs!$B$24+Inputs!$B$28,IF(Skills!C23=2,90+Inputs!$B$25+Inputs!$B$28,IF(Skills!C23=3,120+Inputs!$B$26+Inputs!$B$28,MAX(0,(Inputs!$B$3-100)*3)+Inputs!$B$27+Inputs!$B$28)))</f>
        <v/>
      </c>
      <c r="E386">
        <f>INDEX(FactorTable!$B$2:$Y$301, MATCH(ROUND(MIN(300,MAX(1,D386)),0), FactorTable!$A$2:$A$301,0), Skills!M23+1)</f>
        <v/>
      </c>
      <c r="F386">
        <f>IF(Skills!N23=TRUE,(Skills!L23/10)*(E386/1000),Skills!L23/10)+Skills!O23</f>
        <v/>
      </c>
      <c r="G386">
        <f>Calc!G23</f>
        <v/>
      </c>
      <c r="H386">
        <f>Calc!H23</f>
        <v/>
      </c>
      <c r="I386">
        <f>IF(Skills!AA23&lt;&gt;"",1+(Skills!AA23/10)*(U366/1000)/100,1)</f>
        <v/>
      </c>
      <c r="J386" t="inlineStr"/>
      <c r="K386" t="inlineStr"/>
      <c r="L386" t="inlineStr"/>
      <c r="M386" t="inlineStr"/>
      <c r="N386" t="inlineStr"/>
      <c r="O386" t="n">
        <v>0</v>
      </c>
      <c r="P386">
        <f>IF(B407=0,0,O386/B407)</f>
        <v/>
      </c>
      <c r="Q386" t="n">
        <v>0</v>
      </c>
      <c r="R386" t="n">
        <v>0</v>
      </c>
      <c r="S386">
        <f>IFERROR(O386/N386,0)</f>
        <v/>
      </c>
    </row>
    <row r="387">
      <c r="A387">
        <f>Skills!A24</f>
        <v/>
      </c>
      <c r="B387">
        <f>Skills!B24</f>
        <v/>
      </c>
      <c r="C387">
        <f>Inputs!$B$3&gt;=40</f>
        <v/>
      </c>
      <c r="D387">
        <f>IF(Skills!C24=1,60+Inputs!$B$24+Inputs!$B$28,IF(Skills!C24=2,90+Inputs!$B$25+Inputs!$B$28,IF(Skills!C24=3,120+Inputs!$B$26+Inputs!$B$28,MAX(0,(Inputs!$B$3-100)*3)+Inputs!$B$27+Inputs!$B$28)))</f>
        <v/>
      </c>
      <c r="E387">
        <f>INDEX(FactorTable!$B$2:$Y$301, MATCH(ROUND(MIN(300,MAX(1,D387)),0), FactorTable!$A$2:$A$301,0), Skills!M24+1)</f>
        <v/>
      </c>
      <c r="F387">
        <f>IF(Skills!N24=TRUE,(Skills!L24/10)*(E387/1000),Skills!L24/10)+Skills!O24</f>
        <v/>
      </c>
      <c r="G387">
        <f>Calc!G24</f>
        <v/>
      </c>
      <c r="H387">
        <f>Calc!H24</f>
        <v/>
      </c>
      <c r="I387">
        <f>IF(Skills!AA24&lt;&gt;"",1+(Skills!AA24/10)*(U366/1000)/100,1)</f>
        <v/>
      </c>
      <c r="J387" t="inlineStr"/>
      <c r="K387" t="inlineStr"/>
      <c r="L387" t="inlineStr"/>
      <c r="M387" t="inlineStr"/>
      <c r="N387" t="inlineStr"/>
      <c r="O387" t="n">
        <v>0</v>
      </c>
      <c r="P387">
        <f>IF(B407=0,0,O387/B407)</f>
        <v/>
      </c>
      <c r="Q387" t="n">
        <v>0</v>
      </c>
      <c r="R387" t="n">
        <v>0</v>
      </c>
      <c r="S387">
        <f>IFERROR(O387/N387,0)</f>
        <v/>
      </c>
    </row>
    <row r="388">
      <c r="A388">
        <f>Skills!A25</f>
        <v/>
      </c>
      <c r="B388">
        <f>Skills!B25</f>
        <v/>
      </c>
      <c r="C388">
        <f>Inputs!$B$3&gt;=45</f>
        <v/>
      </c>
      <c r="D388">
        <f>IF(Skills!C25=1,60+Inputs!$B$24+Inputs!$B$28,IF(Skills!C25=2,90+Inputs!$B$25+Inputs!$B$28,IF(Skills!C25=3,120+Inputs!$B$26+Inputs!$B$28,MAX(0,(Inputs!$B$3-100)*3)+Inputs!$B$27+Inputs!$B$28)))</f>
        <v/>
      </c>
      <c r="E388">
        <f>INDEX(FactorTable!$B$2:$Y$301, MATCH(ROUND(MIN(300,MAX(1,D388)),0), FactorTable!$A$2:$A$301,0), Skills!M25+1)</f>
        <v/>
      </c>
      <c r="F388">
        <f>IF(Skills!N25=TRUE,(Skills!L25/10)*(E388/1000),Skills!L25/10)+Skills!O25</f>
        <v/>
      </c>
      <c r="G388">
        <f>Calc!G25</f>
        <v/>
      </c>
      <c r="H388">
        <f>Calc!H25</f>
        <v/>
      </c>
      <c r="I388">
        <f>IF(Skills!AA25&lt;&gt;"",1+(Skills!AA25/10)*(U366/1000)/100,1)</f>
        <v/>
      </c>
      <c r="J388" t="inlineStr"/>
      <c r="K388" t="inlineStr"/>
      <c r="L388" t="inlineStr"/>
      <c r="M388" t="inlineStr"/>
      <c r="N388" t="inlineStr"/>
      <c r="O388" t="n">
        <v>0</v>
      </c>
      <c r="P388">
        <f>IF(B407=0,0,O388/B407)</f>
        <v/>
      </c>
      <c r="Q388" t="n">
        <v>0</v>
      </c>
      <c r="R388" t="n">
        <v>0</v>
      </c>
      <c r="S388">
        <f>IFERROR(O388/N388,0)</f>
        <v/>
      </c>
    </row>
    <row r="389">
      <c r="A389">
        <f>Skills!A26</f>
        <v/>
      </c>
      <c r="B389">
        <f>Skills!B26</f>
        <v/>
      </c>
      <c r="C389">
        <f>Inputs!$B$3&gt;=45</f>
        <v/>
      </c>
      <c r="D389">
        <f>IF(Skills!C26=1,60+Inputs!$B$24+Inputs!$B$28,IF(Skills!C26=2,90+Inputs!$B$25+Inputs!$B$28,IF(Skills!C26=3,120+Inputs!$B$26+Inputs!$B$28,MAX(0,(Inputs!$B$3-100)*3)+Inputs!$B$27+Inputs!$B$28)))</f>
        <v/>
      </c>
      <c r="E389">
        <f>INDEX(FactorTable!$B$2:$Y$301, MATCH(ROUND(MIN(300,MAX(1,D389)),0), FactorTable!$A$2:$A$301,0), Skills!M26+1)</f>
        <v/>
      </c>
      <c r="F389">
        <f>IF(Skills!N26=TRUE,(Skills!L26/10)*(E389/1000),Skills!L26/10)+Skills!O26</f>
        <v/>
      </c>
      <c r="G389">
        <f>Calc!G26</f>
        <v/>
      </c>
      <c r="H389">
        <f>Calc!H26</f>
        <v/>
      </c>
      <c r="I389">
        <f>IF(Skills!AA26&lt;&gt;"",1+(Skills!AA26/10)*(U366/1000)/100,1)</f>
        <v/>
      </c>
      <c r="J389" t="inlineStr"/>
      <c r="K389" t="inlineStr"/>
      <c r="L389" t="inlineStr"/>
      <c r="M389" t="inlineStr"/>
      <c r="N389" t="inlineStr"/>
      <c r="O389" t="n">
        <v>0</v>
      </c>
      <c r="P389">
        <f>IF(B407=0,0,O389/B407)</f>
        <v/>
      </c>
      <c r="Q389" t="n">
        <v>0</v>
      </c>
      <c r="R389" t="n">
        <v>0</v>
      </c>
      <c r="S389">
        <f>IFERROR(O389/N389,0)</f>
        <v/>
      </c>
    </row>
    <row r="390">
      <c r="A390">
        <f>Skills!A27</f>
        <v/>
      </c>
      <c r="B390">
        <f>Skills!B27</f>
        <v/>
      </c>
      <c r="C390">
        <f>Inputs!$B$3&gt;=72</f>
        <v/>
      </c>
      <c r="D390">
        <f>IF(Skills!C27=1,60+Inputs!$B$24+Inputs!$B$28,IF(Skills!C27=2,90+Inputs!$B$25+Inputs!$B$28,IF(Skills!C27=3,120+Inputs!$B$26+Inputs!$B$28,MAX(0,(Inputs!$B$3-100)*3)+Inputs!$B$27+Inputs!$B$28)))</f>
        <v/>
      </c>
      <c r="E390">
        <f>INDEX(FactorTable!$B$2:$Y$301, MATCH(ROUND(MIN(300,MAX(1,D390)),0), FactorTable!$A$2:$A$301,0), Skills!M27+1)</f>
        <v/>
      </c>
      <c r="F390">
        <f>IF(Skills!N27=TRUE,(Skills!L27/10)*(E390/1000),Skills!L27/10)+Skills!O27</f>
        <v/>
      </c>
      <c r="G390">
        <f>Calc!G27</f>
        <v/>
      </c>
      <c r="H390">
        <f>Calc!H27</f>
        <v/>
      </c>
      <c r="I390">
        <f>IF(Skills!AA27&lt;&gt;"",1+(Skills!AA27/10)*(U366/1000)/100,1)</f>
        <v/>
      </c>
      <c r="J390" t="inlineStr"/>
      <c r="K390" t="inlineStr"/>
      <c r="L390" t="inlineStr"/>
      <c r="M390" t="inlineStr"/>
      <c r="N390" t="inlineStr"/>
      <c r="O390" t="n">
        <v>0</v>
      </c>
      <c r="P390">
        <f>IF(B407=0,0,O390/B407)</f>
        <v/>
      </c>
      <c r="Q390" t="n">
        <v>0</v>
      </c>
      <c r="R390" t="n">
        <v>0</v>
      </c>
      <c r="S390">
        <f>IFERROR(O390/N390,0)</f>
        <v/>
      </c>
    </row>
    <row r="391">
      <c r="A391">
        <f>Skills!A28</f>
        <v/>
      </c>
      <c r="B391">
        <f>Skills!B28</f>
        <v/>
      </c>
      <c r="C391">
        <f>Inputs!$B$3&gt;=75</f>
        <v/>
      </c>
      <c r="D391">
        <f>IF(Skills!C28=1,60+Inputs!$B$24+Inputs!$B$28,IF(Skills!C28=2,90+Inputs!$B$25+Inputs!$B$28,IF(Skills!C28=3,120+Inputs!$B$26+Inputs!$B$28,MAX(0,(Inputs!$B$3-100)*3)+Inputs!$B$27+Inputs!$B$28)))</f>
        <v/>
      </c>
      <c r="E391">
        <f>INDEX(FactorTable!$B$2:$Y$301, MATCH(ROUND(MIN(300,MAX(1,D391)),0), FactorTable!$A$2:$A$301,0), Skills!M28+1)</f>
        <v/>
      </c>
      <c r="F391">
        <f>IF(Skills!N28=TRUE,(Skills!L28/10)*(E391/1000),Skills!L28/10)+Skills!O28</f>
        <v/>
      </c>
      <c r="G391">
        <f>Calc!G28</f>
        <v/>
      </c>
      <c r="H391">
        <f>Calc!H28</f>
        <v/>
      </c>
      <c r="I391">
        <f>IF(Skills!AA28&lt;&gt;"",1+(Skills!AA28/10)*(U366/1000)/100,1)</f>
        <v/>
      </c>
      <c r="J391" t="inlineStr"/>
      <c r="K391" t="inlineStr"/>
      <c r="L391" t="inlineStr"/>
      <c r="M391" t="inlineStr"/>
      <c r="N391" t="inlineStr"/>
      <c r="O391" t="n">
        <v>0</v>
      </c>
      <c r="P391">
        <f>IF(B407=0,0,O391/B407)</f>
        <v/>
      </c>
      <c r="Q391" t="n">
        <v>0</v>
      </c>
      <c r="R391" t="n">
        <v>0</v>
      </c>
      <c r="S391">
        <f>IFERROR(O391/N391,0)</f>
        <v/>
      </c>
    </row>
    <row r="392">
      <c r="A392">
        <f>Skills!A29</f>
        <v/>
      </c>
      <c r="B392">
        <f>Skills!B29</f>
        <v/>
      </c>
      <c r="C392">
        <f>Inputs!$B$3&gt;=120</f>
        <v/>
      </c>
      <c r="D392">
        <f>IF(Skills!C29=1,60+Inputs!$B$24+Inputs!$B$28,IF(Skills!C29=2,90+Inputs!$B$25+Inputs!$B$28,IF(Skills!C29=3,120+Inputs!$B$26+Inputs!$B$28,MAX(0,(Inputs!$B$3-100)*3)+Inputs!$B$27+Inputs!$B$28)))</f>
        <v/>
      </c>
      <c r="E392">
        <f>INDEX(FactorTable!$B$2:$Y$301, MATCH(ROUND(MIN(300,MAX(1,D392)),0), FactorTable!$A$2:$A$301,0), Skills!M29+1)</f>
        <v/>
      </c>
      <c r="F392">
        <f>IF(Skills!N29=TRUE,(Skills!L29/10)*(E392/1000),Skills!L29/10)+Skills!O29</f>
        <v/>
      </c>
      <c r="G392">
        <f>Calc!G29</f>
        <v/>
      </c>
      <c r="H392">
        <f>Calc!H29</f>
        <v/>
      </c>
      <c r="I392">
        <f>IF(Skills!AA29&lt;&gt;"",1+(Skills!AA29/10)*(U366/1000)/100,1)</f>
        <v/>
      </c>
      <c r="J392" t="inlineStr"/>
      <c r="K392" t="inlineStr"/>
      <c r="L392" t="inlineStr"/>
      <c r="M392" t="inlineStr"/>
      <c r="N392" t="inlineStr"/>
      <c r="O392" t="n">
        <v>0</v>
      </c>
      <c r="P392">
        <f>IF(B407=0,0,O392/B407)</f>
        <v/>
      </c>
      <c r="Q392" t="n">
        <v>0</v>
      </c>
      <c r="R392" t="n">
        <v>0</v>
      </c>
      <c r="S392">
        <f>IFERROR(O392/N392,0)</f>
        <v/>
      </c>
    </row>
    <row r="393">
      <c r="A393">
        <f>Skills!A30</f>
        <v/>
      </c>
      <c r="B393">
        <f>Skills!B30</f>
        <v/>
      </c>
      <c r="C393">
        <f>Inputs!$B$3&gt;=125</f>
        <v/>
      </c>
      <c r="D393">
        <f>IF(Skills!C30=1,60+Inputs!$B$24+Inputs!$B$28,IF(Skills!C30=2,90+Inputs!$B$25+Inputs!$B$28,IF(Skills!C30=3,120+Inputs!$B$26+Inputs!$B$28,MAX(0,(Inputs!$B$3-100)*3)+Inputs!$B$27+Inputs!$B$28)))</f>
        <v/>
      </c>
      <c r="E393">
        <f>INDEX(FactorTable!$B$2:$Y$301, MATCH(ROUND(MIN(300,MAX(1,D393)),0), FactorTable!$A$2:$A$301,0), Skills!M30+1)</f>
        <v/>
      </c>
      <c r="F393">
        <f>IF(Skills!N30=TRUE,(Skills!L30/10)*(E393/1000),Skills!L30/10)+Skills!O30</f>
        <v/>
      </c>
      <c r="G393">
        <f>Calc!G30</f>
        <v/>
      </c>
      <c r="H393">
        <f>Calc!H30</f>
        <v/>
      </c>
      <c r="I393">
        <f>IF(Skills!AA30&lt;&gt;"",1+(Skills!AA30/10)*(U366/1000)/100,1)</f>
        <v/>
      </c>
      <c r="J393" t="inlineStr"/>
      <c r="K393" t="inlineStr"/>
      <c r="L393" t="inlineStr"/>
      <c r="M393" t="inlineStr"/>
      <c r="N393" t="inlineStr"/>
      <c r="O393" t="n">
        <v>0</v>
      </c>
      <c r="P393">
        <f>IF(B407=0,0,O393/B407)</f>
        <v/>
      </c>
      <c r="Q393" t="n">
        <v>0</v>
      </c>
      <c r="R393" t="n">
        <v>0</v>
      </c>
      <c r="S393">
        <f>IFERROR(O393/N393,0)</f>
        <v/>
      </c>
    </row>
    <row r="394">
      <c r="A394">
        <f>Skills!A31</f>
        <v/>
      </c>
      <c r="B394">
        <f>Skills!B31</f>
        <v/>
      </c>
      <c r="C394">
        <f>Inputs!$B$3&gt;=107</f>
        <v/>
      </c>
      <c r="D394">
        <f>IF(Skills!C31=1,60+Inputs!$B$24+Inputs!$B$28,IF(Skills!C31=2,90+Inputs!$B$25+Inputs!$B$28,IF(Skills!C31=3,120+Inputs!$B$26+Inputs!$B$28,MAX(0,(Inputs!$B$3-100)*3)+Inputs!$B$27+Inputs!$B$28)))</f>
        <v/>
      </c>
      <c r="E394">
        <f>INDEX(FactorTable!$B$2:$Y$301, MATCH(ROUND(MIN(300,MAX(1,D394)),0), FactorTable!$A$2:$A$301,0), Skills!M31+1)</f>
        <v/>
      </c>
      <c r="F394">
        <f>IF(Skills!N31=TRUE,(Skills!L31/10)*(E394/1000),Skills!L31/10)+Skills!O31</f>
        <v/>
      </c>
      <c r="G394">
        <f>Calc!G31</f>
        <v/>
      </c>
      <c r="H394">
        <f>Calc!H31</f>
        <v/>
      </c>
      <c r="I394">
        <f>IF(Skills!AA31&lt;&gt;"",1+(Skills!AA31/10)*(U366/1000)/100,1)</f>
        <v/>
      </c>
      <c r="J394" t="inlineStr"/>
      <c r="K394" t="inlineStr"/>
      <c r="L394" t="inlineStr"/>
      <c r="M394" t="inlineStr"/>
      <c r="N394" t="inlineStr"/>
      <c r="O394" t="n">
        <v>0</v>
      </c>
      <c r="P394">
        <f>IF(B407=0,0,O394/B407)</f>
        <v/>
      </c>
      <c r="Q394" t="n">
        <v>0</v>
      </c>
      <c r="R394" t="n">
        <v>0</v>
      </c>
      <c r="S394">
        <f>IFERROR(O394/N394,0)</f>
        <v/>
      </c>
    </row>
    <row r="396">
      <c r="A396" t="inlineStr">
        <is>
          <t>Actions Per Second (pre-Adrenalin)</t>
        </is>
      </c>
      <c r="B396">
        <f>1+MIN(150,150*(1-(1-(Inputs!$B$10+((C385=TRUE)*(F385-Calc!F22)))/150)*(1-((C382=TRUE)*F382*IF(AND(Inputs!$B$4&lt;&gt;"pvp",Inputs!$B$35&gt;0),(((S382-1)*(Skills!Y19*(1+Inputs!$B$33/100))+MIN((Skills!Y19*(1+Inputs!$B$33/100)),MAX(0,Inputs!$B$35-((S382-1)*Skills!D19))))/Inputs!$B$35),IF(Inputs!$B$4="pvp",MIN((Skills!Y19*(1+Inputs!$B$33/100)),15)/15,(Skills!Y19*(1+Inputs!$B$33/100))/Skills!D19)))/150)))/100</f>
        <v/>
      </c>
    </row>
    <row r="397">
      <c r="A397" t="inlineStr">
        <is>
          <t>Alchemic Adrenaline Uptime</t>
        </is>
      </c>
      <c r="B397">
        <f>(Skills!Y6*(1+Inputs!$B$33/100))/((Skills!Y6*(1+Inputs!$B$33/100))+(5/B396))</f>
        <v/>
      </c>
    </row>
    <row r="398">
      <c r="A398" t="inlineStr">
        <is>
          <t>Attack Speed Buff Bonus %</t>
        </is>
      </c>
      <c r="B398">
        <f>((C382=TRUE)*F382*IF(AND(Inputs!$B$4&lt;&gt;"pvp",Inputs!$B$35&gt;0),(((S382-1)*(Skills!Y19*(1+Inputs!$B$33/100))+MIN((Skills!Y19*(1+Inputs!$B$33/100)),MAX(0,Inputs!$B$35-((S382-1)*Skills!D19))))/Inputs!$B$35),IF(Inputs!$B$4="pvp",MIN((Skills!Y19*(1+Inputs!$B$33/100)),15)/15,(Skills!Y19*(1+Inputs!$B$33/100))/Skills!D19)))+((C370=TRUE)*F370*B397)</f>
        <v/>
      </c>
    </row>
    <row r="399">
      <c r="A399" t="inlineStr">
        <is>
          <t>Actions Per Second (final)</t>
        </is>
      </c>
      <c r="B399">
        <f>1+MIN(150,150*(1-(1-(Inputs!$B$10+((C385=TRUE)*(F385-Calc!F22)))/150)*(1-B398/150)))/100</f>
        <v/>
      </c>
    </row>
    <row r="400">
      <c r="A400" t="inlineStr">
        <is>
          <t>Skill + Buff Cast Rate</t>
        </is>
      </c>
      <c r="B400">
        <f>IF(AND(Inputs!$B$4&lt;&gt;"pvp",Inputs!$B$35&gt;0),SUMPRODUCT((Skills!E2:E31=TRUE)*(C365:C394=TRUE)*R365:R394*Skills!F2:F31)/Inputs!$B$35,SUMPRODUCT((Skills!E2:E31=TRUE)*(C365:C394=TRUE)*Q365:Q394*Skills!F2:F31))</f>
        <v/>
      </c>
    </row>
    <row r="401">
      <c r="A401" t="inlineStr">
        <is>
          <t>Showdown Casts Per Second</t>
        </is>
      </c>
      <c r="B401">
        <f>MAX(0,B399-B400)</f>
        <v/>
      </c>
    </row>
    <row r="402">
      <c r="A402" t="inlineStr">
        <is>
          <t>Average Buff Multiplier</t>
        </is>
      </c>
      <c r="B402">
        <f>(1+(((C384=TRUE)*F384*IF(AND(Inputs!$B$4&lt;&gt;"pvp",Inputs!$B$35&gt;0),(((S384-1)*(Skills!Y21*(1+Inputs!$B$33/100))+MIN((Skills!Y21*(1+Inputs!$B$33/100)),MAX(0,Inputs!$B$35-((S384-1)*Skills!D21))))/Inputs!$B$35),IF(Inputs!$B$4="pvp",MIN((Skills!Y21*(1+Inputs!$B$33/100)),15)/15,(Skills!Y21*(1+Inputs!$B$33/100))/Skills!D21)))+((C391=TRUE)*(F391-Calc!F28))+((C381=TRUE)*(F381-Calc!F18)))/100)*(1+((C378=TRUE)*F378*IF(AND(Inputs!$B$4&lt;&gt;"pvp",Inputs!$B$35&gt;0),(((S378-1)*(Skills!Y15*(1+Inputs!$B$33/100))+MIN((Skills!Y15*(1+Inputs!$B$33/100)),MAX(0,Inputs!$B$35-((S378-1)*Skills!D15))))/Inputs!$B$35),IF(Inputs!$B$4="pvp",MIN((Skills!Y15*(1+Inputs!$B$33/100)),15)/15,(Skills!Y15*(1+Inputs!$B$33/100))/Skills!D15)))/100)*(1+((C369=TRUE)*F369*B397)/100)</f>
        <v/>
      </c>
    </row>
    <row r="403">
      <c r="A403" t="inlineStr">
        <is>
          <t>Global Crit Rate Bonus %</t>
        </is>
      </c>
      <c r="B403">
        <f>IF(Inputs!$B$3&gt;=47,8,0)+((C383=TRUE)*F383*IF(AND(Inputs!$B$4&lt;&gt;"pvp",Inputs!$B$35&gt;0),(((S383-1)*(Skills!Y20*(1+Inputs!$B$33/100))+MIN((Skills!Y20*(1+Inputs!$B$33/100)),MAX(0,Inputs!$B$35-((S383-1)*Skills!D20))))/Inputs!$B$35),IF(Inputs!$B$4="pvp",MIN((Skills!Y20*(1+Inputs!$B$33/100)),15)/15,(Skills!Y20*(1+Inputs!$B$33/100))/Skills!D20)))</f>
        <v/>
      </c>
    </row>
    <row r="404">
      <c r="A404" t="inlineStr">
        <is>
          <t>Global Monster Damage-Taken Bonus %</t>
        </is>
      </c>
      <c r="B404">
        <f>IF(Inputs!$B$3&gt;=82,15,0)+((C379=TRUE)*F379*IF(AND(Inputs!$B$4&lt;&gt;"pvp",Inputs!$B$35&gt;0),(((S379-1)*(Skills!Y16*(1+Inputs!$B$33/100))+MIN((Skills!Y16*(1+Inputs!$B$33/100)),MAX(0,Inputs!$B$35-((S379-1)*Skills!D16))))/Inputs!$B$35),IF(Inputs!$B$4="pvp",MIN((Skills!Y16*(1+Inputs!$B$33/100)),15)/15,(Skills!Y16*(1+Inputs!$B$33/100))/Skills!D16)))</f>
        <v/>
      </c>
    </row>
    <row r="405">
      <c r="A405" t="inlineStr">
        <is>
          <t>Shadow Partner Average Multiplier</t>
        </is>
      </c>
      <c r="B405">
        <f>1+((C374=TRUE)*F374*I374*Skills!J11/100)/100</f>
        <v/>
      </c>
    </row>
    <row r="406">
      <c r="A406" t="inlineStr">
        <is>
          <t>Global Critical Damage Bonus % (Frailty Curse Mastery Lv.111)</t>
        </is>
      </c>
      <c r="B406">
        <f>IF(Inputs!$B$3&gt;=111,30,0)*IF(AND(Inputs!$B$4&lt;&gt;"pvp",Inputs!$B$35&gt;0),(((S379-1)*(Skills!Y16*(1+Inputs!$B$33/100))+MIN((Skills!Y16*(1+Inputs!$B$33/100)),MAX(0,Inputs!$B$35-((S379-1)*Skills!D16))))/Inputs!$B$35),IF(Inputs!$B$4="pvp",MIN((Skills!Y16*(1+Inputs!$B$33/100)),15)/15,(Skills!Y16*(1+Inputs!$B$33/100))/Skills!D16))</f>
        <v/>
      </c>
    </row>
    <row r="407">
      <c r="A407" s="5" t="inlineStr">
        <is>
          <t>TOTAL DPS</t>
        </is>
      </c>
      <c r="B407" s="5">
        <f>SUM(O365:O394)</f>
        <v/>
      </c>
    </row>
    <row r="410">
      <c r="A410" s="5" t="inlineStr">
        <is>
          <t>Stat: MIN_DAMAGE %</t>
        </is>
      </c>
    </row>
    <row r="411">
      <c r="A411" s="8" t="inlineStr">
        <is>
          <t>Key</t>
        </is>
      </c>
      <c r="B411" s="8" t="inlineStr">
        <is>
          <t>Name</t>
        </is>
      </c>
      <c r="C411" s="8" t="inlineStr">
        <is>
          <t>Unlocked</t>
        </is>
      </c>
      <c r="D411" s="8" t="inlineStr">
        <is>
          <t>InputLevel</t>
        </is>
      </c>
      <c r="E411" s="8" t="inlineStr">
        <is>
          <t>Factor</t>
        </is>
      </c>
      <c r="F411" s="8" t="inlineStr">
        <is>
          <t>CoefficientPercent</t>
        </is>
      </c>
      <c r="G411" s="8" t="inlineStr">
        <is>
          <t>EffectiveHits</t>
        </is>
      </c>
      <c r="H411" s="8" t="inlineStr">
        <is>
          <t>ProcProbability</t>
        </is>
      </c>
      <c r="I411" s="8" t="inlineStr">
        <is>
          <t>MapleHeroMultiplier</t>
        </is>
      </c>
      <c r="J411" s="8" t="inlineStr">
        <is>
          <t>BaseDamage</t>
        </is>
      </c>
      <c r="K411" s="8" t="inlineStr">
        <is>
          <t>BaseHitDamage</t>
        </is>
      </c>
      <c r="L411" s="8" t="inlineStr">
        <is>
          <t>NonCritAvg</t>
        </is>
      </c>
      <c r="M411" s="8" t="inlineStr">
        <is>
          <t>CritAvg</t>
        </is>
      </c>
      <c r="N411" s="8" t="inlineStr">
        <is>
          <t>ExpectedDamage(perHit)</t>
        </is>
      </c>
      <c r="O411" s="8" t="inlineStr">
        <is>
          <t>DPS</t>
        </is>
      </c>
      <c r="P411" s="8" t="inlineStr">
        <is>
          <t>% of Total</t>
        </is>
      </c>
      <c r="Q411" s="8" t="inlineStr">
        <is>
          <t>InvCooldown</t>
        </is>
      </c>
      <c r="R411" s="8" t="inlineStr">
        <is>
          <t>CastsInFight</t>
        </is>
      </c>
      <c r="S411" s="8" t="inlineStr">
        <is>
          <t>HitRate(perSec)</t>
        </is>
      </c>
      <c r="U411" t="inlineStr">
        <is>
          <t>helpers</t>
        </is>
      </c>
    </row>
    <row r="412">
      <c r="A412">
        <f>Skills!A2</f>
        <v/>
      </c>
      <c r="B412">
        <f>Skills!B2</f>
        <v/>
      </c>
      <c r="C412">
        <f>Inputs!$B$3&gt;=100</f>
        <v/>
      </c>
      <c r="D412" t="inlineStr"/>
      <c r="E412" t="inlineStr"/>
      <c r="F412">
        <f>U416+Skills!O2</f>
        <v/>
      </c>
      <c r="G412">
        <f>Calc!G2</f>
        <v/>
      </c>
      <c r="H412">
        <f>Calc!H2</f>
        <v/>
      </c>
      <c r="I412">
        <f>IF(Skills!AA2&lt;&gt;"",1+(Skills!AA2/10)*(U413/1000)/100,1)</f>
        <v/>
      </c>
      <c r="J412">
        <f>(Inputs!$B$5*(1+Inputs!$B$6/100))*(F412/100)</f>
        <v/>
      </c>
      <c r="K412">
        <f>J412*(1+((Inputs!$B$11*(1+Inputs!$B$12/100))*0.01+Inputs!$B$13*0.0025)/100)*(1+Inputs!$B$14/100)*(1+IF(Inputs!$B$4="pvp",0,(1-Summary!$B$55)*(Inputs!$B$19+((C437=TRUE)*(F437-Calc!F27))+Skills!P2+B451)+Summary!$B$55*(Inputs!$B$20+Skills!Q2+B451))/100)*(1+Inputs!$B$15/100)*(5000/(6000+Inputs!$B$7*(1-Inputs!$B$18/100)))*(1+(Inputs!$B$23+((C440=TRUE)*(F440-Calc!F30)))/100)*(1+Skills!R2/100)*(1+(IF(Skills!A2="SHOWDOWN",Inputs!$B$16+((C433=TRUE)*(F433-Calc!F23)),Inputs!$B$17+((C439=TRUE)*(F439-Calc!F29))))/100)*(((1+(((C431=TRUE)*F431*IF(AND(Inputs!$B$4&lt;&gt;"pvp",Inputs!$B$35&gt;0),(((S431-1)*(Skills!Y21*(1+Inputs!$B$33/100))+MIN((Skills!Y21*(1+Inputs!$B$33/100)),MAX(0,Inputs!$B$35-((S431-1)*Skills!D21))))/Inputs!$B$35),IF(Inputs!$B$4="pvp",MIN((Skills!Y21*(1+Inputs!$B$33/100)),15)/15,(Skills!Y21*(1+Inputs!$B$33/100))/Skills!D21)))+((C438=TRUE)*(F438-Calc!F28))+((C428=TRUE)*(F428-Calc!F18)))/100)*(1+((C425=TRUE)*F425*IF(AND(Inputs!$B$4&lt;&gt;"pvp",Inputs!$B$35&gt;0),(((S425-1)*(Skills!Y15*(1+Inputs!$B$33/100))+MIN((Skills!Y15*(1+Inputs!$B$33/100)),MAX(0,Inputs!$B$35-((S425-1)*Skills!D15))))/Inputs!$B$35),IF(Inputs!$B$4="pvp",MIN((Skills!Y15*(1+Inputs!$B$33/100)),15)/15,(Skills!Y15*(1+Inputs!$B$33/100))/Skills!D15)))/100)*(1+((C416=TRUE)*F416*B444)/100))*B452*I412)</f>
        <v/>
      </c>
      <c r="L412">
        <f>K412*(MIN((Inputs!$B$21+1)+((C434=TRUE)*(F434-Calc!F24)),Inputs!$B$22)/100+Inputs!$B$22/100)/2</f>
        <v/>
      </c>
      <c r="M412">
        <f>L412*(1+(Inputs!$B$9+((C436=TRUE)*(F436-Calc!F26))+B453)/100)</f>
        <v/>
      </c>
      <c r="N412">
        <f>L412*(1-MIN((Inputs!$B$8+((C435=TRUE)*(F435-Calc!F25))+B450),100)/100)+M412*(MIN((Inputs!$B$8+((C435=TRUE)*(F435-Calc!F25))+B450),100)/100)</f>
        <v/>
      </c>
      <c r="O412">
        <f>IF(C412,Skills!G2*N412*B448*IF(Inputs!$B$4="pvp",1,(1-Summary!$B$55)*(1)+Summary!$B$55*(MIN((6+Inputs!$B$32),Inputs!$B$37))),0)</f>
        <v/>
      </c>
      <c r="P412">
        <f>IF(B454=0,0,O412/B454)</f>
        <v/>
      </c>
      <c r="Q412" t="n">
        <v>0</v>
      </c>
      <c r="R412" t="n">
        <v>0</v>
      </c>
      <c r="S412">
        <f>IFERROR(O412/N412,0)</f>
        <v/>
      </c>
      <c r="U412">
        <f>MAX(0,(Inputs!$B$3-100)*3)+Inputs!$B$27+Inputs!$B$28</f>
        <v/>
      </c>
    </row>
    <row r="413">
      <c r="A413">
        <f>Skills!A3</f>
        <v/>
      </c>
      <c r="B413">
        <f>Skills!B3</f>
        <v/>
      </c>
      <c r="C413">
        <f>Inputs!$B$3&gt;=35</f>
        <v/>
      </c>
      <c r="D413">
        <f>IF(Skills!C3=1,60+Inputs!$B$24+Inputs!$B$28,IF(Skills!C3=2,90+Inputs!$B$25+Inputs!$B$28,IF(Skills!C3=3,120+Inputs!$B$26+Inputs!$B$28,MAX(0,(Inputs!$B$3-100)*3)+Inputs!$B$27+Inputs!$B$28)))</f>
        <v/>
      </c>
      <c r="E413">
        <f>INDEX(FactorTable!$B$2:$Y$301, MATCH(ROUND(MIN(300,MAX(1,D413)),0), FactorTable!$A$2:$A$301,0), Skills!M3+1)</f>
        <v/>
      </c>
      <c r="F413">
        <f>IF(Skills!N3=TRUE,(Skills!L3/10)*(E413/1000),Skills!L3/10)+Skills!O3</f>
        <v/>
      </c>
      <c r="G413">
        <f>Calc!G3</f>
        <v/>
      </c>
      <c r="H413">
        <f>Calc!H3</f>
        <v/>
      </c>
      <c r="I413">
        <f>IF(Skills!AA3&lt;&gt;"",1+(Skills!AA3/10)*(U413/1000)/100,1)</f>
        <v/>
      </c>
      <c r="J413">
        <f>(Inputs!$B$5*(1+Inputs!$B$6/100))*(F413/100)</f>
        <v/>
      </c>
      <c r="K413">
        <f>J413*(1+((Inputs!$B$11*(1+Inputs!$B$12/100))*0.01+Inputs!$B$13*0.0025)/100)*(1+Inputs!$B$14/100)*(1+IF(Inputs!$B$4="pvp",0,(1-Summary!$B$55)*(Inputs!$B$19+((C437=TRUE)*(F437-Calc!F27))+Skills!P3+B451)+Summary!$B$55*(Inputs!$B$20+Skills!Q3+B451))/100)*(1+Inputs!$B$15/100)*(5000/(6000+Inputs!$B$7*(1-Inputs!$B$18/100)))*(1+(Inputs!$B$23+((C440=TRUE)*(F440-Calc!F30)))/100)*(1+Skills!R3/100)*(1+(IF(Skills!A3="SHOWDOWN",Inputs!$B$16+((C433=TRUE)*(F433-Calc!F23)),Inputs!$B$17+((C439=TRUE)*(F439-Calc!F29))))/100)*(((1+(((C431=TRUE)*F431*IF(AND(Inputs!$B$4&lt;&gt;"pvp",Inputs!$B$35&gt;0),(((S431-1)*(Skills!Y21*(1+Inputs!$B$33/100))+MIN((Skills!Y21*(1+Inputs!$B$33/100)),MAX(0,Inputs!$B$35-((S431-1)*Skills!D21))))/Inputs!$B$35),IF(Inputs!$B$4="pvp",MIN((Skills!Y21*(1+Inputs!$B$33/100)),15)/15,(Skills!Y21*(1+Inputs!$B$33/100))/Skills!D21)))+((C438=TRUE)*(F438-Calc!F28))+((C428=TRUE)*(F428-Calc!F18)))/100)*(1+((C425=TRUE)*F425*IF(AND(Inputs!$B$4&lt;&gt;"pvp",Inputs!$B$35&gt;0),(((S425-1)*(Skills!Y15*(1+Inputs!$B$33/100))+MIN((Skills!Y15*(1+Inputs!$B$33/100)),MAX(0,Inputs!$B$35-((S425-1)*Skills!D15))))/Inputs!$B$35),IF(Inputs!$B$4="pvp",MIN((Skills!Y15*(1+Inputs!$B$33/100)),15)/15,(Skills!Y15*(1+Inputs!$B$33/100))/Skills!D15)))/100)*(1+((C416=TRUE)*F416*B444)/100))*B452*I413)</f>
        <v/>
      </c>
      <c r="L413">
        <f>K413*(MIN((Inputs!$B$21+1)+((C434=TRUE)*(F434-Calc!F24)),Inputs!$B$22)/100+Inputs!$B$22/100)/2</f>
        <v/>
      </c>
      <c r="M413">
        <f>L413*(1+(Inputs!$B$9+((C436=TRUE)*(F436-Calc!F26))+B453)/100)</f>
        <v/>
      </c>
      <c r="N413">
        <f>L413*(1-MIN((Inputs!$B$8+((C435=TRUE)*(F435-Calc!F25))+B450),100)/100)+M413*(MIN((Inputs!$B$8+((C435=TRUE)*(F435-Calc!F25))+B450),100)/100)</f>
        <v/>
      </c>
      <c r="O413">
        <f>IF(C413,H413*N413*IF(AND(Inputs!$B$4&lt;&gt;"pvp",Inputs!$B$35&gt;0),((Skills!G3*((R413-1)*IF(Skills!H3&gt;0,Skills!I3/Skills!H3,1)+IF(Skills!H3&gt;0,MIN(Skills!I3,MAX(0,Inputs!$B$35-((R413-1)*IF(Inputs!$B$4="pvp",15,MAX(0.1,Skills!D3-IF(Skills!E3=TRUE,Inputs!$B$31,0))))))/Skills!H3,1)))/Inputs!$B$35),G413*Q413)*IF(Inputs!$B$4="pvp",1,(1-Summary!$B$55)*(1)+Summary!$B$55*(MIN(Skills!W3,Inputs!$B$37))),0)</f>
        <v/>
      </c>
      <c r="P413">
        <f>IF(B454=0,0,O413/B454)</f>
        <v/>
      </c>
      <c r="Q413">
        <f>IFERROR(1/IF(Inputs!$B$4="pvp",15,MAX(0.1,Skills!D3-IF(Skills!E3=TRUE,Inputs!$B$31,0))),0)</f>
        <v/>
      </c>
      <c r="R413">
        <f>IF(AND(Inputs!$B$4&lt;&gt;"pvp",Inputs!$B$35&gt;0),(INT(Inputs!$B$35/IF(Inputs!$B$4="pvp",15,MAX(0.1,Skills!D3-IF(Skills!E3=TRUE,Inputs!$B$31,0))))+1),0)</f>
        <v/>
      </c>
      <c r="S413">
        <f>IFERROR(O413/N413,0)</f>
        <v/>
      </c>
      <c r="U413">
        <f>INDEX(FactorTable!$B$2:$Y$301, MATCH(ROUND(MIN(300,MAX(1,U412)),0), FactorTable!$A$2:$A$301,0), 24)</f>
        <v/>
      </c>
    </row>
    <row r="414">
      <c r="A414">
        <f>Skills!A4</f>
        <v/>
      </c>
      <c r="B414">
        <f>Skills!B4</f>
        <v/>
      </c>
      <c r="C414">
        <f>Inputs!$B$3&gt;=40</f>
        <v/>
      </c>
      <c r="D414">
        <f>IF(Skills!C4=1,60+Inputs!$B$24+Inputs!$B$28,IF(Skills!C4=2,90+Inputs!$B$25+Inputs!$B$28,IF(Skills!C4=3,120+Inputs!$B$26+Inputs!$B$28,MAX(0,(Inputs!$B$3-100)*3)+Inputs!$B$27+Inputs!$B$28)))</f>
        <v/>
      </c>
      <c r="E414">
        <f>INDEX(FactorTable!$B$2:$Y$301, MATCH(ROUND(MIN(300,MAX(1,D414)),0), FactorTable!$A$2:$A$301,0), Skills!M4+1)</f>
        <v/>
      </c>
      <c r="F414">
        <f>IF(Skills!N4=TRUE,(Skills!L4/10)*(E414/1000),Skills!L4/10)+Skills!O4</f>
        <v/>
      </c>
      <c r="G414">
        <f>Calc!G4</f>
        <v/>
      </c>
      <c r="H414">
        <f>Calc!H4</f>
        <v/>
      </c>
      <c r="I414">
        <f>IF(Skills!AA4&lt;&gt;"",1+(Skills!AA4/10)*(U413/1000)/100,1)</f>
        <v/>
      </c>
      <c r="J414">
        <f>(Inputs!$B$5*(1+Inputs!$B$6/100))*(F414/100)</f>
        <v/>
      </c>
      <c r="K414">
        <f>J414*(1+((Inputs!$B$11*(1+Inputs!$B$12/100))*0.01+Inputs!$B$13*0.0025)/100)*(1+Inputs!$B$14/100)*(1+IF(Inputs!$B$4="pvp",0,(1-Summary!$B$55)*(Inputs!$B$19+((C437=TRUE)*(F437-Calc!F27))+Skills!P4+B451)+Summary!$B$55*(Inputs!$B$20+Skills!Q4+B451))/100)*(1+Inputs!$B$15/100)*(5000/(6000+Inputs!$B$7*(1-Inputs!$B$18/100)))*(1+(Inputs!$B$23+((C440=TRUE)*(F440-Calc!F30)))/100)*(1+Skills!R4/100)*(1+(IF(Skills!A4="SHOWDOWN",Inputs!$B$16+((C433=TRUE)*(F433-Calc!F23)),Inputs!$B$17+((C439=TRUE)*(F439-Calc!F29))))/100)*(((1+(((C431=TRUE)*F431*IF(AND(Inputs!$B$4&lt;&gt;"pvp",Inputs!$B$35&gt;0),(((S431-1)*(Skills!Y21*(1+Inputs!$B$33/100))+MIN((Skills!Y21*(1+Inputs!$B$33/100)),MAX(0,Inputs!$B$35-((S431-1)*Skills!D21))))/Inputs!$B$35),IF(Inputs!$B$4="pvp",MIN((Skills!Y21*(1+Inputs!$B$33/100)),15)/15,(Skills!Y21*(1+Inputs!$B$33/100))/Skills!D21)))+((C438=TRUE)*(F438-Calc!F28))+((C428=TRUE)*(F428-Calc!F18)))/100)*(1+((C425=TRUE)*F425*IF(AND(Inputs!$B$4&lt;&gt;"pvp",Inputs!$B$35&gt;0),(((S425-1)*(Skills!Y15*(1+Inputs!$B$33/100))+MIN((Skills!Y15*(1+Inputs!$B$33/100)),MAX(0,Inputs!$B$35-((S425-1)*Skills!D15))))/Inputs!$B$35),IF(Inputs!$B$4="pvp",MIN((Skills!Y15*(1+Inputs!$B$33/100)),15)/15,(Skills!Y15*(1+Inputs!$B$33/100))/Skills!D15)))/100)*(1+((C416=TRUE)*F416*B444)/100))*B452*I414)</f>
        <v/>
      </c>
      <c r="L414">
        <f>K414*(MIN((Inputs!$B$21+1)+((C434=TRUE)*(F434-Calc!F24)),Inputs!$B$22)/100+Inputs!$B$22/100)/2</f>
        <v/>
      </c>
      <c r="M414">
        <f>L414*(1+(Inputs!$B$9+((C436=TRUE)*(F436-Calc!F26))+B453)/100)</f>
        <v/>
      </c>
      <c r="N414">
        <f>L414*(1-MIN((Inputs!$B$8+((C435=TRUE)*(F435-Calc!F25))+B450),100)/100)+M414*(MIN((Inputs!$B$8+((C435=TRUE)*(F435-Calc!F25))+B450),100)/100)</f>
        <v/>
      </c>
      <c r="O414">
        <f>IF(C414,H414*N414*IF(AND(Inputs!$B$4&lt;&gt;"pvp",Inputs!$B$35&gt;0),((Skills!G4*((R414-1)*IF(Skills!H4&gt;0,Skills!I4/Skills!H4,1)+IF(Skills!H4&gt;0,MIN(Skills!I4,MAX(0,Inputs!$B$35-((R414-1)*IF(Inputs!$B$4="pvp",15,MAX(0.1,Skills!D4-IF(Skills!E4=TRUE,Inputs!$B$31,0))))))/Skills!H4,1)))/Inputs!$B$35),G414*Q414)*IF(Inputs!$B$4="pvp",1,(1-Summary!$B$55)*(1)+Summary!$B$55*(MIN(Skills!W4,Inputs!$B$37))),0)</f>
        <v/>
      </c>
      <c r="P414">
        <f>IF(B454=0,0,O414/B454)</f>
        <v/>
      </c>
      <c r="Q414">
        <f>IFERROR(1/IF(Inputs!$B$4="pvp",15,MAX(0.1,Skills!D4-IF(Skills!E4=TRUE,Inputs!$B$31,0))),0)</f>
        <v/>
      </c>
      <c r="R414">
        <f>IF(AND(Inputs!$B$4&lt;&gt;"pvp",Inputs!$B$35&gt;0),(INT(Inputs!$B$35/IF(Inputs!$B$4="pvp",15,MAX(0.1,Skills!D4-IF(Skills!E4=TRUE,Inputs!$B$31,0))))+1),0)</f>
        <v/>
      </c>
      <c r="S414">
        <f>IFERROR(O414/N414,0)</f>
        <v/>
      </c>
      <c r="U414">
        <f>MAX(0,(Inputs!$B$3-100)*3)+Inputs!$B$27+Inputs!$B$28</f>
        <v/>
      </c>
    </row>
    <row r="415">
      <c r="A415">
        <f>Skills!A5</f>
        <v/>
      </c>
      <c r="B415">
        <f>Skills!B5</f>
        <v/>
      </c>
      <c r="C415">
        <f>Inputs!$B$3&gt;=63</f>
        <v/>
      </c>
      <c r="D415">
        <f>IF(Skills!C5=1,60+Inputs!$B$24+Inputs!$B$28,IF(Skills!C5=2,90+Inputs!$B$25+Inputs!$B$28,IF(Skills!C5=3,120+Inputs!$B$26+Inputs!$B$28,MAX(0,(Inputs!$B$3-100)*3)+Inputs!$B$27+Inputs!$B$28)))</f>
        <v/>
      </c>
      <c r="E415">
        <f>INDEX(FactorTable!$B$2:$Y$301, MATCH(ROUND(MIN(300,MAX(1,D415)),0), FactorTable!$A$2:$A$301,0), Skills!M5+1)</f>
        <v/>
      </c>
      <c r="F415">
        <f>IF(Skills!N5=TRUE,(Skills!L5/10)*(E415/1000),Skills!L5/10)+Skills!O5</f>
        <v/>
      </c>
      <c r="G415">
        <f>Calc!G5</f>
        <v/>
      </c>
      <c r="H415">
        <f>Calc!H5</f>
        <v/>
      </c>
      <c r="I415">
        <f>IF(Skills!AA5&lt;&gt;"",1+(Skills!AA5/10)*(U413/1000)/100,1)</f>
        <v/>
      </c>
      <c r="J415">
        <f>(Inputs!$B$5*(1+Inputs!$B$6/100))*(F415/100)</f>
        <v/>
      </c>
      <c r="K415">
        <f>J415*(1+((Inputs!$B$11*(1+Inputs!$B$12/100))*0.01+Inputs!$B$13*0.0025)/100)*(1+Inputs!$B$14/100)*(1+IF(Inputs!$B$4="pvp",0,(1-Summary!$B$55)*(Inputs!$B$19+((C437=TRUE)*(F437-Calc!F27))+Skills!P5+B451)+Summary!$B$55*(Inputs!$B$20+Skills!Q5+B451))/100)*(1+Inputs!$B$15/100)*(5000/(6000+Inputs!$B$7*(1-Inputs!$B$18/100)))*(1+(Inputs!$B$23+((C440=TRUE)*(F440-Calc!F30)))/100)*(1+Skills!R5/100)*(1+(IF(Skills!A5="SHOWDOWN",Inputs!$B$16+((C433=TRUE)*(F433-Calc!F23)),Inputs!$B$17+((C439=TRUE)*(F439-Calc!F29))))/100)*(((1+(((C431=TRUE)*F431*IF(AND(Inputs!$B$4&lt;&gt;"pvp",Inputs!$B$35&gt;0),(((S431-1)*(Skills!Y21*(1+Inputs!$B$33/100))+MIN((Skills!Y21*(1+Inputs!$B$33/100)),MAX(0,Inputs!$B$35-((S431-1)*Skills!D21))))/Inputs!$B$35),IF(Inputs!$B$4="pvp",MIN((Skills!Y21*(1+Inputs!$B$33/100)),15)/15,(Skills!Y21*(1+Inputs!$B$33/100))/Skills!D21)))+((C438=TRUE)*(F438-Calc!F28))+((C428=TRUE)*(F428-Calc!F18)))/100)*(1+((C425=TRUE)*F425*IF(AND(Inputs!$B$4&lt;&gt;"pvp",Inputs!$B$35&gt;0),(((S425-1)*(Skills!Y15*(1+Inputs!$B$33/100))+MIN((Skills!Y15*(1+Inputs!$B$33/100)),MAX(0,Inputs!$B$35-((S425-1)*Skills!D15))))/Inputs!$B$35),IF(Inputs!$B$4="pvp",MIN((Skills!Y15*(1+Inputs!$B$33/100)),15)/15,(Skills!Y15*(1+Inputs!$B$33/100))/Skills!D15)))/100)*(1+((C416=TRUE)*F416*B444)/100))*B452*I415)</f>
        <v/>
      </c>
      <c r="L415">
        <f>K415*(MIN((Inputs!$B$21+1)+((C434=TRUE)*(F434-Calc!F24)),Inputs!$B$22)/100+Inputs!$B$22/100)/2</f>
        <v/>
      </c>
      <c r="M415">
        <f>L415*(1+(Inputs!$B$9+((C436=TRUE)*(F436-Calc!F26))+B453)/100)</f>
        <v/>
      </c>
      <c r="N415">
        <f>L415*(1-MIN((Inputs!$B$8+((C435=TRUE)*(F435-Calc!F25))+B450),100)/100)+M415*(MIN((Inputs!$B$8+((C435=TRUE)*(F435-Calc!F25))+B450),100)/100)</f>
        <v/>
      </c>
      <c r="O415">
        <f>IF(C415,H415*N415*IF(AND(Inputs!$B$4&lt;&gt;"pvp",Inputs!$B$35&gt;0),((Skills!G5*((R415-1)*IF(Skills!H5&gt;0,Skills!I5/Skills!H5,1)+IF(Skills!H5&gt;0,MIN(Skills!I5,MAX(0,Inputs!$B$35-((R415-1)*IF(Inputs!$B$4="pvp",15,MAX(0.1,Skills!D5-IF(Skills!E5=TRUE,Inputs!$B$31,0))))))/Skills!H5,1)))/Inputs!$B$35),G415*Q415)*IF(Inputs!$B$4="pvp",1,(1-Summary!$B$55)*(1)+Summary!$B$55*(MIN(Skills!W5,Inputs!$B$37))),0)</f>
        <v/>
      </c>
      <c r="P415">
        <f>IF(B454=0,0,O415/B454)</f>
        <v/>
      </c>
      <c r="Q415">
        <f>IFERROR(1/IF(Inputs!$B$4="pvp",15,MAX(0.1,Skills!D5-IF(Skills!E5=TRUE,Inputs!$B$31,0))),0)</f>
        <v/>
      </c>
      <c r="R415">
        <f>IF(AND(Inputs!$B$4&lt;&gt;"pvp",Inputs!$B$35&gt;0),(INT(Inputs!$B$35/IF(Inputs!$B$4="pvp",15,MAX(0.1,Skills!D5-IF(Skills!E5=TRUE,Inputs!$B$31,0))))+1),0)</f>
        <v/>
      </c>
      <c r="S415">
        <f>IFERROR(O415/N415,0)</f>
        <v/>
      </c>
      <c r="U415">
        <f>INDEX(FactorTable!$B$2:$Y$301, MATCH(ROUND(MIN(300,MAX(1,U414)),0), FactorTable!$A$2:$A$301,0), 22)</f>
        <v/>
      </c>
    </row>
    <row r="416">
      <c r="A416">
        <f>Skills!A6</f>
        <v/>
      </c>
      <c r="B416">
        <f>Skills!B6</f>
        <v/>
      </c>
      <c r="C416">
        <f>Inputs!$B$3&gt;=66</f>
        <v/>
      </c>
      <c r="D416">
        <f>IF(Skills!C6=1,60+Inputs!$B$24+Inputs!$B$28,IF(Skills!C6=2,90+Inputs!$B$25+Inputs!$B$28,IF(Skills!C6=3,120+Inputs!$B$26+Inputs!$B$28,MAX(0,(Inputs!$B$3-100)*3)+Inputs!$B$27+Inputs!$B$28)))</f>
        <v/>
      </c>
      <c r="E416">
        <f>INDEX(FactorTable!$B$2:$Y$301, MATCH(ROUND(MIN(300,MAX(1,D416)),0), FactorTable!$A$2:$A$301,0), Skills!M6+1)</f>
        <v/>
      </c>
      <c r="F416">
        <f>IF(Skills!N6=TRUE,(Skills!L6/10)*(E416/1000),Skills!L6/10)+Skills!O6</f>
        <v/>
      </c>
      <c r="G416">
        <f>Calc!G6</f>
        <v/>
      </c>
      <c r="H416">
        <f>Calc!H6</f>
        <v/>
      </c>
      <c r="I416">
        <f>IF(Skills!AA6&lt;&gt;"",1+(Skills!AA6/10)*(U413/1000)/100,1)</f>
        <v/>
      </c>
      <c r="J416" t="inlineStr"/>
      <c r="K416" t="inlineStr"/>
      <c r="L416" t="inlineStr"/>
      <c r="M416" t="inlineStr"/>
      <c r="N416" t="inlineStr"/>
      <c r="O416" t="n">
        <v>0</v>
      </c>
      <c r="P416">
        <f>IF(B454=0,0,O416/B454)</f>
        <v/>
      </c>
      <c r="Q416" t="n">
        <v>0</v>
      </c>
      <c r="R416" t="n">
        <v>0</v>
      </c>
      <c r="S416">
        <f>IFERROR(O416/N416,0)</f>
        <v/>
      </c>
      <c r="U416">
        <f>290*U415/1000</f>
        <v/>
      </c>
    </row>
    <row r="417">
      <c r="A417">
        <f>Skills!A7</f>
        <v/>
      </c>
      <c r="B417">
        <f>Skills!B7</f>
        <v/>
      </c>
      <c r="C417">
        <f>Inputs!$B$3&gt;=66</f>
        <v/>
      </c>
      <c r="D417">
        <f>IF(Skills!C7=1,60+Inputs!$B$24+Inputs!$B$28,IF(Skills!C7=2,90+Inputs!$B$25+Inputs!$B$28,IF(Skills!C7=3,120+Inputs!$B$26+Inputs!$B$28,MAX(0,(Inputs!$B$3-100)*3)+Inputs!$B$27+Inputs!$B$28)))</f>
        <v/>
      </c>
      <c r="E417">
        <f>INDEX(FactorTable!$B$2:$Y$301, MATCH(ROUND(MIN(300,MAX(1,D417)),0), FactorTable!$A$2:$A$301,0), Skills!M7+1)</f>
        <v/>
      </c>
      <c r="F417">
        <f>IF(Skills!N7=TRUE,(Skills!L7/10)*(E417/1000),Skills!L7/10)+Skills!O7</f>
        <v/>
      </c>
      <c r="G417">
        <f>Calc!G7</f>
        <v/>
      </c>
      <c r="H417">
        <f>Calc!H7</f>
        <v/>
      </c>
      <c r="I417">
        <f>IF(Skills!AA7&lt;&gt;"",1+(Skills!AA7/10)*(U413/1000)/100,1)</f>
        <v/>
      </c>
      <c r="J417" t="inlineStr"/>
      <c r="K417" t="inlineStr"/>
      <c r="L417" t="inlineStr"/>
      <c r="M417" t="inlineStr"/>
      <c r="N417" t="inlineStr"/>
      <c r="O417" t="n">
        <v>0</v>
      </c>
      <c r="P417">
        <f>IF(B454=0,0,O417/B454)</f>
        <v/>
      </c>
      <c r="Q417" t="n">
        <v>0</v>
      </c>
      <c r="R417" t="n">
        <v>0</v>
      </c>
      <c r="S417">
        <f>IFERROR(O417/N417,0)</f>
        <v/>
      </c>
    </row>
    <row r="418">
      <c r="A418">
        <f>Skills!A8</f>
        <v/>
      </c>
      <c r="B418">
        <f>Skills!B8</f>
        <v/>
      </c>
      <c r="C418">
        <f>Inputs!$B$3&gt;=69</f>
        <v/>
      </c>
      <c r="D418">
        <f>IF(Skills!C8=1,60+Inputs!$B$24+Inputs!$B$28,IF(Skills!C8=2,90+Inputs!$B$25+Inputs!$B$28,IF(Skills!C8=3,120+Inputs!$B$26+Inputs!$B$28,MAX(0,(Inputs!$B$3-100)*3)+Inputs!$B$27+Inputs!$B$28)))</f>
        <v/>
      </c>
      <c r="E418">
        <f>INDEX(FactorTable!$B$2:$Y$301, MATCH(ROUND(MIN(300,MAX(1,D418)),0), FactorTable!$A$2:$A$301,0), Skills!M8+1)</f>
        <v/>
      </c>
      <c r="F418">
        <f>IF(Skills!N8=TRUE,(Skills!L8/10)*(E418/1000),Skills!L8/10)+Skills!O8</f>
        <v/>
      </c>
      <c r="G418">
        <f>Calc!G8</f>
        <v/>
      </c>
      <c r="H418">
        <f>Calc!H8</f>
        <v/>
      </c>
      <c r="I418">
        <f>IF(Skills!AA8&lt;&gt;"",1+(Skills!AA8/10)*(U413/1000)/100,1)</f>
        <v/>
      </c>
      <c r="J418">
        <f>(Inputs!$B$5*(1+Inputs!$B$6/100))*(F418/100)</f>
        <v/>
      </c>
      <c r="K418">
        <f>J418*(1+((Inputs!$B$11*(1+Inputs!$B$12/100))*0.01+Inputs!$B$13*0.0025)/100)*(1+Inputs!$B$14/100)*(1+IF(Inputs!$B$4="pvp",0,(1-Summary!$B$55)*(Inputs!$B$19+((C437=TRUE)*(F437-Calc!F27))+Skills!P8+B451)+Summary!$B$55*(Inputs!$B$20+Skills!Q8+B451))/100)*(1+Inputs!$B$15/100)*(5000/(6000+Inputs!$B$7*(1-Inputs!$B$18/100)))*(1+(Inputs!$B$23+((C440=TRUE)*(F440-Calc!F30)))/100)*(1+Skills!R8/100)*(1+(IF(Skills!A8="SHOWDOWN",Inputs!$B$16+((C433=TRUE)*(F433-Calc!F23)),Inputs!$B$17+((C439=TRUE)*(F439-Calc!F29))))/100)*(((1+(((C431=TRUE)*F431*IF(AND(Inputs!$B$4&lt;&gt;"pvp",Inputs!$B$35&gt;0),(((S431-1)*(Skills!Y21*(1+Inputs!$B$33/100))+MIN((Skills!Y21*(1+Inputs!$B$33/100)),MAX(0,Inputs!$B$35-((S431-1)*Skills!D21))))/Inputs!$B$35),IF(Inputs!$B$4="pvp",MIN((Skills!Y21*(1+Inputs!$B$33/100)),15)/15,(Skills!Y21*(1+Inputs!$B$33/100))/Skills!D21)))+((C438=TRUE)*(F438-Calc!F28))+((C428=TRUE)*(F428-Calc!F18)))/100)*(1+((C425=TRUE)*F425*IF(AND(Inputs!$B$4&lt;&gt;"pvp",Inputs!$B$35&gt;0),(((S425-1)*(Skills!Y15*(1+Inputs!$B$33/100))+MIN((Skills!Y15*(1+Inputs!$B$33/100)),MAX(0,Inputs!$B$35-((S425-1)*Skills!D15))))/Inputs!$B$35),IF(Inputs!$B$4="pvp",MIN((Skills!Y15*(1+Inputs!$B$33/100)),15)/15,(Skills!Y15*(1+Inputs!$B$33/100))/Skills!D15)))/100)*(1+((C416=TRUE)*F416*B444)/100))*B452*I418)</f>
        <v/>
      </c>
      <c r="L418">
        <f>K418*(MIN((Inputs!$B$21+1)+((C434=TRUE)*(F434-Calc!F24)),Inputs!$B$22)/100+Inputs!$B$22/100)/2</f>
        <v/>
      </c>
      <c r="M418">
        <f>L418*(1+(Inputs!$B$9+((C436=TRUE)*(F436-Calc!F26))+B453)/100)</f>
        <v/>
      </c>
      <c r="N418">
        <f>L418*(1-MIN((Inputs!$B$8+((C435=TRUE)*(F435-Calc!F25))+B450),100)/100)+M418*(MIN((Inputs!$B$8+((C435=TRUE)*(F435-Calc!F25))+B450),100)/100)</f>
        <v/>
      </c>
      <c r="O418">
        <f>IF(C418,H418*N418*IF(AND(Inputs!$B$4&lt;&gt;"pvp",Inputs!$B$35&gt;0),((Skills!G8*((R418-1)*IF(Skills!H8&gt;0,Skills!I8/Skills!H8,1)+IF(Skills!H8&gt;0,MIN(Skills!I8,MAX(0,Inputs!$B$35-((R418-1)*IF(Inputs!$B$4="pvp",15,MAX(0.1,Skills!D8-IF(Skills!E8=TRUE,Inputs!$B$31,0))))))/Skills!H8,1)))/Inputs!$B$35),G418*Q418)*IF(Inputs!$B$4="pvp",1,(1-Summary!$B$55)*(1)+Summary!$B$55*(MIN(Skills!W8,Inputs!$B$37))),0)</f>
        <v/>
      </c>
      <c r="P418">
        <f>IF(B454=0,0,O418/B454)</f>
        <v/>
      </c>
      <c r="Q418">
        <f>IFERROR(1/IF(Inputs!$B$4="pvp",15,MAX(0.1,Skills!D8-IF(Skills!E8=TRUE,Inputs!$B$31,0))),0)</f>
        <v/>
      </c>
      <c r="R418">
        <f>IF(AND(Inputs!$B$4&lt;&gt;"pvp",Inputs!$B$35&gt;0),(INT(Inputs!$B$35/IF(Inputs!$B$4="pvp",15,MAX(0.1,Skills!D8-IF(Skills!E8=TRUE,Inputs!$B$31,0))))+1),0)</f>
        <v/>
      </c>
      <c r="S418">
        <f>IFERROR(O418/N418,0)</f>
        <v/>
      </c>
    </row>
    <row r="419">
      <c r="A419">
        <f>Skills!A9</f>
        <v/>
      </c>
      <c r="B419">
        <f>Skills!B9</f>
        <v/>
      </c>
      <c r="C419">
        <f>Inputs!$B$3&gt;=72</f>
        <v/>
      </c>
      <c r="D419">
        <f>IF(Skills!C9=1,60+Inputs!$B$24+Inputs!$B$28,IF(Skills!C9=2,90+Inputs!$B$25+Inputs!$B$28,IF(Skills!C9=3,120+Inputs!$B$26+Inputs!$B$28,MAX(0,(Inputs!$B$3-100)*3)+Inputs!$B$27+Inputs!$B$28)))</f>
        <v/>
      </c>
      <c r="E419">
        <f>INDEX(FactorTable!$B$2:$Y$301, MATCH(ROUND(MIN(300,MAX(1,D419)),0), FactorTable!$A$2:$A$301,0), Skills!M9+1)</f>
        <v/>
      </c>
      <c r="F419">
        <f>IF(Skills!N9=TRUE,(Skills!L9/10)*(E419/1000),Skills!L9/10)+Skills!O9</f>
        <v/>
      </c>
      <c r="G419">
        <f>Calc!G9</f>
        <v/>
      </c>
      <c r="H419">
        <f>Calc!H9</f>
        <v/>
      </c>
      <c r="I419">
        <f>IF(Skills!AA9&lt;&gt;"",1+(Skills!AA9/10)*(U413/1000)/100,1)</f>
        <v/>
      </c>
      <c r="J419">
        <f>(Inputs!$B$5*(1+Inputs!$B$6/100))*(F419/100)</f>
        <v/>
      </c>
      <c r="K419">
        <f>J419*(1+((Inputs!$B$11*(1+Inputs!$B$12/100))*0.01+Inputs!$B$13*0.0025)/100)*(1+Inputs!$B$14/100)*(1+IF(Inputs!$B$4="pvp",0,(1-Summary!$B$55)*(Inputs!$B$19+((C437=TRUE)*(F437-Calc!F27))+Skills!P9+B451)+Summary!$B$55*(Inputs!$B$20+Skills!Q9+B451))/100)*(1+Inputs!$B$15/100)*(5000/(6000+Inputs!$B$7*(1-Inputs!$B$18/100)))*(1+(Inputs!$B$23+((C440=TRUE)*(F440-Calc!F30)))/100)*(1+Skills!R9/100)*(1+(IF(Skills!A9="SHOWDOWN",Inputs!$B$16+((C433=TRUE)*(F433-Calc!F23)),Inputs!$B$17+((C439=TRUE)*(F439-Calc!F29))))/100)*(((1+(((C431=TRUE)*F431*IF(AND(Inputs!$B$4&lt;&gt;"pvp",Inputs!$B$35&gt;0),(((S431-1)*(Skills!Y21*(1+Inputs!$B$33/100))+MIN((Skills!Y21*(1+Inputs!$B$33/100)),MAX(0,Inputs!$B$35-((S431-1)*Skills!D21))))/Inputs!$B$35),IF(Inputs!$B$4="pvp",MIN((Skills!Y21*(1+Inputs!$B$33/100)),15)/15,(Skills!Y21*(1+Inputs!$B$33/100))/Skills!D21)))+((C438=TRUE)*(F438-Calc!F28))+((C428=TRUE)*(F428-Calc!F18)))/100)*(1+((C425=TRUE)*F425*IF(AND(Inputs!$B$4&lt;&gt;"pvp",Inputs!$B$35&gt;0),(((S425-1)*(Skills!Y15*(1+Inputs!$B$33/100))+MIN((Skills!Y15*(1+Inputs!$B$33/100)),MAX(0,Inputs!$B$35-((S425-1)*Skills!D15))))/Inputs!$B$35),IF(Inputs!$B$4="pvp",MIN((Skills!Y15*(1+Inputs!$B$33/100)),15)/15,(Skills!Y15*(1+Inputs!$B$33/100))/Skills!D15)))/100)*(1+((C416=TRUE)*F416*B444)/100))*B452*I419)</f>
        <v/>
      </c>
      <c r="L419">
        <f>K419*(MIN((Inputs!$B$21+1)+((C434=TRUE)*(F434-Calc!F24)),Inputs!$B$22)/100+Inputs!$B$22/100)/2</f>
        <v/>
      </c>
      <c r="M419">
        <f>L419*(1+(Inputs!$B$9+((C436=TRUE)*(F436-Calc!F26))+B453)/100)</f>
        <v/>
      </c>
      <c r="N419">
        <f>L419*(1-MIN((Inputs!$B$8+((C435=TRUE)*(F435-Calc!F25))+B450),100)/100)+M419*(MIN((Inputs!$B$8+((C435=TRUE)*(F435-Calc!F25))+B450),100)/100)</f>
        <v/>
      </c>
      <c r="O419">
        <f>IF(C419,H419*N419*IF(AND(Inputs!$B$4&lt;&gt;"pvp",Inputs!$B$35&gt;0),((Skills!G9*((R419-1)*IF(Skills!H9&gt;0,Skills!I9/Skills!H9,1)+IF(Skills!H9&gt;0,MIN(Skills!I9,MAX(0,Inputs!$B$35-((R419-1)*IF(Inputs!$B$4="pvp",15,MAX(0.1,Skills!D9-IF(Skills!E9=TRUE,Inputs!$B$31,0))))))/Skills!H9,1)))/Inputs!$B$35),G419*Q419)*IF(Inputs!$B$4="pvp",1,(1-Summary!$B$55)*(1)+Summary!$B$55*(MIN(Skills!W9,Inputs!$B$37))),0)</f>
        <v/>
      </c>
      <c r="P419">
        <f>IF(B454=0,0,O419/B454)</f>
        <v/>
      </c>
      <c r="Q419">
        <f>IFERROR(1/IF(Inputs!$B$4="pvp",15,MAX(0.1,Skills!D9-IF(Skills!E9=TRUE,Inputs!$B$31,0))),0)</f>
        <v/>
      </c>
      <c r="R419">
        <f>IF(AND(Inputs!$B$4&lt;&gt;"pvp",Inputs!$B$35&gt;0),(INT(Inputs!$B$35/IF(Inputs!$B$4="pvp",15,MAX(0.1,Skills!D9-IF(Skills!E9=TRUE,Inputs!$B$31,0))))+1),0)</f>
        <v/>
      </c>
      <c r="S419">
        <f>IFERROR(O419/N419,0)</f>
        <v/>
      </c>
    </row>
    <row r="420">
      <c r="A420">
        <f>Skills!A10</f>
        <v/>
      </c>
      <c r="B420">
        <f>Skills!B10</f>
        <v/>
      </c>
      <c r="C420">
        <f>Inputs!$B$3&gt;=117</f>
        <v/>
      </c>
      <c r="D420">
        <f>IF(Skills!C10=1,60+Inputs!$B$24+Inputs!$B$28,IF(Skills!C10=2,90+Inputs!$B$25+Inputs!$B$28,IF(Skills!C10=3,120+Inputs!$B$26+Inputs!$B$28,MAX(0,(Inputs!$B$3-100)*3)+Inputs!$B$27+Inputs!$B$28)))</f>
        <v/>
      </c>
      <c r="E420">
        <f>INDEX(FactorTable!$B$2:$Y$301, MATCH(ROUND(MIN(300,MAX(1,D420)),0), FactorTable!$A$2:$A$301,0), Skills!M10+1)</f>
        <v/>
      </c>
      <c r="F420">
        <f>IF(Skills!N10=TRUE,(Skills!L10/10)*(E420/1000),Skills!L10/10)+Skills!O10</f>
        <v/>
      </c>
      <c r="G420">
        <f>Calc!G10</f>
        <v/>
      </c>
      <c r="H420">
        <f>Calc!H10</f>
        <v/>
      </c>
      <c r="I420">
        <f>IF(Skills!AA10&lt;&gt;"",1+(Skills!AA10/10)*(U413/1000)/100,1)</f>
        <v/>
      </c>
      <c r="J420">
        <f>(Inputs!$B$5*(1+Inputs!$B$6/100))*(F420/100)</f>
        <v/>
      </c>
      <c r="K420">
        <f>J420*(1+((Inputs!$B$11*(1+Inputs!$B$12/100))*0.01+Inputs!$B$13*0.0025)/100)*(1+Inputs!$B$14/100)*(1+IF(Inputs!$B$4="pvp",0,(1-Summary!$B$55)*(Inputs!$B$19+((C437=TRUE)*(F437-Calc!F27))+Skills!P10+B451)+Summary!$B$55*(Inputs!$B$20+Skills!Q10+B451))/100)*(1+Inputs!$B$15/100)*(5000/(6000+Inputs!$B$7*(1-Inputs!$B$18/100)))*(1+(Inputs!$B$23+((C440=TRUE)*(F440-Calc!F30)))/100)*(1+Skills!R10/100)*(1+(IF(Skills!A10="SHOWDOWN",Inputs!$B$16+((C433=TRUE)*(F433-Calc!F23)),Inputs!$B$17+((C439=TRUE)*(F439-Calc!F29))))/100)*(((1+(((C431=TRUE)*F431*IF(AND(Inputs!$B$4&lt;&gt;"pvp",Inputs!$B$35&gt;0),(((S431-1)*(Skills!Y21*(1+Inputs!$B$33/100))+MIN((Skills!Y21*(1+Inputs!$B$33/100)),MAX(0,Inputs!$B$35-((S431-1)*Skills!D21))))/Inputs!$B$35),IF(Inputs!$B$4="pvp",MIN((Skills!Y21*(1+Inputs!$B$33/100)),15)/15,(Skills!Y21*(1+Inputs!$B$33/100))/Skills!D21)))+((C438=TRUE)*(F438-Calc!F28))+((C428=TRUE)*(F428-Calc!F18)))/100)*(1+((C425=TRUE)*F425*IF(AND(Inputs!$B$4&lt;&gt;"pvp",Inputs!$B$35&gt;0),(((S425-1)*(Skills!Y15*(1+Inputs!$B$33/100))+MIN((Skills!Y15*(1+Inputs!$B$33/100)),MAX(0,Inputs!$B$35-((S425-1)*Skills!D15))))/Inputs!$B$35),IF(Inputs!$B$4="pvp",MIN((Skills!Y15*(1+Inputs!$B$33/100)),15)/15,(Skills!Y15*(1+Inputs!$B$33/100))/Skills!D15)))/100)*(1+((C416=TRUE)*F416*B444)/100))*B452*I420)</f>
        <v/>
      </c>
      <c r="L420">
        <f>K420*(MIN((Inputs!$B$21+1)+((C434=TRUE)*(F434-Calc!F24)),Inputs!$B$22)/100+Inputs!$B$22/100)/2</f>
        <v/>
      </c>
      <c r="M420">
        <f>L420*(1+(Inputs!$B$9+((C436=TRUE)*(F436-Calc!F26))+B453)/100)</f>
        <v/>
      </c>
      <c r="N420">
        <f>L420*(1-MIN((Inputs!$B$8+((C435=TRUE)*(F435-Calc!F25))+B450),100)/100)+M420*(MIN((Inputs!$B$8+((C435=TRUE)*(F435-Calc!F25))+B450),100)/100)</f>
        <v/>
      </c>
      <c r="O420">
        <f>IF(C420,0.2*SUMPRODUCT((Skills!Z2:Z31=TRUE)*(C412:C441=TRUE)*S412:S441)*N420,0)</f>
        <v/>
      </c>
      <c r="P420">
        <f>IF(B454=0,0,O420/B454)</f>
        <v/>
      </c>
      <c r="Q420" t="n">
        <v>0</v>
      </c>
      <c r="R420" t="n">
        <v>0</v>
      </c>
      <c r="S420" t="n">
        <v>0</v>
      </c>
    </row>
    <row r="421">
      <c r="A421">
        <f>Skills!A11</f>
        <v/>
      </c>
      <c r="B421">
        <f>Skills!B11</f>
        <v/>
      </c>
      <c r="C421">
        <f>Inputs!$B$3&gt;=60</f>
        <v/>
      </c>
      <c r="D421">
        <f>IF(Skills!C11=1,60+Inputs!$B$24+Inputs!$B$28,IF(Skills!C11=2,90+Inputs!$B$25+Inputs!$B$28,IF(Skills!C11=3,120+Inputs!$B$26+Inputs!$B$28,MAX(0,(Inputs!$B$3-100)*3)+Inputs!$B$27+Inputs!$B$28)))</f>
        <v/>
      </c>
      <c r="E421">
        <f>INDEX(FactorTable!$B$2:$Y$301, MATCH(ROUND(MIN(300,MAX(1,D421)),0), FactorTable!$A$2:$A$301,0), Skills!M11+1)</f>
        <v/>
      </c>
      <c r="F421">
        <f>IF(Skills!N11=TRUE,(Skills!L11/10)*(E421/1000),Skills!L11/10)+Skills!O11</f>
        <v/>
      </c>
      <c r="G421">
        <f>Calc!G11</f>
        <v/>
      </c>
      <c r="H421">
        <f>Calc!H11</f>
        <v/>
      </c>
      <c r="I421">
        <f>IF(Skills!AA11&lt;&gt;"",1+(Skills!AA11/10)*(U413/1000)/100,1)</f>
        <v/>
      </c>
      <c r="J421" t="inlineStr"/>
      <c r="K421" t="inlineStr"/>
      <c r="L421" t="inlineStr"/>
      <c r="M421" t="inlineStr"/>
      <c r="N421" t="inlineStr"/>
      <c r="O421" t="n">
        <v>0</v>
      </c>
      <c r="P421">
        <f>IF(B454=0,0,O421/B454)</f>
        <v/>
      </c>
      <c r="Q421" t="n">
        <v>0</v>
      </c>
      <c r="R421" t="n">
        <v>0</v>
      </c>
      <c r="S421">
        <f>IFERROR(O421/N421,0)</f>
        <v/>
      </c>
    </row>
    <row r="422">
      <c r="A422">
        <f>Skills!A12</f>
        <v/>
      </c>
      <c r="B422">
        <f>Skills!B12</f>
        <v/>
      </c>
      <c r="C422">
        <f>Inputs!$B$3&gt;=103</f>
        <v/>
      </c>
      <c r="D422">
        <f>IF(Skills!C12=1,60+Inputs!$B$24+Inputs!$B$28,IF(Skills!C12=2,90+Inputs!$B$25+Inputs!$B$28,IF(Skills!C12=3,120+Inputs!$B$26+Inputs!$B$28,MAX(0,(Inputs!$B$3-100)*3)+Inputs!$B$27+Inputs!$B$28)))</f>
        <v/>
      </c>
      <c r="E422">
        <f>INDEX(FactorTable!$B$2:$Y$301, MATCH(ROUND(MIN(300,MAX(1,D422)),0), FactorTable!$A$2:$A$301,0), Skills!M12+1)</f>
        <v/>
      </c>
      <c r="F422">
        <f>IF(Skills!N12=TRUE,(Skills!L12/10)*(E422/1000),Skills!L12/10)+Skills!O12</f>
        <v/>
      </c>
      <c r="G422">
        <f>Calc!G12</f>
        <v/>
      </c>
      <c r="H422">
        <f>Calc!H12</f>
        <v/>
      </c>
      <c r="I422">
        <f>IF(Skills!AA12&lt;&gt;"",1+(Skills!AA12/10)*(U413/1000)/100,1)</f>
        <v/>
      </c>
      <c r="J422">
        <f>(Inputs!$B$5*(1+Inputs!$B$6/100))*(F422/100)</f>
        <v/>
      </c>
      <c r="K422">
        <f>J422*(1+((Inputs!$B$11*(1+Inputs!$B$12/100))*0.01+Inputs!$B$13*0.0025)/100)*(1+Inputs!$B$14/100)*(1+IF(Inputs!$B$4="pvp",0,(1-Summary!$B$55)*(Inputs!$B$19+((C437=TRUE)*(F437-Calc!F27))+Skills!P12+B451)+Summary!$B$55*(Inputs!$B$20+Skills!Q12+B451))/100)*(1+Inputs!$B$15/100)*(5000/(6000+Inputs!$B$7*(1-Inputs!$B$18/100)))*(1+(Inputs!$B$23+((C440=TRUE)*(F440-Calc!F30)))/100)*(1+Skills!R12/100)*(1+(IF(Skills!A12="SHOWDOWN",Inputs!$B$16+((C433=TRUE)*(F433-Calc!F23)),Inputs!$B$17+((C439=TRUE)*(F439-Calc!F29))))/100)*(((1+(((C431=TRUE)*F431*IF(AND(Inputs!$B$4&lt;&gt;"pvp",Inputs!$B$35&gt;0),(((S431-1)*(Skills!Y21*(1+Inputs!$B$33/100))+MIN((Skills!Y21*(1+Inputs!$B$33/100)),MAX(0,Inputs!$B$35-((S431-1)*Skills!D21))))/Inputs!$B$35),IF(Inputs!$B$4="pvp",MIN((Skills!Y21*(1+Inputs!$B$33/100)),15)/15,(Skills!Y21*(1+Inputs!$B$33/100))/Skills!D21)))+((C438=TRUE)*(F438-Calc!F28))+((C428=TRUE)*(F428-Calc!F18)))/100)*(1+((C425=TRUE)*F425*IF(AND(Inputs!$B$4&lt;&gt;"pvp",Inputs!$B$35&gt;0),(((S425-1)*(Skills!Y15*(1+Inputs!$B$33/100))+MIN((Skills!Y15*(1+Inputs!$B$33/100)),MAX(0,Inputs!$B$35-((S425-1)*Skills!D15))))/Inputs!$B$35),IF(Inputs!$B$4="pvp",MIN((Skills!Y15*(1+Inputs!$B$33/100)),15)/15,(Skills!Y15*(1+Inputs!$B$33/100))/Skills!D15)))/100)*(1+((C416=TRUE)*F416*B444)/100))*B452*I422)</f>
        <v/>
      </c>
      <c r="L422">
        <f>K422*(MIN((Inputs!$B$21+1)+((C434=TRUE)*(F434-Calc!F24)),Inputs!$B$22)/100+Inputs!$B$22/100)/2</f>
        <v/>
      </c>
      <c r="M422">
        <f>L422*(1+(Inputs!$B$9+((C436=TRUE)*(F436-Calc!F26))+B453)/100)</f>
        <v/>
      </c>
      <c r="N422">
        <f>L422*(1-MIN((Inputs!$B$8+((C435=TRUE)*(F435-Calc!F25))+B450),100)/100)+M422*(MIN((Inputs!$B$8+((C435=TRUE)*(F435-Calc!F25))+B450),100)/100)</f>
        <v/>
      </c>
      <c r="O422">
        <f>IF(C422,H422*N422*IF(AND(Inputs!$B$4&lt;&gt;"pvp",Inputs!$B$35&gt;0),((Skills!G12*((R422-1)*IF(Skills!H12&gt;0,Skills!I12/Skills!H12,1)+IF(Skills!H12&gt;0,MIN(Skills!I12,MAX(0,Inputs!$B$35-((R422-1)*IF(Inputs!$B$4="pvp",15,MAX(0.1,Skills!D12-IF(Skills!E12=TRUE,Inputs!$B$31,0))))))/Skills!H12,1)))/Inputs!$B$35),G422*Q422)*IF(Inputs!$B$4="pvp",1,(1-Summary!$B$55)*(1)+Summary!$B$55*(MIN(Skills!W12,Inputs!$B$37))),0)</f>
        <v/>
      </c>
      <c r="P422">
        <f>IF(B454=0,0,O422/B454)</f>
        <v/>
      </c>
      <c r="Q422">
        <f>IFERROR(1/IF(Inputs!$B$4="pvp",15,MAX(0.1,Skills!D12-IF(Skills!E12=TRUE,Inputs!$B$31,0))),0)</f>
        <v/>
      </c>
      <c r="R422">
        <f>IF(AND(Inputs!$B$4&lt;&gt;"pvp",Inputs!$B$35&gt;0),(INT(Inputs!$B$35/IF(Inputs!$B$4="pvp",15,MAX(0.1,Skills!D12-IF(Skills!E12=TRUE,Inputs!$B$31,0))))+1),0)</f>
        <v/>
      </c>
      <c r="S422">
        <f>IFERROR(O422/N422,0)</f>
        <v/>
      </c>
    </row>
    <row r="423">
      <c r="A423">
        <f>Skills!A13</f>
        <v/>
      </c>
      <c r="B423">
        <f>Skills!B13</f>
        <v/>
      </c>
      <c r="C423">
        <f>Inputs!$B$3&gt;=105</f>
        <v/>
      </c>
      <c r="D423">
        <f>IF(Skills!C13=1,60+Inputs!$B$24+Inputs!$B$28,IF(Skills!C13=2,90+Inputs!$B$25+Inputs!$B$28,IF(Skills!C13=3,120+Inputs!$B$26+Inputs!$B$28,MAX(0,(Inputs!$B$3-100)*3)+Inputs!$B$27+Inputs!$B$28)))</f>
        <v/>
      </c>
      <c r="E423">
        <f>INDEX(FactorTable!$B$2:$Y$301, MATCH(ROUND(MIN(300,MAX(1,D423)),0), FactorTable!$A$2:$A$301,0), Skills!M13+1)</f>
        <v/>
      </c>
      <c r="F423">
        <f>IF(Skills!N13=TRUE,(Skills!L13/10)*(E423/1000),Skills!L13/10)+Skills!O13</f>
        <v/>
      </c>
      <c r="G423">
        <f>Calc!G13</f>
        <v/>
      </c>
      <c r="H423">
        <f>Calc!H13</f>
        <v/>
      </c>
      <c r="I423">
        <f>IF(Skills!AA13&lt;&gt;"",1+(Skills!AA13/10)*(U413/1000)/100,1)</f>
        <v/>
      </c>
      <c r="J423">
        <f>(Inputs!$B$5*(1+Inputs!$B$6/100))*(F423/100)</f>
        <v/>
      </c>
      <c r="K423">
        <f>J423*(1+((Inputs!$B$11*(1+Inputs!$B$12/100))*0.01+Inputs!$B$13*0.0025)/100)*(1+Inputs!$B$14/100)*(1+IF(Inputs!$B$4="pvp",0,(1-Summary!$B$55)*(Inputs!$B$19+((C437=TRUE)*(F437-Calc!F27))+Skills!P13+B451)+Summary!$B$55*(Inputs!$B$20+Skills!Q13+B451))/100)*(1+Inputs!$B$15/100)*(5000/(6000+Inputs!$B$7*(1-Inputs!$B$18/100)))*(1+(Inputs!$B$23+((C440=TRUE)*(F440-Calc!F30)))/100)*(1+Skills!R13/100)*(1+(IF(Skills!A13="SHOWDOWN",Inputs!$B$16+((C433=TRUE)*(F433-Calc!F23)),Inputs!$B$17+((C439=TRUE)*(F439-Calc!F29))))/100)*(((1+(((C431=TRUE)*F431*IF(AND(Inputs!$B$4&lt;&gt;"pvp",Inputs!$B$35&gt;0),(((S431-1)*(Skills!Y21*(1+Inputs!$B$33/100))+MIN((Skills!Y21*(1+Inputs!$B$33/100)),MAX(0,Inputs!$B$35-((S431-1)*Skills!D21))))/Inputs!$B$35),IF(Inputs!$B$4="pvp",MIN((Skills!Y21*(1+Inputs!$B$33/100)),15)/15,(Skills!Y21*(1+Inputs!$B$33/100))/Skills!D21)))+((C438=TRUE)*(F438-Calc!F28))+((C428=TRUE)*(F428-Calc!F18)))/100)*(1+((C425=TRUE)*F425*IF(AND(Inputs!$B$4&lt;&gt;"pvp",Inputs!$B$35&gt;0),(((S425-1)*(Skills!Y15*(1+Inputs!$B$33/100))+MIN((Skills!Y15*(1+Inputs!$B$33/100)),MAX(0,Inputs!$B$35-((S425-1)*Skills!D15))))/Inputs!$B$35),IF(Inputs!$B$4="pvp",MIN((Skills!Y15*(1+Inputs!$B$33/100)),15)/15,(Skills!Y15*(1+Inputs!$B$33/100))/Skills!D15)))/100)*(1+((C416=TRUE)*F416*B444)/100))*B452*I423)</f>
        <v/>
      </c>
      <c r="L423">
        <f>K423*(MIN((Inputs!$B$21+1)+((C434=TRUE)*(F434-Calc!F24)),Inputs!$B$22)/100+Inputs!$B$22/100)/2</f>
        <v/>
      </c>
      <c r="M423">
        <f>L423*(1+(Inputs!$B$9+((C436=TRUE)*(F436-Calc!F26))+B453)/100)</f>
        <v/>
      </c>
      <c r="N423">
        <f>L423*(1-MIN((Inputs!$B$8+((C435=TRUE)*(F435-Calc!F25))+B450),100)/100)+M423*(MIN((Inputs!$B$8+((C435=TRUE)*(F435-Calc!F25))+B450),100)/100)</f>
        <v/>
      </c>
      <c r="O423">
        <f>IF(C423,H423*N423*IF(AND(Inputs!$B$4&lt;&gt;"pvp",Inputs!$B$35&gt;0),((Skills!G13*((R423-1)*IF(Skills!H13&gt;0,Skills!I13/Skills!H13,1)+IF(Skills!H13&gt;0,MIN(Skills!I13,MAX(0,Inputs!$B$35-((R423-1)*IF(Inputs!$B$4="pvp",15,MAX(0.1,Skills!D13-IF(Skills!E13=TRUE,Inputs!$B$31,0))))))/Skills!H13,1)))/Inputs!$B$35),G423*Q423)*IF(Inputs!$B$4="pvp",1,(1-Summary!$B$55)*(1)+Summary!$B$55*(MIN(Skills!W13,Inputs!$B$37))),0)</f>
        <v/>
      </c>
      <c r="P423">
        <f>IF(B454=0,0,O423/B454)</f>
        <v/>
      </c>
      <c r="Q423">
        <f>IFERROR(1/IF(Inputs!$B$4="pvp",15,MAX(0.1,Skills!D13-IF(Skills!E13=TRUE,Inputs!$B$31,0))),0)</f>
        <v/>
      </c>
      <c r="R423">
        <f>IF(AND(Inputs!$B$4&lt;&gt;"pvp",Inputs!$B$35&gt;0),(INT(Inputs!$B$35/IF(Inputs!$B$4="pvp",15,MAX(0.1,Skills!D13-IF(Skills!E13=TRUE,Inputs!$B$31,0))))+1),0)</f>
        <v/>
      </c>
      <c r="S423">
        <f>IFERROR(O423/N423,0)</f>
        <v/>
      </c>
    </row>
    <row r="424">
      <c r="A424">
        <f>Skills!A14</f>
        <v/>
      </c>
      <c r="B424">
        <f>Skills!B14</f>
        <v/>
      </c>
      <c r="C424">
        <f>Inputs!$B$3&gt;=105</f>
        <v/>
      </c>
      <c r="D424">
        <f>IF(Skills!C14=1,60+Inputs!$B$24+Inputs!$B$28,IF(Skills!C14=2,90+Inputs!$B$25+Inputs!$B$28,IF(Skills!C14=3,120+Inputs!$B$26+Inputs!$B$28,MAX(0,(Inputs!$B$3-100)*3)+Inputs!$B$27+Inputs!$B$28)))</f>
        <v/>
      </c>
      <c r="E424">
        <f>INDEX(FactorTable!$B$2:$Y$301, MATCH(ROUND(MIN(300,MAX(1,D424)),0), FactorTable!$A$2:$A$301,0), Skills!M14+1)</f>
        <v/>
      </c>
      <c r="F424">
        <f>IF(Skills!N14=TRUE,(Skills!L14/10)*(E424/1000),Skills!L14/10)+Skills!O14</f>
        <v/>
      </c>
      <c r="G424">
        <f>Calc!G14</f>
        <v/>
      </c>
      <c r="H424">
        <f>Calc!H14</f>
        <v/>
      </c>
      <c r="I424">
        <f>IF(Skills!AA14&lt;&gt;"",1+(Skills!AA14/10)*(U413/1000)/100,1)</f>
        <v/>
      </c>
      <c r="J424">
        <f>(Inputs!$B$5*(1+Inputs!$B$6/100))*(F424/100)</f>
        <v/>
      </c>
      <c r="K424">
        <f>J424*(1+((Inputs!$B$11*(1+Inputs!$B$12/100))*0.01+Inputs!$B$13*0.0025)/100)*(1+Inputs!$B$14/100)*(1+IF(Inputs!$B$4="pvp",0,(1-Summary!$B$55)*(Inputs!$B$19+((C437=TRUE)*(F437-Calc!F27))+Skills!P14+B451)+Summary!$B$55*(Inputs!$B$20+Skills!Q14+B451))/100)*(1+Inputs!$B$15/100)*(5000/(6000+Inputs!$B$7*(1-Inputs!$B$18/100)))*(1+(Inputs!$B$23+((C440=TRUE)*(F440-Calc!F30)))/100)*(1+Skills!R14/100)*(1+(IF(Skills!A14="SHOWDOWN",Inputs!$B$16+((C433=TRUE)*(F433-Calc!F23)),Inputs!$B$17+((C439=TRUE)*(F439-Calc!F29))))/100)*(((1+(((C431=TRUE)*F431*IF(AND(Inputs!$B$4&lt;&gt;"pvp",Inputs!$B$35&gt;0),(((S431-1)*(Skills!Y21*(1+Inputs!$B$33/100))+MIN((Skills!Y21*(1+Inputs!$B$33/100)),MAX(0,Inputs!$B$35-((S431-1)*Skills!D21))))/Inputs!$B$35),IF(Inputs!$B$4="pvp",MIN((Skills!Y21*(1+Inputs!$B$33/100)),15)/15,(Skills!Y21*(1+Inputs!$B$33/100))/Skills!D21)))+((C438=TRUE)*(F438-Calc!F28))+((C428=TRUE)*(F428-Calc!F18)))/100)*(1+((C425=TRUE)*F425*IF(AND(Inputs!$B$4&lt;&gt;"pvp",Inputs!$B$35&gt;0),(((S425-1)*(Skills!Y15*(1+Inputs!$B$33/100))+MIN((Skills!Y15*(1+Inputs!$B$33/100)),MAX(0,Inputs!$B$35-((S425-1)*Skills!D15))))/Inputs!$B$35),IF(Inputs!$B$4="pvp",MIN((Skills!Y15*(1+Inputs!$B$33/100)),15)/15,(Skills!Y15*(1+Inputs!$B$33/100))/Skills!D15)))/100)*(1+((C416=TRUE)*F416*B444)/100))*B452*I424)</f>
        <v/>
      </c>
      <c r="L424">
        <f>K424*(MIN((Inputs!$B$21+1)+((C434=TRUE)*(F434-Calc!F24)),Inputs!$B$22)/100+Inputs!$B$22/100)/2</f>
        <v/>
      </c>
      <c r="M424">
        <f>L424*(1+(Inputs!$B$9+((C436=TRUE)*(F436-Calc!F26))+B453)/100)</f>
        <v/>
      </c>
      <c r="N424">
        <f>L424*(1-MIN((Inputs!$B$8+((C435=TRUE)*(F435-Calc!F25))+B450),100)/100)+M424*(MIN((Inputs!$B$8+((C435=TRUE)*(F435-Calc!F25))+B450),100)/100)</f>
        <v/>
      </c>
      <c r="O424">
        <f>IF(C424,H424*N424*IF(AND(Inputs!$B$4&lt;&gt;"pvp",Inputs!$B$35&gt;0),((Skills!G14*((R424-1)*IF(Skills!H14&gt;0,Skills!I14/Skills!H14,1)+IF(Skills!H14&gt;0,MIN(Skills!I14,MAX(0,Inputs!$B$35-((R424-1)*IF(Inputs!$B$4="pvp",15,MAX(0.1,Skills!D14-IF(Skills!E14=TRUE,Inputs!$B$31,0))))))/Skills!H14,1)))/Inputs!$B$35),G424*Q424)*IF(Inputs!$B$4="pvp",1,(1-Summary!$B$55)*(1)+Summary!$B$55*(MIN(Skills!W14,Inputs!$B$37))),0)</f>
        <v/>
      </c>
      <c r="P424">
        <f>IF(B454=0,0,O424/B454)</f>
        <v/>
      </c>
      <c r="Q424">
        <f>IFERROR(1/IF(Inputs!$B$4="pvp",15,MAX(0.1,Skills!D14-IF(Skills!E14=TRUE,Inputs!$B$31,0))),0)</f>
        <v/>
      </c>
      <c r="R424">
        <f>IF(AND(Inputs!$B$4&lt;&gt;"pvp",Inputs!$B$35&gt;0),(INT(Inputs!$B$35/IF(Inputs!$B$4="pvp",15,MAX(0.1,Skills!D14-IF(Skills!E14=TRUE,Inputs!$B$31,0))))+1),0)</f>
        <v/>
      </c>
      <c r="S424">
        <f>IFERROR(O424/N424,0)</f>
        <v/>
      </c>
    </row>
    <row r="425">
      <c r="A425">
        <f>Skills!A15</f>
        <v/>
      </c>
      <c r="B425">
        <f>Skills!B15</f>
        <v/>
      </c>
      <c r="C425">
        <f>Inputs!$B$3&gt;=110</f>
        <v/>
      </c>
      <c r="D425">
        <f>IF(Skills!C15=1,60+Inputs!$B$24+Inputs!$B$28,IF(Skills!C15=2,90+Inputs!$B$25+Inputs!$B$28,IF(Skills!C15=3,120+Inputs!$B$26+Inputs!$B$28,MAX(0,(Inputs!$B$3-100)*3)+Inputs!$B$27+Inputs!$B$28)))</f>
        <v/>
      </c>
      <c r="E425">
        <f>INDEX(FactorTable!$B$2:$Y$301, MATCH(ROUND(MIN(300,MAX(1,D425)),0), FactorTable!$A$2:$A$301,0), Skills!M15+1)</f>
        <v/>
      </c>
      <c r="F425">
        <f>IF(Skills!N15=TRUE,(Skills!L15/10)*(E425/1000),Skills!L15/10)+Skills!O15</f>
        <v/>
      </c>
      <c r="G425">
        <f>Calc!G15</f>
        <v/>
      </c>
      <c r="H425">
        <f>Calc!H15</f>
        <v/>
      </c>
      <c r="I425">
        <f>IF(Skills!AA15&lt;&gt;"",1+(Skills!AA15/10)*(U413/1000)/100,1)</f>
        <v/>
      </c>
      <c r="J425" t="inlineStr"/>
      <c r="K425" t="inlineStr"/>
      <c r="L425" t="inlineStr"/>
      <c r="M425" t="inlineStr"/>
      <c r="N425" t="inlineStr"/>
      <c r="O425" t="n">
        <v>0</v>
      </c>
      <c r="P425">
        <f>IF(B454=0,0,O425/B454)</f>
        <v/>
      </c>
      <c r="Q425">
        <f>IFERROR(1/IF(Inputs!$B$4="pvp",15,MAX(0.1,Skills!D15-IF(Skills!E15=TRUE,Inputs!$B$31,0))),0)</f>
        <v/>
      </c>
      <c r="R425">
        <f>IF(AND(Inputs!$B$4&lt;&gt;"pvp",Inputs!$B$35&gt;0),(INT(Inputs!$B$35/IF(Inputs!$B$4="pvp",15,MAX(0.1,Skills!D15-IF(Skills!E15=TRUE,Inputs!$B$31,0))))+1),0)</f>
        <v/>
      </c>
      <c r="S425">
        <f>IFERROR(O425/N425,0)</f>
        <v/>
      </c>
    </row>
    <row r="426">
      <c r="A426">
        <f>Skills!A16</f>
        <v/>
      </c>
      <c r="B426">
        <f>Skills!B16</f>
        <v/>
      </c>
      <c r="C426">
        <f>Inputs!$B$3&gt;=110</f>
        <v/>
      </c>
      <c r="D426">
        <f>IF(Skills!C16=1,60+Inputs!$B$24+Inputs!$B$28,IF(Skills!C16=2,90+Inputs!$B$25+Inputs!$B$28,IF(Skills!C16=3,120+Inputs!$B$26+Inputs!$B$28,MAX(0,(Inputs!$B$3-100)*3)+Inputs!$B$27+Inputs!$B$28)))</f>
        <v/>
      </c>
      <c r="E426">
        <f>INDEX(FactorTable!$B$2:$Y$301, MATCH(ROUND(MIN(300,MAX(1,D426)),0), FactorTable!$A$2:$A$301,0), Skills!M16+1)</f>
        <v/>
      </c>
      <c r="F426">
        <f>IF(Skills!N16=TRUE,(Skills!L16/10)*(E426/1000),Skills!L16/10)+Skills!O16</f>
        <v/>
      </c>
      <c r="G426">
        <f>Calc!G16</f>
        <v/>
      </c>
      <c r="H426">
        <f>Calc!H16</f>
        <v/>
      </c>
      <c r="I426">
        <f>IF(Skills!AA16&lt;&gt;"",1+(Skills!AA16/10)*(U413/1000)/100,1)</f>
        <v/>
      </c>
      <c r="J426" t="inlineStr"/>
      <c r="K426" t="inlineStr"/>
      <c r="L426" t="inlineStr"/>
      <c r="M426" t="inlineStr"/>
      <c r="N426" t="inlineStr"/>
      <c r="O426" t="n">
        <v>0</v>
      </c>
      <c r="P426">
        <f>IF(B454=0,0,O426/B454)</f>
        <v/>
      </c>
      <c r="Q426">
        <f>IFERROR(1/IF(Inputs!$B$4="pvp",15,MAX(0.1,Skills!D16-IF(Skills!E16=TRUE,Inputs!$B$31,0))),0)</f>
        <v/>
      </c>
      <c r="R426">
        <f>IF(AND(Inputs!$B$4&lt;&gt;"pvp",Inputs!$B$35&gt;0),(INT(Inputs!$B$35/IF(Inputs!$B$4="pvp",15,MAX(0.1,Skills!D16-IF(Skills!E16=TRUE,Inputs!$B$31,0))))+1),0)</f>
        <v/>
      </c>
      <c r="S426">
        <f>IFERROR(O426/N426,0)</f>
        <v/>
      </c>
    </row>
    <row r="427">
      <c r="A427">
        <f>Skills!A17</f>
        <v/>
      </c>
      <c r="B427">
        <f>Skills!B17</f>
        <v/>
      </c>
      <c r="C427">
        <f>Inputs!$B$3&gt;=115</f>
        <v/>
      </c>
      <c r="D427">
        <f>IF(Skills!C17=1,60+Inputs!$B$24+Inputs!$B$28,IF(Skills!C17=2,90+Inputs!$B$25+Inputs!$B$28,IF(Skills!C17=3,120+Inputs!$B$26+Inputs!$B$28,MAX(0,(Inputs!$B$3-100)*3)+Inputs!$B$27+Inputs!$B$28)))</f>
        <v/>
      </c>
      <c r="E427">
        <f>INDEX(FactorTable!$B$2:$Y$301, MATCH(ROUND(MIN(300,MAX(1,D427)),0), FactorTable!$A$2:$A$301,0), Skills!M17+1)</f>
        <v/>
      </c>
      <c r="F427">
        <f>IF(Skills!N17=TRUE,(Skills!L17/10)*(E427/1000),Skills!L17/10)+Skills!O17</f>
        <v/>
      </c>
      <c r="G427">
        <f>Calc!G17</f>
        <v/>
      </c>
      <c r="H427">
        <f>Calc!H17</f>
        <v/>
      </c>
      <c r="I427">
        <f>IF(Skills!AA17&lt;&gt;"",1+(Skills!AA17/10)*(U413/1000)/100,1)</f>
        <v/>
      </c>
      <c r="J427">
        <f>(Inputs!$B$5*(1+Inputs!$B$6/100))*(F427/100)</f>
        <v/>
      </c>
      <c r="K427">
        <f>J427*(1+((Inputs!$B$11*(1+Inputs!$B$12/100))*0.01+Inputs!$B$13*0.0025)/100)*(1+Inputs!$B$14/100)*(1+IF(Inputs!$B$4="pvp",0,(1-Summary!$B$55)*(Inputs!$B$19+((C437=TRUE)*(F437-Calc!F27))+Skills!P17+B451)+Summary!$B$55*(Inputs!$B$20+Skills!Q17+B451))/100)*(1+Inputs!$B$15/100)*(5000/(6000+Inputs!$B$7*(1-Inputs!$B$18/100)))*(1+(Inputs!$B$23+((C440=TRUE)*(F440-Calc!F30)))/100)*(1+Skills!R17/100)*(1+(IF(Skills!A17="SHOWDOWN",Inputs!$B$16+((C433=TRUE)*(F433-Calc!F23)),Inputs!$B$17+((C439=TRUE)*(F439-Calc!F29))))/100)*(((1+(((C431=TRUE)*F431*IF(AND(Inputs!$B$4&lt;&gt;"pvp",Inputs!$B$35&gt;0),(((S431-1)*(Skills!Y21*(1+Inputs!$B$33/100))+MIN((Skills!Y21*(1+Inputs!$B$33/100)),MAX(0,Inputs!$B$35-((S431-1)*Skills!D21))))/Inputs!$B$35),IF(Inputs!$B$4="pvp",MIN((Skills!Y21*(1+Inputs!$B$33/100)),15)/15,(Skills!Y21*(1+Inputs!$B$33/100))/Skills!D21)))+((C438=TRUE)*(F438-Calc!F28))+((C428=TRUE)*(F428-Calc!F18)))/100)*(1+((C425=TRUE)*F425*IF(AND(Inputs!$B$4&lt;&gt;"pvp",Inputs!$B$35&gt;0),(((S425-1)*(Skills!Y15*(1+Inputs!$B$33/100))+MIN((Skills!Y15*(1+Inputs!$B$33/100)),MAX(0,Inputs!$B$35-((S425-1)*Skills!D15))))/Inputs!$B$35),IF(Inputs!$B$4="pvp",MIN((Skills!Y15*(1+Inputs!$B$33/100)),15)/15,(Skills!Y15*(1+Inputs!$B$33/100))/Skills!D15)))/100)*(1+((C416=TRUE)*F416*B444)/100))*B452*I427)</f>
        <v/>
      </c>
      <c r="L427">
        <f>K427*(MIN((Inputs!$B$21+1)+((C434=TRUE)*(F434-Calc!F24)),Inputs!$B$22)/100+Inputs!$B$22/100)/2</f>
        <v/>
      </c>
      <c r="M427">
        <f>L427*(1+(Inputs!$B$9+((C436=TRUE)*(F436-Calc!F26))+B453)/100)</f>
        <v/>
      </c>
      <c r="N427">
        <f>L427*(1-MIN((Inputs!$B$8+((C435=TRUE)*(F435-Calc!F25))+B450),100)/100)+M427*(MIN((Inputs!$B$8+((C435=TRUE)*(F435-Calc!F25))+B450),100)/100)</f>
        <v/>
      </c>
      <c r="O427">
        <f>IF(C427,Inputs!$B$38*0.2*N427,0)</f>
        <v/>
      </c>
      <c r="P427">
        <f>IF(B454=0,0,O427/B454)</f>
        <v/>
      </c>
      <c r="Q427" t="n">
        <v>0</v>
      </c>
      <c r="R427" t="n">
        <v>0</v>
      </c>
      <c r="S427">
        <f>IFERROR(O427/N427,0)</f>
        <v/>
      </c>
    </row>
    <row r="428">
      <c r="A428">
        <f>Skills!A18</f>
        <v/>
      </c>
      <c r="B428">
        <f>Skills!B18</f>
        <v/>
      </c>
      <c r="C428">
        <f>Inputs!$B$3&gt;=115</f>
        <v/>
      </c>
      <c r="D428">
        <f>IF(Skills!C18=1,60+Inputs!$B$24+Inputs!$B$28,IF(Skills!C18=2,90+Inputs!$B$25+Inputs!$B$28,IF(Skills!C18=3,120+Inputs!$B$26+Inputs!$B$28,MAX(0,(Inputs!$B$3-100)*3)+Inputs!$B$27+Inputs!$B$28)))</f>
        <v/>
      </c>
      <c r="E428">
        <f>INDEX(FactorTable!$B$2:$Y$301, MATCH(ROUND(MIN(300,MAX(1,D428)),0), FactorTable!$A$2:$A$301,0), Skills!M18+1)</f>
        <v/>
      </c>
      <c r="F428">
        <f>IF(Skills!N18=TRUE,(Skills!L18/10)*(E428/1000),Skills!L18/10)+Skills!O18</f>
        <v/>
      </c>
      <c r="G428">
        <f>Calc!G18</f>
        <v/>
      </c>
      <c r="H428">
        <f>Calc!H18</f>
        <v/>
      </c>
      <c r="I428">
        <f>IF(Skills!AA18&lt;&gt;"",1+(Skills!AA18/10)*(U413/1000)/100,1)</f>
        <v/>
      </c>
      <c r="J428" t="inlineStr"/>
      <c r="K428" t="inlineStr"/>
      <c r="L428" t="inlineStr"/>
      <c r="M428" t="inlineStr"/>
      <c r="N428" t="inlineStr"/>
      <c r="O428" t="n">
        <v>0</v>
      </c>
      <c r="P428">
        <f>IF(B454=0,0,O428/B454)</f>
        <v/>
      </c>
      <c r="Q428" t="n">
        <v>0</v>
      </c>
      <c r="R428" t="n">
        <v>0</v>
      </c>
      <c r="S428">
        <f>IFERROR(O428/N428,0)</f>
        <v/>
      </c>
    </row>
    <row r="429">
      <c r="A429">
        <f>Skills!A19</f>
        <v/>
      </c>
      <c r="B429">
        <f>Skills!B19</f>
        <v/>
      </c>
      <c r="C429">
        <f>TRUE</f>
        <v/>
      </c>
      <c r="D429">
        <f>IF(Skills!C19=1,60+Inputs!$B$24+Inputs!$B$28,IF(Skills!C19=2,90+Inputs!$B$25+Inputs!$B$28,IF(Skills!C19=3,120+Inputs!$B$26+Inputs!$B$28,MAX(0,(Inputs!$B$3-100)*3)+Inputs!$B$27+Inputs!$B$28)))</f>
        <v/>
      </c>
      <c r="E429">
        <f>INDEX(FactorTable!$B$2:$Y$301, MATCH(ROUND(MIN(300,MAX(1,D429)),0), FactorTable!$A$2:$A$301,0), Skills!M19+1)</f>
        <v/>
      </c>
      <c r="F429">
        <f>IF(Skills!N19=TRUE,(Skills!L19/10)*(E429/1000),Skills!L19/10)+Skills!O19</f>
        <v/>
      </c>
      <c r="G429">
        <f>Calc!G19</f>
        <v/>
      </c>
      <c r="H429">
        <f>Calc!H19</f>
        <v/>
      </c>
      <c r="I429">
        <f>IF(Skills!AA19&lt;&gt;"",1+(Skills!AA19/10)*(U413/1000)/100,1)</f>
        <v/>
      </c>
      <c r="J429" t="inlineStr"/>
      <c r="K429" t="inlineStr"/>
      <c r="L429" t="inlineStr"/>
      <c r="M429" t="inlineStr"/>
      <c r="N429" t="inlineStr"/>
      <c r="O429" t="n">
        <v>0</v>
      </c>
      <c r="P429">
        <f>IF(B454=0,0,O429/B454)</f>
        <v/>
      </c>
      <c r="Q429">
        <f>IFERROR(1/IF(Inputs!$B$4="pvp",15,MAX(0.1,Skills!D19-IF(Skills!E19=TRUE,Inputs!$B$31,0))),0)</f>
        <v/>
      </c>
      <c r="R429">
        <f>IF(AND(Inputs!$B$4&lt;&gt;"pvp",Inputs!$B$35&gt;0),(INT(Inputs!$B$35/IF(Inputs!$B$4="pvp",15,MAX(0.1,Skills!D19-IF(Skills!E19=TRUE,Inputs!$B$31,0))))+1),0)</f>
        <v/>
      </c>
      <c r="S429">
        <f>IFERROR(O429/N429,0)</f>
        <v/>
      </c>
    </row>
    <row r="430">
      <c r="A430">
        <f>Skills!A20</f>
        <v/>
      </c>
      <c r="B430">
        <f>Skills!B20</f>
        <v/>
      </c>
      <c r="C430">
        <f>Inputs!$B$3&gt;=15</f>
        <v/>
      </c>
      <c r="D430">
        <f>IF(Skills!C20=1,60+Inputs!$B$24+Inputs!$B$28,IF(Skills!C20=2,90+Inputs!$B$25+Inputs!$B$28,IF(Skills!C20=3,120+Inputs!$B$26+Inputs!$B$28,MAX(0,(Inputs!$B$3-100)*3)+Inputs!$B$27+Inputs!$B$28)))</f>
        <v/>
      </c>
      <c r="E430">
        <f>INDEX(FactorTable!$B$2:$Y$301, MATCH(ROUND(MIN(300,MAX(1,D430)),0), FactorTable!$A$2:$A$301,0), Skills!M20+1)</f>
        <v/>
      </c>
      <c r="F430">
        <f>IF(Skills!N20=TRUE,(Skills!L20/10)*(E430/1000),Skills!L20/10)+Skills!O20</f>
        <v/>
      </c>
      <c r="G430">
        <f>Calc!G20</f>
        <v/>
      </c>
      <c r="H430">
        <f>Calc!H20</f>
        <v/>
      </c>
      <c r="I430">
        <f>IF(Skills!AA20&lt;&gt;"",1+(Skills!AA20/10)*(U413/1000)/100,1)</f>
        <v/>
      </c>
      <c r="J430" t="inlineStr"/>
      <c r="K430" t="inlineStr"/>
      <c r="L430" t="inlineStr"/>
      <c r="M430" t="inlineStr"/>
      <c r="N430" t="inlineStr"/>
      <c r="O430" t="n">
        <v>0</v>
      </c>
      <c r="P430">
        <f>IF(B454=0,0,O430/B454)</f>
        <v/>
      </c>
      <c r="Q430">
        <f>IFERROR(1/IF(Inputs!$B$4="pvp",15,MAX(0.1,Skills!D20-IF(Skills!E20=TRUE,Inputs!$B$31,0))),0)</f>
        <v/>
      </c>
      <c r="R430">
        <f>IF(AND(Inputs!$B$4&lt;&gt;"pvp",Inputs!$B$35&gt;0),(INT(Inputs!$B$35/IF(Inputs!$B$4="pvp",15,MAX(0.1,Skills!D20-IF(Skills!E20=TRUE,Inputs!$B$31,0))))+1),0)</f>
        <v/>
      </c>
      <c r="S430">
        <f>IFERROR(O430/N430,0)</f>
        <v/>
      </c>
    </row>
    <row r="431">
      <c r="A431">
        <f>Skills!A21</f>
        <v/>
      </c>
      <c r="B431">
        <f>Skills!B21</f>
        <v/>
      </c>
      <c r="C431">
        <f>Inputs!$B$3&gt;=15</f>
        <v/>
      </c>
      <c r="D431">
        <f>IF(Skills!C21=1,60+Inputs!$B$24+Inputs!$B$28,IF(Skills!C21=2,90+Inputs!$B$25+Inputs!$B$28,IF(Skills!C21=3,120+Inputs!$B$26+Inputs!$B$28,MAX(0,(Inputs!$B$3-100)*3)+Inputs!$B$27+Inputs!$B$28)))</f>
        <v/>
      </c>
      <c r="E431">
        <f>INDEX(FactorTable!$B$2:$Y$301, MATCH(ROUND(MIN(300,MAX(1,D431)),0), FactorTable!$A$2:$A$301,0), Skills!M21+1)</f>
        <v/>
      </c>
      <c r="F431">
        <f>IF(Skills!N21=TRUE,(Skills!L21/10)*(E431/1000),Skills!L21/10)+Skills!O21</f>
        <v/>
      </c>
      <c r="G431">
        <f>Calc!G21</f>
        <v/>
      </c>
      <c r="H431">
        <f>Calc!H21</f>
        <v/>
      </c>
      <c r="I431">
        <f>IF(Skills!AA21&lt;&gt;"",1+(Skills!AA21/10)*(U413/1000)/100,1)</f>
        <v/>
      </c>
      <c r="J431" t="inlineStr"/>
      <c r="K431" t="inlineStr"/>
      <c r="L431" t="inlineStr"/>
      <c r="M431" t="inlineStr"/>
      <c r="N431" t="inlineStr"/>
      <c r="O431" t="n">
        <v>0</v>
      </c>
      <c r="P431">
        <f>IF(B454=0,0,O431/B454)</f>
        <v/>
      </c>
      <c r="Q431">
        <f>IFERROR(1/IF(Inputs!$B$4="pvp",15,MAX(0.1,Skills!D21-IF(Skills!E21=TRUE,Inputs!$B$31,0))),0)</f>
        <v/>
      </c>
      <c r="R431">
        <f>IF(AND(Inputs!$B$4&lt;&gt;"pvp",Inputs!$B$35&gt;0),(INT(Inputs!$B$35/IF(Inputs!$B$4="pvp",15,MAX(0.1,Skills!D21-IF(Skills!E21=TRUE,Inputs!$B$31,0))))+1),0)</f>
        <v/>
      </c>
      <c r="S431">
        <f>IFERROR(O431/N431,0)</f>
        <v/>
      </c>
    </row>
    <row r="432">
      <c r="A432">
        <f>Skills!A22</f>
        <v/>
      </c>
      <c r="B432">
        <f>Skills!B22</f>
        <v/>
      </c>
      <c r="C432">
        <f>Inputs!$B$3&gt;=33</f>
        <v/>
      </c>
      <c r="D432">
        <f>IF(Skills!C22=1,60+Inputs!$B$24+Inputs!$B$28,IF(Skills!C22=2,90+Inputs!$B$25+Inputs!$B$28,IF(Skills!C22=3,120+Inputs!$B$26+Inputs!$B$28,MAX(0,(Inputs!$B$3-100)*3)+Inputs!$B$27+Inputs!$B$28)))</f>
        <v/>
      </c>
      <c r="E432">
        <f>INDEX(FactorTable!$B$2:$Y$301, MATCH(ROUND(MIN(300,MAX(1,D432)),0), FactorTable!$A$2:$A$301,0), Skills!M22+1)</f>
        <v/>
      </c>
      <c r="F432">
        <f>IF(Skills!N22=TRUE,(Skills!L22/10)*(E432/1000),Skills!L22/10)+Skills!O22</f>
        <v/>
      </c>
      <c r="G432">
        <f>Calc!G22</f>
        <v/>
      </c>
      <c r="H432">
        <f>Calc!H22</f>
        <v/>
      </c>
      <c r="I432">
        <f>IF(Skills!AA22&lt;&gt;"",1+(Skills!AA22/10)*(U413/1000)/100,1)</f>
        <v/>
      </c>
      <c r="J432" t="inlineStr"/>
      <c r="K432" t="inlineStr"/>
      <c r="L432" t="inlineStr"/>
      <c r="M432" t="inlineStr"/>
      <c r="N432" t="inlineStr"/>
      <c r="O432" t="n">
        <v>0</v>
      </c>
      <c r="P432">
        <f>IF(B454=0,0,O432/B454)</f>
        <v/>
      </c>
      <c r="Q432" t="n">
        <v>0</v>
      </c>
      <c r="R432" t="n">
        <v>0</v>
      </c>
      <c r="S432">
        <f>IFERROR(O432/N432,0)</f>
        <v/>
      </c>
    </row>
    <row r="433">
      <c r="A433">
        <f>Skills!A23</f>
        <v/>
      </c>
      <c r="B433">
        <f>Skills!B23</f>
        <v/>
      </c>
      <c r="C433">
        <f>Inputs!$B$3&gt;=38</f>
        <v/>
      </c>
      <c r="D433">
        <f>IF(Skills!C23=1,60+Inputs!$B$24+Inputs!$B$28,IF(Skills!C23=2,90+Inputs!$B$25+Inputs!$B$28,IF(Skills!C23=3,120+Inputs!$B$26+Inputs!$B$28,MAX(0,(Inputs!$B$3-100)*3)+Inputs!$B$27+Inputs!$B$28)))</f>
        <v/>
      </c>
      <c r="E433">
        <f>INDEX(FactorTable!$B$2:$Y$301, MATCH(ROUND(MIN(300,MAX(1,D433)),0), FactorTable!$A$2:$A$301,0), Skills!M23+1)</f>
        <v/>
      </c>
      <c r="F433">
        <f>IF(Skills!N23=TRUE,(Skills!L23/10)*(E433/1000),Skills!L23/10)+Skills!O23</f>
        <v/>
      </c>
      <c r="G433">
        <f>Calc!G23</f>
        <v/>
      </c>
      <c r="H433">
        <f>Calc!H23</f>
        <v/>
      </c>
      <c r="I433">
        <f>IF(Skills!AA23&lt;&gt;"",1+(Skills!AA23/10)*(U413/1000)/100,1)</f>
        <v/>
      </c>
      <c r="J433" t="inlineStr"/>
      <c r="K433" t="inlineStr"/>
      <c r="L433" t="inlineStr"/>
      <c r="M433" t="inlineStr"/>
      <c r="N433" t="inlineStr"/>
      <c r="O433" t="n">
        <v>0</v>
      </c>
      <c r="P433">
        <f>IF(B454=0,0,O433/B454)</f>
        <v/>
      </c>
      <c r="Q433" t="n">
        <v>0</v>
      </c>
      <c r="R433" t="n">
        <v>0</v>
      </c>
      <c r="S433">
        <f>IFERROR(O433/N433,0)</f>
        <v/>
      </c>
    </row>
    <row r="434">
      <c r="A434">
        <f>Skills!A24</f>
        <v/>
      </c>
      <c r="B434">
        <f>Skills!B24</f>
        <v/>
      </c>
      <c r="C434">
        <f>Inputs!$B$3&gt;=40</f>
        <v/>
      </c>
      <c r="D434">
        <f>IF(Skills!C24=1,60+Inputs!$B$24+Inputs!$B$28,IF(Skills!C24=2,90+Inputs!$B$25+Inputs!$B$28,IF(Skills!C24=3,120+Inputs!$B$26+Inputs!$B$28,MAX(0,(Inputs!$B$3-100)*3)+Inputs!$B$27+Inputs!$B$28)))</f>
        <v/>
      </c>
      <c r="E434">
        <f>INDEX(FactorTable!$B$2:$Y$301, MATCH(ROUND(MIN(300,MAX(1,D434)),0), FactorTable!$A$2:$A$301,0), Skills!M24+1)</f>
        <v/>
      </c>
      <c r="F434">
        <f>IF(Skills!N24=TRUE,(Skills!L24/10)*(E434/1000),Skills!L24/10)+Skills!O24</f>
        <v/>
      </c>
      <c r="G434">
        <f>Calc!G24</f>
        <v/>
      </c>
      <c r="H434">
        <f>Calc!H24</f>
        <v/>
      </c>
      <c r="I434">
        <f>IF(Skills!AA24&lt;&gt;"",1+(Skills!AA24/10)*(U413/1000)/100,1)</f>
        <v/>
      </c>
      <c r="J434" t="inlineStr"/>
      <c r="K434" t="inlineStr"/>
      <c r="L434" t="inlineStr"/>
      <c r="M434" t="inlineStr"/>
      <c r="N434" t="inlineStr"/>
      <c r="O434" t="n">
        <v>0</v>
      </c>
      <c r="P434">
        <f>IF(B454=0,0,O434/B454)</f>
        <v/>
      </c>
      <c r="Q434" t="n">
        <v>0</v>
      </c>
      <c r="R434" t="n">
        <v>0</v>
      </c>
      <c r="S434">
        <f>IFERROR(O434/N434,0)</f>
        <v/>
      </c>
    </row>
    <row r="435">
      <c r="A435">
        <f>Skills!A25</f>
        <v/>
      </c>
      <c r="B435">
        <f>Skills!B25</f>
        <v/>
      </c>
      <c r="C435">
        <f>Inputs!$B$3&gt;=45</f>
        <v/>
      </c>
      <c r="D435">
        <f>IF(Skills!C25=1,60+Inputs!$B$24+Inputs!$B$28,IF(Skills!C25=2,90+Inputs!$B$25+Inputs!$B$28,IF(Skills!C25=3,120+Inputs!$B$26+Inputs!$B$28,MAX(0,(Inputs!$B$3-100)*3)+Inputs!$B$27+Inputs!$B$28)))</f>
        <v/>
      </c>
      <c r="E435">
        <f>INDEX(FactorTable!$B$2:$Y$301, MATCH(ROUND(MIN(300,MAX(1,D435)),0), FactorTable!$A$2:$A$301,0), Skills!M25+1)</f>
        <v/>
      </c>
      <c r="F435">
        <f>IF(Skills!N25=TRUE,(Skills!L25/10)*(E435/1000),Skills!L25/10)+Skills!O25</f>
        <v/>
      </c>
      <c r="G435">
        <f>Calc!G25</f>
        <v/>
      </c>
      <c r="H435">
        <f>Calc!H25</f>
        <v/>
      </c>
      <c r="I435">
        <f>IF(Skills!AA25&lt;&gt;"",1+(Skills!AA25/10)*(U413/1000)/100,1)</f>
        <v/>
      </c>
      <c r="J435" t="inlineStr"/>
      <c r="K435" t="inlineStr"/>
      <c r="L435" t="inlineStr"/>
      <c r="M435" t="inlineStr"/>
      <c r="N435" t="inlineStr"/>
      <c r="O435" t="n">
        <v>0</v>
      </c>
      <c r="P435">
        <f>IF(B454=0,0,O435/B454)</f>
        <v/>
      </c>
      <c r="Q435" t="n">
        <v>0</v>
      </c>
      <c r="R435" t="n">
        <v>0</v>
      </c>
      <c r="S435">
        <f>IFERROR(O435/N435,0)</f>
        <v/>
      </c>
    </row>
    <row r="436">
      <c r="A436">
        <f>Skills!A26</f>
        <v/>
      </c>
      <c r="B436">
        <f>Skills!B26</f>
        <v/>
      </c>
      <c r="C436">
        <f>Inputs!$B$3&gt;=45</f>
        <v/>
      </c>
      <c r="D436">
        <f>IF(Skills!C26=1,60+Inputs!$B$24+Inputs!$B$28,IF(Skills!C26=2,90+Inputs!$B$25+Inputs!$B$28,IF(Skills!C26=3,120+Inputs!$B$26+Inputs!$B$28,MAX(0,(Inputs!$B$3-100)*3)+Inputs!$B$27+Inputs!$B$28)))</f>
        <v/>
      </c>
      <c r="E436">
        <f>INDEX(FactorTable!$B$2:$Y$301, MATCH(ROUND(MIN(300,MAX(1,D436)),0), FactorTable!$A$2:$A$301,0), Skills!M26+1)</f>
        <v/>
      </c>
      <c r="F436">
        <f>IF(Skills!N26=TRUE,(Skills!L26/10)*(E436/1000),Skills!L26/10)+Skills!O26</f>
        <v/>
      </c>
      <c r="G436">
        <f>Calc!G26</f>
        <v/>
      </c>
      <c r="H436">
        <f>Calc!H26</f>
        <v/>
      </c>
      <c r="I436">
        <f>IF(Skills!AA26&lt;&gt;"",1+(Skills!AA26/10)*(U413/1000)/100,1)</f>
        <v/>
      </c>
      <c r="J436" t="inlineStr"/>
      <c r="K436" t="inlineStr"/>
      <c r="L436" t="inlineStr"/>
      <c r="M436" t="inlineStr"/>
      <c r="N436" t="inlineStr"/>
      <c r="O436" t="n">
        <v>0</v>
      </c>
      <c r="P436">
        <f>IF(B454=0,0,O436/B454)</f>
        <v/>
      </c>
      <c r="Q436" t="n">
        <v>0</v>
      </c>
      <c r="R436" t="n">
        <v>0</v>
      </c>
      <c r="S436">
        <f>IFERROR(O436/N436,0)</f>
        <v/>
      </c>
    </row>
    <row r="437">
      <c r="A437">
        <f>Skills!A27</f>
        <v/>
      </c>
      <c r="B437">
        <f>Skills!B27</f>
        <v/>
      </c>
      <c r="C437">
        <f>Inputs!$B$3&gt;=72</f>
        <v/>
      </c>
      <c r="D437">
        <f>IF(Skills!C27=1,60+Inputs!$B$24+Inputs!$B$28,IF(Skills!C27=2,90+Inputs!$B$25+Inputs!$B$28,IF(Skills!C27=3,120+Inputs!$B$26+Inputs!$B$28,MAX(0,(Inputs!$B$3-100)*3)+Inputs!$B$27+Inputs!$B$28)))</f>
        <v/>
      </c>
      <c r="E437">
        <f>INDEX(FactorTable!$B$2:$Y$301, MATCH(ROUND(MIN(300,MAX(1,D437)),0), FactorTable!$A$2:$A$301,0), Skills!M27+1)</f>
        <v/>
      </c>
      <c r="F437">
        <f>IF(Skills!N27=TRUE,(Skills!L27/10)*(E437/1000),Skills!L27/10)+Skills!O27</f>
        <v/>
      </c>
      <c r="G437">
        <f>Calc!G27</f>
        <v/>
      </c>
      <c r="H437">
        <f>Calc!H27</f>
        <v/>
      </c>
      <c r="I437">
        <f>IF(Skills!AA27&lt;&gt;"",1+(Skills!AA27/10)*(U413/1000)/100,1)</f>
        <v/>
      </c>
      <c r="J437" t="inlineStr"/>
      <c r="K437" t="inlineStr"/>
      <c r="L437" t="inlineStr"/>
      <c r="M437" t="inlineStr"/>
      <c r="N437" t="inlineStr"/>
      <c r="O437" t="n">
        <v>0</v>
      </c>
      <c r="P437">
        <f>IF(B454=0,0,O437/B454)</f>
        <v/>
      </c>
      <c r="Q437" t="n">
        <v>0</v>
      </c>
      <c r="R437" t="n">
        <v>0</v>
      </c>
      <c r="S437">
        <f>IFERROR(O437/N437,0)</f>
        <v/>
      </c>
    </row>
    <row r="438">
      <c r="A438">
        <f>Skills!A28</f>
        <v/>
      </c>
      <c r="B438">
        <f>Skills!B28</f>
        <v/>
      </c>
      <c r="C438">
        <f>Inputs!$B$3&gt;=75</f>
        <v/>
      </c>
      <c r="D438">
        <f>IF(Skills!C28=1,60+Inputs!$B$24+Inputs!$B$28,IF(Skills!C28=2,90+Inputs!$B$25+Inputs!$B$28,IF(Skills!C28=3,120+Inputs!$B$26+Inputs!$B$28,MAX(0,(Inputs!$B$3-100)*3)+Inputs!$B$27+Inputs!$B$28)))</f>
        <v/>
      </c>
      <c r="E438">
        <f>INDEX(FactorTable!$B$2:$Y$301, MATCH(ROUND(MIN(300,MAX(1,D438)),0), FactorTable!$A$2:$A$301,0), Skills!M28+1)</f>
        <v/>
      </c>
      <c r="F438">
        <f>IF(Skills!N28=TRUE,(Skills!L28/10)*(E438/1000),Skills!L28/10)+Skills!O28</f>
        <v/>
      </c>
      <c r="G438">
        <f>Calc!G28</f>
        <v/>
      </c>
      <c r="H438">
        <f>Calc!H28</f>
        <v/>
      </c>
      <c r="I438">
        <f>IF(Skills!AA28&lt;&gt;"",1+(Skills!AA28/10)*(U413/1000)/100,1)</f>
        <v/>
      </c>
      <c r="J438" t="inlineStr"/>
      <c r="K438" t="inlineStr"/>
      <c r="L438" t="inlineStr"/>
      <c r="M438" t="inlineStr"/>
      <c r="N438" t="inlineStr"/>
      <c r="O438" t="n">
        <v>0</v>
      </c>
      <c r="P438">
        <f>IF(B454=0,0,O438/B454)</f>
        <v/>
      </c>
      <c r="Q438" t="n">
        <v>0</v>
      </c>
      <c r="R438" t="n">
        <v>0</v>
      </c>
      <c r="S438">
        <f>IFERROR(O438/N438,0)</f>
        <v/>
      </c>
    </row>
    <row r="439">
      <c r="A439">
        <f>Skills!A29</f>
        <v/>
      </c>
      <c r="B439">
        <f>Skills!B29</f>
        <v/>
      </c>
      <c r="C439">
        <f>Inputs!$B$3&gt;=120</f>
        <v/>
      </c>
      <c r="D439">
        <f>IF(Skills!C29=1,60+Inputs!$B$24+Inputs!$B$28,IF(Skills!C29=2,90+Inputs!$B$25+Inputs!$B$28,IF(Skills!C29=3,120+Inputs!$B$26+Inputs!$B$28,MAX(0,(Inputs!$B$3-100)*3)+Inputs!$B$27+Inputs!$B$28)))</f>
        <v/>
      </c>
      <c r="E439">
        <f>INDEX(FactorTable!$B$2:$Y$301, MATCH(ROUND(MIN(300,MAX(1,D439)),0), FactorTable!$A$2:$A$301,0), Skills!M29+1)</f>
        <v/>
      </c>
      <c r="F439">
        <f>IF(Skills!N29=TRUE,(Skills!L29/10)*(E439/1000),Skills!L29/10)+Skills!O29</f>
        <v/>
      </c>
      <c r="G439">
        <f>Calc!G29</f>
        <v/>
      </c>
      <c r="H439">
        <f>Calc!H29</f>
        <v/>
      </c>
      <c r="I439">
        <f>IF(Skills!AA29&lt;&gt;"",1+(Skills!AA29/10)*(U413/1000)/100,1)</f>
        <v/>
      </c>
      <c r="J439" t="inlineStr"/>
      <c r="K439" t="inlineStr"/>
      <c r="L439" t="inlineStr"/>
      <c r="M439" t="inlineStr"/>
      <c r="N439" t="inlineStr"/>
      <c r="O439" t="n">
        <v>0</v>
      </c>
      <c r="P439">
        <f>IF(B454=0,0,O439/B454)</f>
        <v/>
      </c>
      <c r="Q439" t="n">
        <v>0</v>
      </c>
      <c r="R439" t="n">
        <v>0</v>
      </c>
      <c r="S439">
        <f>IFERROR(O439/N439,0)</f>
        <v/>
      </c>
    </row>
    <row r="440">
      <c r="A440">
        <f>Skills!A30</f>
        <v/>
      </c>
      <c r="B440">
        <f>Skills!B30</f>
        <v/>
      </c>
      <c r="C440">
        <f>Inputs!$B$3&gt;=125</f>
        <v/>
      </c>
      <c r="D440">
        <f>IF(Skills!C30=1,60+Inputs!$B$24+Inputs!$B$28,IF(Skills!C30=2,90+Inputs!$B$25+Inputs!$B$28,IF(Skills!C30=3,120+Inputs!$B$26+Inputs!$B$28,MAX(0,(Inputs!$B$3-100)*3)+Inputs!$B$27+Inputs!$B$28)))</f>
        <v/>
      </c>
      <c r="E440">
        <f>INDEX(FactorTable!$B$2:$Y$301, MATCH(ROUND(MIN(300,MAX(1,D440)),0), FactorTable!$A$2:$A$301,0), Skills!M30+1)</f>
        <v/>
      </c>
      <c r="F440">
        <f>IF(Skills!N30=TRUE,(Skills!L30/10)*(E440/1000),Skills!L30/10)+Skills!O30</f>
        <v/>
      </c>
      <c r="G440">
        <f>Calc!G30</f>
        <v/>
      </c>
      <c r="H440">
        <f>Calc!H30</f>
        <v/>
      </c>
      <c r="I440">
        <f>IF(Skills!AA30&lt;&gt;"",1+(Skills!AA30/10)*(U413/1000)/100,1)</f>
        <v/>
      </c>
      <c r="J440" t="inlineStr"/>
      <c r="K440" t="inlineStr"/>
      <c r="L440" t="inlineStr"/>
      <c r="M440" t="inlineStr"/>
      <c r="N440" t="inlineStr"/>
      <c r="O440" t="n">
        <v>0</v>
      </c>
      <c r="P440">
        <f>IF(B454=0,0,O440/B454)</f>
        <v/>
      </c>
      <c r="Q440" t="n">
        <v>0</v>
      </c>
      <c r="R440" t="n">
        <v>0</v>
      </c>
      <c r="S440">
        <f>IFERROR(O440/N440,0)</f>
        <v/>
      </c>
    </row>
    <row r="441">
      <c r="A441">
        <f>Skills!A31</f>
        <v/>
      </c>
      <c r="B441">
        <f>Skills!B31</f>
        <v/>
      </c>
      <c r="C441">
        <f>Inputs!$B$3&gt;=107</f>
        <v/>
      </c>
      <c r="D441">
        <f>IF(Skills!C31=1,60+Inputs!$B$24+Inputs!$B$28,IF(Skills!C31=2,90+Inputs!$B$25+Inputs!$B$28,IF(Skills!C31=3,120+Inputs!$B$26+Inputs!$B$28,MAX(0,(Inputs!$B$3-100)*3)+Inputs!$B$27+Inputs!$B$28)))</f>
        <v/>
      </c>
      <c r="E441">
        <f>INDEX(FactorTable!$B$2:$Y$301, MATCH(ROUND(MIN(300,MAX(1,D441)),0), FactorTable!$A$2:$A$301,0), Skills!M31+1)</f>
        <v/>
      </c>
      <c r="F441">
        <f>IF(Skills!N31=TRUE,(Skills!L31/10)*(E441/1000),Skills!L31/10)+Skills!O31</f>
        <v/>
      </c>
      <c r="G441">
        <f>Calc!G31</f>
        <v/>
      </c>
      <c r="H441">
        <f>Calc!H31</f>
        <v/>
      </c>
      <c r="I441">
        <f>IF(Skills!AA31&lt;&gt;"",1+(Skills!AA31/10)*(U413/1000)/100,1)</f>
        <v/>
      </c>
      <c r="J441" t="inlineStr"/>
      <c r="K441" t="inlineStr"/>
      <c r="L441" t="inlineStr"/>
      <c r="M441" t="inlineStr"/>
      <c r="N441" t="inlineStr"/>
      <c r="O441" t="n">
        <v>0</v>
      </c>
      <c r="P441">
        <f>IF(B454=0,0,O441/B454)</f>
        <v/>
      </c>
      <c r="Q441" t="n">
        <v>0</v>
      </c>
      <c r="R441" t="n">
        <v>0</v>
      </c>
      <c r="S441">
        <f>IFERROR(O441/N441,0)</f>
        <v/>
      </c>
    </row>
    <row r="443">
      <c r="A443" t="inlineStr">
        <is>
          <t>Actions Per Second (pre-Adrenalin)</t>
        </is>
      </c>
      <c r="B443">
        <f>1+MIN(150,150*(1-(1-(Inputs!$B$10+((C432=TRUE)*(F432-Calc!F22)))/150)*(1-((C429=TRUE)*F429*IF(AND(Inputs!$B$4&lt;&gt;"pvp",Inputs!$B$35&gt;0),(((S429-1)*(Skills!Y19*(1+Inputs!$B$33/100))+MIN((Skills!Y19*(1+Inputs!$B$33/100)),MAX(0,Inputs!$B$35-((S429-1)*Skills!D19))))/Inputs!$B$35),IF(Inputs!$B$4="pvp",MIN((Skills!Y19*(1+Inputs!$B$33/100)),15)/15,(Skills!Y19*(1+Inputs!$B$33/100))/Skills!D19)))/150)))/100</f>
        <v/>
      </c>
    </row>
    <row r="444">
      <c r="A444" t="inlineStr">
        <is>
          <t>Alchemic Adrenaline Uptime</t>
        </is>
      </c>
      <c r="B444">
        <f>(Skills!Y6*(1+Inputs!$B$33/100))/((Skills!Y6*(1+Inputs!$B$33/100))+(5/B443))</f>
        <v/>
      </c>
    </row>
    <row r="445">
      <c r="A445" t="inlineStr">
        <is>
          <t>Attack Speed Buff Bonus %</t>
        </is>
      </c>
      <c r="B445">
        <f>((C429=TRUE)*F429*IF(AND(Inputs!$B$4&lt;&gt;"pvp",Inputs!$B$35&gt;0),(((S429-1)*(Skills!Y19*(1+Inputs!$B$33/100))+MIN((Skills!Y19*(1+Inputs!$B$33/100)),MAX(0,Inputs!$B$35-((S429-1)*Skills!D19))))/Inputs!$B$35),IF(Inputs!$B$4="pvp",MIN((Skills!Y19*(1+Inputs!$B$33/100)),15)/15,(Skills!Y19*(1+Inputs!$B$33/100))/Skills!D19)))+((C417=TRUE)*F417*B444)</f>
        <v/>
      </c>
    </row>
    <row r="446">
      <c r="A446" t="inlineStr">
        <is>
          <t>Actions Per Second (final)</t>
        </is>
      </c>
      <c r="B446">
        <f>1+MIN(150,150*(1-(1-(Inputs!$B$10+((C432=TRUE)*(F432-Calc!F22)))/150)*(1-B445/150)))/100</f>
        <v/>
      </c>
    </row>
    <row r="447">
      <c r="A447" t="inlineStr">
        <is>
          <t>Skill + Buff Cast Rate</t>
        </is>
      </c>
      <c r="B447">
        <f>IF(AND(Inputs!$B$4&lt;&gt;"pvp",Inputs!$B$35&gt;0),SUMPRODUCT((Skills!E2:E31=TRUE)*(C412:C441=TRUE)*R412:R441*Skills!F2:F31)/Inputs!$B$35,SUMPRODUCT((Skills!E2:E31=TRUE)*(C412:C441=TRUE)*Q412:Q441*Skills!F2:F31))</f>
        <v/>
      </c>
    </row>
    <row r="448">
      <c r="A448" t="inlineStr">
        <is>
          <t>Showdown Casts Per Second</t>
        </is>
      </c>
      <c r="B448">
        <f>MAX(0,B446-B447)</f>
        <v/>
      </c>
    </row>
    <row r="449">
      <c r="A449" t="inlineStr">
        <is>
          <t>Average Buff Multiplier</t>
        </is>
      </c>
      <c r="B449">
        <f>(1+(((C431=TRUE)*F431*IF(AND(Inputs!$B$4&lt;&gt;"pvp",Inputs!$B$35&gt;0),(((S431-1)*(Skills!Y21*(1+Inputs!$B$33/100))+MIN((Skills!Y21*(1+Inputs!$B$33/100)),MAX(0,Inputs!$B$35-((S431-1)*Skills!D21))))/Inputs!$B$35),IF(Inputs!$B$4="pvp",MIN((Skills!Y21*(1+Inputs!$B$33/100)),15)/15,(Skills!Y21*(1+Inputs!$B$33/100))/Skills!D21)))+((C438=TRUE)*(F438-Calc!F28))+((C428=TRUE)*(F428-Calc!F18)))/100)*(1+((C425=TRUE)*F425*IF(AND(Inputs!$B$4&lt;&gt;"pvp",Inputs!$B$35&gt;0),(((S425-1)*(Skills!Y15*(1+Inputs!$B$33/100))+MIN((Skills!Y15*(1+Inputs!$B$33/100)),MAX(0,Inputs!$B$35-((S425-1)*Skills!D15))))/Inputs!$B$35),IF(Inputs!$B$4="pvp",MIN((Skills!Y15*(1+Inputs!$B$33/100)),15)/15,(Skills!Y15*(1+Inputs!$B$33/100))/Skills!D15)))/100)*(1+((C416=TRUE)*F416*B444)/100)</f>
        <v/>
      </c>
    </row>
    <row r="450">
      <c r="A450" t="inlineStr">
        <is>
          <t>Global Crit Rate Bonus %</t>
        </is>
      </c>
      <c r="B450">
        <f>IF(Inputs!$B$3&gt;=47,8,0)+((C430=TRUE)*F430*IF(AND(Inputs!$B$4&lt;&gt;"pvp",Inputs!$B$35&gt;0),(((S430-1)*(Skills!Y20*(1+Inputs!$B$33/100))+MIN((Skills!Y20*(1+Inputs!$B$33/100)),MAX(0,Inputs!$B$35-((S430-1)*Skills!D20))))/Inputs!$B$35),IF(Inputs!$B$4="pvp",MIN((Skills!Y20*(1+Inputs!$B$33/100)),15)/15,(Skills!Y20*(1+Inputs!$B$33/100))/Skills!D20)))</f>
        <v/>
      </c>
    </row>
    <row r="451">
      <c r="A451" t="inlineStr">
        <is>
          <t>Global Monster Damage-Taken Bonus %</t>
        </is>
      </c>
      <c r="B451">
        <f>IF(Inputs!$B$3&gt;=82,15,0)+((C426=TRUE)*F426*IF(AND(Inputs!$B$4&lt;&gt;"pvp",Inputs!$B$35&gt;0),(((S426-1)*(Skills!Y16*(1+Inputs!$B$33/100))+MIN((Skills!Y16*(1+Inputs!$B$33/100)),MAX(0,Inputs!$B$35-((S426-1)*Skills!D16))))/Inputs!$B$35),IF(Inputs!$B$4="pvp",MIN((Skills!Y16*(1+Inputs!$B$33/100)),15)/15,(Skills!Y16*(1+Inputs!$B$33/100))/Skills!D16)))</f>
        <v/>
      </c>
    </row>
    <row r="452">
      <c r="A452" t="inlineStr">
        <is>
          <t>Shadow Partner Average Multiplier</t>
        </is>
      </c>
      <c r="B452">
        <f>1+((C421=TRUE)*F421*I421*Skills!J11/100)/100</f>
        <v/>
      </c>
    </row>
    <row r="453">
      <c r="A453" t="inlineStr">
        <is>
          <t>Global Critical Damage Bonus % (Frailty Curse Mastery Lv.111)</t>
        </is>
      </c>
      <c r="B453">
        <f>IF(Inputs!$B$3&gt;=111,30,0)*IF(AND(Inputs!$B$4&lt;&gt;"pvp",Inputs!$B$35&gt;0),(((S426-1)*(Skills!Y16*(1+Inputs!$B$33/100))+MIN((Skills!Y16*(1+Inputs!$B$33/100)),MAX(0,Inputs!$B$35-((S426-1)*Skills!D16))))/Inputs!$B$35),IF(Inputs!$B$4="pvp",MIN((Skills!Y16*(1+Inputs!$B$33/100)),15)/15,(Skills!Y16*(1+Inputs!$B$33/100))/Skills!D16))</f>
        <v/>
      </c>
    </row>
    <row r="454">
      <c r="A454" s="5" t="inlineStr">
        <is>
          <t>TOTAL DPS</t>
        </is>
      </c>
      <c r="B454" s="5">
        <f>SUM(O412:O441)</f>
        <v/>
      </c>
    </row>
    <row r="457">
      <c r="A457" s="5" t="inlineStr">
        <is>
          <t>Stat: MAX_DAMAGE %</t>
        </is>
      </c>
    </row>
    <row r="458">
      <c r="A458" s="8" t="inlineStr">
        <is>
          <t>Key</t>
        </is>
      </c>
      <c r="B458" s="8" t="inlineStr">
        <is>
          <t>Name</t>
        </is>
      </c>
      <c r="C458" s="8" t="inlineStr">
        <is>
          <t>Unlocked</t>
        </is>
      </c>
      <c r="D458" s="8" t="inlineStr">
        <is>
          <t>InputLevel</t>
        </is>
      </c>
      <c r="E458" s="8" t="inlineStr">
        <is>
          <t>Factor</t>
        </is>
      </c>
      <c r="F458" s="8" t="inlineStr">
        <is>
          <t>CoefficientPercent</t>
        </is>
      </c>
      <c r="G458" s="8" t="inlineStr">
        <is>
          <t>EffectiveHits</t>
        </is>
      </c>
      <c r="H458" s="8" t="inlineStr">
        <is>
          <t>ProcProbability</t>
        </is>
      </c>
      <c r="I458" s="8" t="inlineStr">
        <is>
          <t>MapleHeroMultiplier</t>
        </is>
      </c>
      <c r="J458" s="8" t="inlineStr">
        <is>
          <t>BaseDamage</t>
        </is>
      </c>
      <c r="K458" s="8" t="inlineStr">
        <is>
          <t>BaseHitDamage</t>
        </is>
      </c>
      <c r="L458" s="8" t="inlineStr">
        <is>
          <t>NonCritAvg</t>
        </is>
      </c>
      <c r="M458" s="8" t="inlineStr">
        <is>
          <t>CritAvg</t>
        </is>
      </c>
      <c r="N458" s="8" t="inlineStr">
        <is>
          <t>ExpectedDamage(perHit)</t>
        </is>
      </c>
      <c r="O458" s="8" t="inlineStr">
        <is>
          <t>DPS</t>
        </is>
      </c>
      <c r="P458" s="8" t="inlineStr">
        <is>
          <t>% of Total</t>
        </is>
      </c>
      <c r="Q458" s="8" t="inlineStr">
        <is>
          <t>InvCooldown</t>
        </is>
      </c>
      <c r="R458" s="8" t="inlineStr">
        <is>
          <t>CastsInFight</t>
        </is>
      </c>
      <c r="S458" s="8" t="inlineStr">
        <is>
          <t>HitRate(perSec)</t>
        </is>
      </c>
      <c r="U458" t="inlineStr">
        <is>
          <t>helpers</t>
        </is>
      </c>
    </row>
    <row r="459">
      <c r="A459">
        <f>Skills!A2</f>
        <v/>
      </c>
      <c r="B459">
        <f>Skills!B2</f>
        <v/>
      </c>
      <c r="C459">
        <f>Inputs!$B$3&gt;=100</f>
        <v/>
      </c>
      <c r="D459" t="inlineStr"/>
      <c r="E459" t="inlineStr"/>
      <c r="F459">
        <f>U463+Skills!O2</f>
        <v/>
      </c>
      <c r="G459">
        <f>Calc!G2</f>
        <v/>
      </c>
      <c r="H459">
        <f>Calc!H2</f>
        <v/>
      </c>
      <c r="I459">
        <f>IF(Skills!AA2&lt;&gt;"",1+(Skills!AA2/10)*(U460/1000)/100,1)</f>
        <v/>
      </c>
      <c r="J459">
        <f>(Inputs!$B$5*(1+Inputs!$B$6/100))*(F459/100)</f>
        <v/>
      </c>
      <c r="K459">
        <f>J459*(1+((Inputs!$B$11*(1+Inputs!$B$12/100))*0.01+Inputs!$B$13*0.0025)/100)*(1+Inputs!$B$14/100)*(1+IF(Inputs!$B$4="pvp",0,(1-Summary!$B$55)*(Inputs!$B$19+((C484=TRUE)*(F484-Calc!F27))+Skills!P2+B498)+Summary!$B$55*(Inputs!$B$20+Skills!Q2+B498))/100)*(1+Inputs!$B$15/100)*(5000/(6000+Inputs!$B$7*(1-Inputs!$B$18/100)))*(1+(Inputs!$B$23+((C487=TRUE)*(F487-Calc!F30)))/100)*(1+Skills!R2/100)*(1+(IF(Skills!A2="SHOWDOWN",Inputs!$B$16+((C480=TRUE)*(F480-Calc!F23)),Inputs!$B$17+((C486=TRUE)*(F486-Calc!F29))))/100)*(((1+(((C478=TRUE)*F478*IF(AND(Inputs!$B$4&lt;&gt;"pvp",Inputs!$B$35&gt;0),(((S478-1)*(Skills!Y21*(1+Inputs!$B$33/100))+MIN((Skills!Y21*(1+Inputs!$B$33/100)),MAX(0,Inputs!$B$35-((S478-1)*Skills!D21))))/Inputs!$B$35),IF(Inputs!$B$4="pvp",MIN((Skills!Y21*(1+Inputs!$B$33/100)),15)/15,(Skills!Y21*(1+Inputs!$B$33/100))/Skills!D21)))+((C485=TRUE)*(F485-Calc!F28))+((C475=TRUE)*(F475-Calc!F18)))/100)*(1+((C472=TRUE)*F472*IF(AND(Inputs!$B$4&lt;&gt;"pvp",Inputs!$B$35&gt;0),(((S472-1)*(Skills!Y15*(1+Inputs!$B$33/100))+MIN((Skills!Y15*(1+Inputs!$B$33/100)),MAX(0,Inputs!$B$35-((S472-1)*Skills!D15))))/Inputs!$B$35),IF(Inputs!$B$4="pvp",MIN((Skills!Y15*(1+Inputs!$B$33/100)),15)/15,(Skills!Y15*(1+Inputs!$B$33/100))/Skills!D15)))/100)*(1+((C463=TRUE)*F463*B491)/100))*B499*I459)</f>
        <v/>
      </c>
      <c r="L459">
        <f>K459*(MIN(Inputs!$B$21+((C481=TRUE)*(F481-Calc!F24)),(Inputs!$B$22+1))/100+(Inputs!$B$22+1)/100)/2</f>
        <v/>
      </c>
      <c r="M459">
        <f>L459*(1+(Inputs!$B$9+((C483=TRUE)*(F483-Calc!F26))+B500)/100)</f>
        <v/>
      </c>
      <c r="N459">
        <f>L459*(1-MIN((Inputs!$B$8+((C482=TRUE)*(F482-Calc!F25))+B497),100)/100)+M459*(MIN((Inputs!$B$8+((C482=TRUE)*(F482-Calc!F25))+B497),100)/100)</f>
        <v/>
      </c>
      <c r="O459">
        <f>IF(C459,Skills!G2*N459*B495*IF(Inputs!$B$4="pvp",1,(1-Summary!$B$55)*(1)+Summary!$B$55*(MIN((6+Inputs!$B$32),Inputs!$B$37))),0)</f>
        <v/>
      </c>
      <c r="P459">
        <f>IF(B501=0,0,O459/B501)</f>
        <v/>
      </c>
      <c r="Q459" t="n">
        <v>0</v>
      </c>
      <c r="R459" t="n">
        <v>0</v>
      </c>
      <c r="S459">
        <f>IFERROR(O459/N459,0)</f>
        <v/>
      </c>
      <c r="U459">
        <f>MAX(0,(Inputs!$B$3-100)*3)+Inputs!$B$27+Inputs!$B$28</f>
        <v/>
      </c>
    </row>
    <row r="460">
      <c r="A460">
        <f>Skills!A3</f>
        <v/>
      </c>
      <c r="B460">
        <f>Skills!B3</f>
        <v/>
      </c>
      <c r="C460">
        <f>Inputs!$B$3&gt;=35</f>
        <v/>
      </c>
      <c r="D460">
        <f>IF(Skills!C3=1,60+Inputs!$B$24+Inputs!$B$28,IF(Skills!C3=2,90+Inputs!$B$25+Inputs!$B$28,IF(Skills!C3=3,120+Inputs!$B$26+Inputs!$B$28,MAX(0,(Inputs!$B$3-100)*3)+Inputs!$B$27+Inputs!$B$28)))</f>
        <v/>
      </c>
      <c r="E460">
        <f>INDEX(FactorTable!$B$2:$Y$301, MATCH(ROUND(MIN(300,MAX(1,D460)),0), FactorTable!$A$2:$A$301,0), Skills!M3+1)</f>
        <v/>
      </c>
      <c r="F460">
        <f>IF(Skills!N3=TRUE,(Skills!L3/10)*(E460/1000),Skills!L3/10)+Skills!O3</f>
        <v/>
      </c>
      <c r="G460">
        <f>Calc!G3</f>
        <v/>
      </c>
      <c r="H460">
        <f>Calc!H3</f>
        <v/>
      </c>
      <c r="I460">
        <f>IF(Skills!AA3&lt;&gt;"",1+(Skills!AA3/10)*(U460/1000)/100,1)</f>
        <v/>
      </c>
      <c r="J460">
        <f>(Inputs!$B$5*(1+Inputs!$B$6/100))*(F460/100)</f>
        <v/>
      </c>
      <c r="K460">
        <f>J460*(1+((Inputs!$B$11*(1+Inputs!$B$12/100))*0.01+Inputs!$B$13*0.0025)/100)*(1+Inputs!$B$14/100)*(1+IF(Inputs!$B$4="pvp",0,(1-Summary!$B$55)*(Inputs!$B$19+((C484=TRUE)*(F484-Calc!F27))+Skills!P3+B498)+Summary!$B$55*(Inputs!$B$20+Skills!Q3+B498))/100)*(1+Inputs!$B$15/100)*(5000/(6000+Inputs!$B$7*(1-Inputs!$B$18/100)))*(1+(Inputs!$B$23+((C487=TRUE)*(F487-Calc!F30)))/100)*(1+Skills!R3/100)*(1+(IF(Skills!A3="SHOWDOWN",Inputs!$B$16+((C480=TRUE)*(F480-Calc!F23)),Inputs!$B$17+((C486=TRUE)*(F486-Calc!F29))))/100)*(((1+(((C478=TRUE)*F478*IF(AND(Inputs!$B$4&lt;&gt;"pvp",Inputs!$B$35&gt;0),(((S478-1)*(Skills!Y21*(1+Inputs!$B$33/100))+MIN((Skills!Y21*(1+Inputs!$B$33/100)),MAX(0,Inputs!$B$35-((S478-1)*Skills!D21))))/Inputs!$B$35),IF(Inputs!$B$4="pvp",MIN((Skills!Y21*(1+Inputs!$B$33/100)),15)/15,(Skills!Y21*(1+Inputs!$B$33/100))/Skills!D21)))+((C485=TRUE)*(F485-Calc!F28))+((C475=TRUE)*(F475-Calc!F18)))/100)*(1+((C472=TRUE)*F472*IF(AND(Inputs!$B$4&lt;&gt;"pvp",Inputs!$B$35&gt;0),(((S472-1)*(Skills!Y15*(1+Inputs!$B$33/100))+MIN((Skills!Y15*(1+Inputs!$B$33/100)),MAX(0,Inputs!$B$35-((S472-1)*Skills!D15))))/Inputs!$B$35),IF(Inputs!$B$4="pvp",MIN((Skills!Y15*(1+Inputs!$B$33/100)),15)/15,(Skills!Y15*(1+Inputs!$B$33/100))/Skills!D15)))/100)*(1+((C463=TRUE)*F463*B491)/100))*B499*I460)</f>
        <v/>
      </c>
      <c r="L460">
        <f>K460*(MIN(Inputs!$B$21+((C481=TRUE)*(F481-Calc!F24)),(Inputs!$B$22+1))/100+(Inputs!$B$22+1)/100)/2</f>
        <v/>
      </c>
      <c r="M460">
        <f>L460*(1+(Inputs!$B$9+((C483=TRUE)*(F483-Calc!F26))+B500)/100)</f>
        <v/>
      </c>
      <c r="N460">
        <f>L460*(1-MIN((Inputs!$B$8+((C482=TRUE)*(F482-Calc!F25))+B497),100)/100)+M460*(MIN((Inputs!$B$8+((C482=TRUE)*(F482-Calc!F25))+B497),100)/100)</f>
        <v/>
      </c>
      <c r="O460">
        <f>IF(C460,H460*N460*IF(AND(Inputs!$B$4&lt;&gt;"pvp",Inputs!$B$35&gt;0),((Skills!G3*((R460-1)*IF(Skills!H3&gt;0,Skills!I3/Skills!H3,1)+IF(Skills!H3&gt;0,MIN(Skills!I3,MAX(0,Inputs!$B$35-((R460-1)*IF(Inputs!$B$4="pvp",15,MAX(0.1,Skills!D3-IF(Skills!E3=TRUE,Inputs!$B$31,0))))))/Skills!H3,1)))/Inputs!$B$35),G460*Q460)*IF(Inputs!$B$4="pvp",1,(1-Summary!$B$55)*(1)+Summary!$B$55*(MIN(Skills!W3,Inputs!$B$37))),0)</f>
        <v/>
      </c>
      <c r="P460">
        <f>IF(B501=0,0,O460/B501)</f>
        <v/>
      </c>
      <c r="Q460">
        <f>IFERROR(1/IF(Inputs!$B$4="pvp",15,MAX(0.1,Skills!D3-IF(Skills!E3=TRUE,Inputs!$B$31,0))),0)</f>
        <v/>
      </c>
      <c r="R460">
        <f>IF(AND(Inputs!$B$4&lt;&gt;"pvp",Inputs!$B$35&gt;0),(INT(Inputs!$B$35/IF(Inputs!$B$4="pvp",15,MAX(0.1,Skills!D3-IF(Skills!E3=TRUE,Inputs!$B$31,0))))+1),0)</f>
        <v/>
      </c>
      <c r="S460">
        <f>IFERROR(O460/N460,0)</f>
        <v/>
      </c>
      <c r="U460">
        <f>INDEX(FactorTable!$B$2:$Y$301, MATCH(ROUND(MIN(300,MAX(1,U459)),0), FactorTable!$A$2:$A$301,0), 24)</f>
        <v/>
      </c>
    </row>
    <row r="461">
      <c r="A461">
        <f>Skills!A4</f>
        <v/>
      </c>
      <c r="B461">
        <f>Skills!B4</f>
        <v/>
      </c>
      <c r="C461">
        <f>Inputs!$B$3&gt;=40</f>
        <v/>
      </c>
      <c r="D461">
        <f>IF(Skills!C4=1,60+Inputs!$B$24+Inputs!$B$28,IF(Skills!C4=2,90+Inputs!$B$25+Inputs!$B$28,IF(Skills!C4=3,120+Inputs!$B$26+Inputs!$B$28,MAX(0,(Inputs!$B$3-100)*3)+Inputs!$B$27+Inputs!$B$28)))</f>
        <v/>
      </c>
      <c r="E461">
        <f>INDEX(FactorTable!$B$2:$Y$301, MATCH(ROUND(MIN(300,MAX(1,D461)),0), FactorTable!$A$2:$A$301,0), Skills!M4+1)</f>
        <v/>
      </c>
      <c r="F461">
        <f>IF(Skills!N4=TRUE,(Skills!L4/10)*(E461/1000),Skills!L4/10)+Skills!O4</f>
        <v/>
      </c>
      <c r="G461">
        <f>Calc!G4</f>
        <v/>
      </c>
      <c r="H461">
        <f>Calc!H4</f>
        <v/>
      </c>
      <c r="I461">
        <f>IF(Skills!AA4&lt;&gt;"",1+(Skills!AA4/10)*(U460/1000)/100,1)</f>
        <v/>
      </c>
      <c r="J461">
        <f>(Inputs!$B$5*(1+Inputs!$B$6/100))*(F461/100)</f>
        <v/>
      </c>
      <c r="K461">
        <f>J461*(1+((Inputs!$B$11*(1+Inputs!$B$12/100))*0.01+Inputs!$B$13*0.0025)/100)*(1+Inputs!$B$14/100)*(1+IF(Inputs!$B$4="pvp",0,(1-Summary!$B$55)*(Inputs!$B$19+((C484=TRUE)*(F484-Calc!F27))+Skills!P4+B498)+Summary!$B$55*(Inputs!$B$20+Skills!Q4+B498))/100)*(1+Inputs!$B$15/100)*(5000/(6000+Inputs!$B$7*(1-Inputs!$B$18/100)))*(1+(Inputs!$B$23+((C487=TRUE)*(F487-Calc!F30)))/100)*(1+Skills!R4/100)*(1+(IF(Skills!A4="SHOWDOWN",Inputs!$B$16+((C480=TRUE)*(F480-Calc!F23)),Inputs!$B$17+((C486=TRUE)*(F486-Calc!F29))))/100)*(((1+(((C478=TRUE)*F478*IF(AND(Inputs!$B$4&lt;&gt;"pvp",Inputs!$B$35&gt;0),(((S478-1)*(Skills!Y21*(1+Inputs!$B$33/100))+MIN((Skills!Y21*(1+Inputs!$B$33/100)),MAX(0,Inputs!$B$35-((S478-1)*Skills!D21))))/Inputs!$B$35),IF(Inputs!$B$4="pvp",MIN((Skills!Y21*(1+Inputs!$B$33/100)),15)/15,(Skills!Y21*(1+Inputs!$B$33/100))/Skills!D21)))+((C485=TRUE)*(F485-Calc!F28))+((C475=TRUE)*(F475-Calc!F18)))/100)*(1+((C472=TRUE)*F472*IF(AND(Inputs!$B$4&lt;&gt;"pvp",Inputs!$B$35&gt;0),(((S472-1)*(Skills!Y15*(1+Inputs!$B$33/100))+MIN((Skills!Y15*(1+Inputs!$B$33/100)),MAX(0,Inputs!$B$35-((S472-1)*Skills!D15))))/Inputs!$B$35),IF(Inputs!$B$4="pvp",MIN((Skills!Y15*(1+Inputs!$B$33/100)),15)/15,(Skills!Y15*(1+Inputs!$B$33/100))/Skills!D15)))/100)*(1+((C463=TRUE)*F463*B491)/100))*B499*I461)</f>
        <v/>
      </c>
      <c r="L461">
        <f>K461*(MIN(Inputs!$B$21+((C481=TRUE)*(F481-Calc!F24)),(Inputs!$B$22+1))/100+(Inputs!$B$22+1)/100)/2</f>
        <v/>
      </c>
      <c r="M461">
        <f>L461*(1+(Inputs!$B$9+((C483=TRUE)*(F483-Calc!F26))+B500)/100)</f>
        <v/>
      </c>
      <c r="N461">
        <f>L461*(1-MIN((Inputs!$B$8+((C482=TRUE)*(F482-Calc!F25))+B497),100)/100)+M461*(MIN((Inputs!$B$8+((C482=TRUE)*(F482-Calc!F25))+B497),100)/100)</f>
        <v/>
      </c>
      <c r="O461">
        <f>IF(C461,H461*N461*IF(AND(Inputs!$B$4&lt;&gt;"pvp",Inputs!$B$35&gt;0),((Skills!G4*((R461-1)*IF(Skills!H4&gt;0,Skills!I4/Skills!H4,1)+IF(Skills!H4&gt;0,MIN(Skills!I4,MAX(0,Inputs!$B$35-((R461-1)*IF(Inputs!$B$4="pvp",15,MAX(0.1,Skills!D4-IF(Skills!E4=TRUE,Inputs!$B$31,0))))))/Skills!H4,1)))/Inputs!$B$35),G461*Q461)*IF(Inputs!$B$4="pvp",1,(1-Summary!$B$55)*(1)+Summary!$B$55*(MIN(Skills!W4,Inputs!$B$37))),0)</f>
        <v/>
      </c>
      <c r="P461">
        <f>IF(B501=0,0,O461/B501)</f>
        <v/>
      </c>
      <c r="Q461">
        <f>IFERROR(1/IF(Inputs!$B$4="pvp",15,MAX(0.1,Skills!D4-IF(Skills!E4=TRUE,Inputs!$B$31,0))),0)</f>
        <v/>
      </c>
      <c r="R461">
        <f>IF(AND(Inputs!$B$4&lt;&gt;"pvp",Inputs!$B$35&gt;0),(INT(Inputs!$B$35/IF(Inputs!$B$4="pvp",15,MAX(0.1,Skills!D4-IF(Skills!E4=TRUE,Inputs!$B$31,0))))+1),0)</f>
        <v/>
      </c>
      <c r="S461">
        <f>IFERROR(O461/N461,0)</f>
        <v/>
      </c>
      <c r="U461">
        <f>MAX(0,(Inputs!$B$3-100)*3)+Inputs!$B$27+Inputs!$B$28</f>
        <v/>
      </c>
    </row>
    <row r="462">
      <c r="A462">
        <f>Skills!A5</f>
        <v/>
      </c>
      <c r="B462">
        <f>Skills!B5</f>
        <v/>
      </c>
      <c r="C462">
        <f>Inputs!$B$3&gt;=63</f>
        <v/>
      </c>
      <c r="D462">
        <f>IF(Skills!C5=1,60+Inputs!$B$24+Inputs!$B$28,IF(Skills!C5=2,90+Inputs!$B$25+Inputs!$B$28,IF(Skills!C5=3,120+Inputs!$B$26+Inputs!$B$28,MAX(0,(Inputs!$B$3-100)*3)+Inputs!$B$27+Inputs!$B$28)))</f>
        <v/>
      </c>
      <c r="E462">
        <f>INDEX(FactorTable!$B$2:$Y$301, MATCH(ROUND(MIN(300,MAX(1,D462)),0), FactorTable!$A$2:$A$301,0), Skills!M5+1)</f>
        <v/>
      </c>
      <c r="F462">
        <f>IF(Skills!N5=TRUE,(Skills!L5/10)*(E462/1000),Skills!L5/10)+Skills!O5</f>
        <v/>
      </c>
      <c r="G462">
        <f>Calc!G5</f>
        <v/>
      </c>
      <c r="H462">
        <f>Calc!H5</f>
        <v/>
      </c>
      <c r="I462">
        <f>IF(Skills!AA5&lt;&gt;"",1+(Skills!AA5/10)*(U460/1000)/100,1)</f>
        <v/>
      </c>
      <c r="J462">
        <f>(Inputs!$B$5*(1+Inputs!$B$6/100))*(F462/100)</f>
        <v/>
      </c>
      <c r="K462">
        <f>J462*(1+((Inputs!$B$11*(1+Inputs!$B$12/100))*0.01+Inputs!$B$13*0.0025)/100)*(1+Inputs!$B$14/100)*(1+IF(Inputs!$B$4="pvp",0,(1-Summary!$B$55)*(Inputs!$B$19+((C484=TRUE)*(F484-Calc!F27))+Skills!P5+B498)+Summary!$B$55*(Inputs!$B$20+Skills!Q5+B498))/100)*(1+Inputs!$B$15/100)*(5000/(6000+Inputs!$B$7*(1-Inputs!$B$18/100)))*(1+(Inputs!$B$23+((C487=TRUE)*(F487-Calc!F30)))/100)*(1+Skills!R5/100)*(1+(IF(Skills!A5="SHOWDOWN",Inputs!$B$16+((C480=TRUE)*(F480-Calc!F23)),Inputs!$B$17+((C486=TRUE)*(F486-Calc!F29))))/100)*(((1+(((C478=TRUE)*F478*IF(AND(Inputs!$B$4&lt;&gt;"pvp",Inputs!$B$35&gt;0),(((S478-1)*(Skills!Y21*(1+Inputs!$B$33/100))+MIN((Skills!Y21*(1+Inputs!$B$33/100)),MAX(0,Inputs!$B$35-((S478-1)*Skills!D21))))/Inputs!$B$35),IF(Inputs!$B$4="pvp",MIN((Skills!Y21*(1+Inputs!$B$33/100)),15)/15,(Skills!Y21*(1+Inputs!$B$33/100))/Skills!D21)))+((C485=TRUE)*(F485-Calc!F28))+((C475=TRUE)*(F475-Calc!F18)))/100)*(1+((C472=TRUE)*F472*IF(AND(Inputs!$B$4&lt;&gt;"pvp",Inputs!$B$35&gt;0),(((S472-1)*(Skills!Y15*(1+Inputs!$B$33/100))+MIN((Skills!Y15*(1+Inputs!$B$33/100)),MAX(0,Inputs!$B$35-((S472-1)*Skills!D15))))/Inputs!$B$35),IF(Inputs!$B$4="pvp",MIN((Skills!Y15*(1+Inputs!$B$33/100)),15)/15,(Skills!Y15*(1+Inputs!$B$33/100))/Skills!D15)))/100)*(1+((C463=TRUE)*F463*B491)/100))*B499*I462)</f>
        <v/>
      </c>
      <c r="L462">
        <f>K462*(MIN(Inputs!$B$21+((C481=TRUE)*(F481-Calc!F24)),(Inputs!$B$22+1))/100+(Inputs!$B$22+1)/100)/2</f>
        <v/>
      </c>
      <c r="M462">
        <f>L462*(1+(Inputs!$B$9+((C483=TRUE)*(F483-Calc!F26))+B500)/100)</f>
        <v/>
      </c>
      <c r="N462">
        <f>L462*(1-MIN((Inputs!$B$8+((C482=TRUE)*(F482-Calc!F25))+B497),100)/100)+M462*(MIN((Inputs!$B$8+((C482=TRUE)*(F482-Calc!F25))+B497),100)/100)</f>
        <v/>
      </c>
      <c r="O462">
        <f>IF(C462,H462*N462*IF(AND(Inputs!$B$4&lt;&gt;"pvp",Inputs!$B$35&gt;0),((Skills!G5*((R462-1)*IF(Skills!H5&gt;0,Skills!I5/Skills!H5,1)+IF(Skills!H5&gt;0,MIN(Skills!I5,MAX(0,Inputs!$B$35-((R462-1)*IF(Inputs!$B$4="pvp",15,MAX(0.1,Skills!D5-IF(Skills!E5=TRUE,Inputs!$B$31,0))))))/Skills!H5,1)))/Inputs!$B$35),G462*Q462)*IF(Inputs!$B$4="pvp",1,(1-Summary!$B$55)*(1)+Summary!$B$55*(MIN(Skills!W5,Inputs!$B$37))),0)</f>
        <v/>
      </c>
      <c r="P462">
        <f>IF(B501=0,0,O462/B501)</f>
        <v/>
      </c>
      <c r="Q462">
        <f>IFERROR(1/IF(Inputs!$B$4="pvp",15,MAX(0.1,Skills!D5-IF(Skills!E5=TRUE,Inputs!$B$31,0))),0)</f>
        <v/>
      </c>
      <c r="R462">
        <f>IF(AND(Inputs!$B$4&lt;&gt;"pvp",Inputs!$B$35&gt;0),(INT(Inputs!$B$35/IF(Inputs!$B$4="pvp",15,MAX(0.1,Skills!D5-IF(Skills!E5=TRUE,Inputs!$B$31,0))))+1),0)</f>
        <v/>
      </c>
      <c r="S462">
        <f>IFERROR(O462/N462,0)</f>
        <v/>
      </c>
      <c r="U462">
        <f>INDEX(FactorTable!$B$2:$Y$301, MATCH(ROUND(MIN(300,MAX(1,U461)),0), FactorTable!$A$2:$A$301,0), 22)</f>
        <v/>
      </c>
    </row>
    <row r="463">
      <c r="A463">
        <f>Skills!A6</f>
        <v/>
      </c>
      <c r="B463">
        <f>Skills!B6</f>
        <v/>
      </c>
      <c r="C463">
        <f>Inputs!$B$3&gt;=66</f>
        <v/>
      </c>
      <c r="D463">
        <f>IF(Skills!C6=1,60+Inputs!$B$24+Inputs!$B$28,IF(Skills!C6=2,90+Inputs!$B$25+Inputs!$B$28,IF(Skills!C6=3,120+Inputs!$B$26+Inputs!$B$28,MAX(0,(Inputs!$B$3-100)*3)+Inputs!$B$27+Inputs!$B$28)))</f>
        <v/>
      </c>
      <c r="E463">
        <f>INDEX(FactorTable!$B$2:$Y$301, MATCH(ROUND(MIN(300,MAX(1,D463)),0), FactorTable!$A$2:$A$301,0), Skills!M6+1)</f>
        <v/>
      </c>
      <c r="F463">
        <f>IF(Skills!N6=TRUE,(Skills!L6/10)*(E463/1000),Skills!L6/10)+Skills!O6</f>
        <v/>
      </c>
      <c r="G463">
        <f>Calc!G6</f>
        <v/>
      </c>
      <c r="H463">
        <f>Calc!H6</f>
        <v/>
      </c>
      <c r="I463">
        <f>IF(Skills!AA6&lt;&gt;"",1+(Skills!AA6/10)*(U460/1000)/100,1)</f>
        <v/>
      </c>
      <c r="J463" t="inlineStr"/>
      <c r="K463" t="inlineStr"/>
      <c r="L463" t="inlineStr"/>
      <c r="M463" t="inlineStr"/>
      <c r="N463" t="inlineStr"/>
      <c r="O463" t="n">
        <v>0</v>
      </c>
      <c r="P463">
        <f>IF(B501=0,0,O463/B501)</f>
        <v/>
      </c>
      <c r="Q463" t="n">
        <v>0</v>
      </c>
      <c r="R463" t="n">
        <v>0</v>
      </c>
      <c r="S463">
        <f>IFERROR(O463/N463,0)</f>
        <v/>
      </c>
      <c r="U463">
        <f>290*U462/1000</f>
        <v/>
      </c>
    </row>
    <row r="464">
      <c r="A464">
        <f>Skills!A7</f>
        <v/>
      </c>
      <c r="B464">
        <f>Skills!B7</f>
        <v/>
      </c>
      <c r="C464">
        <f>Inputs!$B$3&gt;=66</f>
        <v/>
      </c>
      <c r="D464">
        <f>IF(Skills!C7=1,60+Inputs!$B$24+Inputs!$B$28,IF(Skills!C7=2,90+Inputs!$B$25+Inputs!$B$28,IF(Skills!C7=3,120+Inputs!$B$26+Inputs!$B$28,MAX(0,(Inputs!$B$3-100)*3)+Inputs!$B$27+Inputs!$B$28)))</f>
        <v/>
      </c>
      <c r="E464">
        <f>INDEX(FactorTable!$B$2:$Y$301, MATCH(ROUND(MIN(300,MAX(1,D464)),0), FactorTable!$A$2:$A$301,0), Skills!M7+1)</f>
        <v/>
      </c>
      <c r="F464">
        <f>IF(Skills!N7=TRUE,(Skills!L7/10)*(E464/1000),Skills!L7/10)+Skills!O7</f>
        <v/>
      </c>
      <c r="G464">
        <f>Calc!G7</f>
        <v/>
      </c>
      <c r="H464">
        <f>Calc!H7</f>
        <v/>
      </c>
      <c r="I464">
        <f>IF(Skills!AA7&lt;&gt;"",1+(Skills!AA7/10)*(U460/1000)/100,1)</f>
        <v/>
      </c>
      <c r="J464" t="inlineStr"/>
      <c r="K464" t="inlineStr"/>
      <c r="L464" t="inlineStr"/>
      <c r="M464" t="inlineStr"/>
      <c r="N464" t="inlineStr"/>
      <c r="O464" t="n">
        <v>0</v>
      </c>
      <c r="P464">
        <f>IF(B501=0,0,O464/B501)</f>
        <v/>
      </c>
      <c r="Q464" t="n">
        <v>0</v>
      </c>
      <c r="R464" t="n">
        <v>0</v>
      </c>
      <c r="S464">
        <f>IFERROR(O464/N464,0)</f>
        <v/>
      </c>
    </row>
    <row r="465">
      <c r="A465">
        <f>Skills!A8</f>
        <v/>
      </c>
      <c r="B465">
        <f>Skills!B8</f>
        <v/>
      </c>
      <c r="C465">
        <f>Inputs!$B$3&gt;=69</f>
        <v/>
      </c>
      <c r="D465">
        <f>IF(Skills!C8=1,60+Inputs!$B$24+Inputs!$B$28,IF(Skills!C8=2,90+Inputs!$B$25+Inputs!$B$28,IF(Skills!C8=3,120+Inputs!$B$26+Inputs!$B$28,MAX(0,(Inputs!$B$3-100)*3)+Inputs!$B$27+Inputs!$B$28)))</f>
        <v/>
      </c>
      <c r="E465">
        <f>INDEX(FactorTable!$B$2:$Y$301, MATCH(ROUND(MIN(300,MAX(1,D465)),0), FactorTable!$A$2:$A$301,0), Skills!M8+1)</f>
        <v/>
      </c>
      <c r="F465">
        <f>IF(Skills!N8=TRUE,(Skills!L8/10)*(E465/1000),Skills!L8/10)+Skills!O8</f>
        <v/>
      </c>
      <c r="G465">
        <f>Calc!G8</f>
        <v/>
      </c>
      <c r="H465">
        <f>Calc!H8</f>
        <v/>
      </c>
      <c r="I465">
        <f>IF(Skills!AA8&lt;&gt;"",1+(Skills!AA8/10)*(U460/1000)/100,1)</f>
        <v/>
      </c>
      <c r="J465">
        <f>(Inputs!$B$5*(1+Inputs!$B$6/100))*(F465/100)</f>
        <v/>
      </c>
      <c r="K465">
        <f>J465*(1+((Inputs!$B$11*(1+Inputs!$B$12/100))*0.01+Inputs!$B$13*0.0025)/100)*(1+Inputs!$B$14/100)*(1+IF(Inputs!$B$4="pvp",0,(1-Summary!$B$55)*(Inputs!$B$19+((C484=TRUE)*(F484-Calc!F27))+Skills!P8+B498)+Summary!$B$55*(Inputs!$B$20+Skills!Q8+B498))/100)*(1+Inputs!$B$15/100)*(5000/(6000+Inputs!$B$7*(1-Inputs!$B$18/100)))*(1+(Inputs!$B$23+((C487=TRUE)*(F487-Calc!F30)))/100)*(1+Skills!R8/100)*(1+(IF(Skills!A8="SHOWDOWN",Inputs!$B$16+((C480=TRUE)*(F480-Calc!F23)),Inputs!$B$17+((C486=TRUE)*(F486-Calc!F29))))/100)*(((1+(((C478=TRUE)*F478*IF(AND(Inputs!$B$4&lt;&gt;"pvp",Inputs!$B$35&gt;0),(((S478-1)*(Skills!Y21*(1+Inputs!$B$33/100))+MIN((Skills!Y21*(1+Inputs!$B$33/100)),MAX(0,Inputs!$B$35-((S478-1)*Skills!D21))))/Inputs!$B$35),IF(Inputs!$B$4="pvp",MIN((Skills!Y21*(1+Inputs!$B$33/100)),15)/15,(Skills!Y21*(1+Inputs!$B$33/100))/Skills!D21)))+((C485=TRUE)*(F485-Calc!F28))+((C475=TRUE)*(F475-Calc!F18)))/100)*(1+((C472=TRUE)*F472*IF(AND(Inputs!$B$4&lt;&gt;"pvp",Inputs!$B$35&gt;0),(((S472-1)*(Skills!Y15*(1+Inputs!$B$33/100))+MIN((Skills!Y15*(1+Inputs!$B$33/100)),MAX(0,Inputs!$B$35-((S472-1)*Skills!D15))))/Inputs!$B$35),IF(Inputs!$B$4="pvp",MIN((Skills!Y15*(1+Inputs!$B$33/100)),15)/15,(Skills!Y15*(1+Inputs!$B$33/100))/Skills!D15)))/100)*(1+((C463=TRUE)*F463*B491)/100))*B499*I465)</f>
        <v/>
      </c>
      <c r="L465">
        <f>K465*(MIN(Inputs!$B$21+((C481=TRUE)*(F481-Calc!F24)),(Inputs!$B$22+1))/100+(Inputs!$B$22+1)/100)/2</f>
        <v/>
      </c>
      <c r="M465">
        <f>L465*(1+(Inputs!$B$9+((C483=TRUE)*(F483-Calc!F26))+B500)/100)</f>
        <v/>
      </c>
      <c r="N465">
        <f>L465*(1-MIN((Inputs!$B$8+((C482=TRUE)*(F482-Calc!F25))+B497),100)/100)+M465*(MIN((Inputs!$B$8+((C482=TRUE)*(F482-Calc!F25))+B497),100)/100)</f>
        <v/>
      </c>
      <c r="O465">
        <f>IF(C465,H465*N465*IF(AND(Inputs!$B$4&lt;&gt;"pvp",Inputs!$B$35&gt;0),((Skills!G8*((R465-1)*IF(Skills!H8&gt;0,Skills!I8/Skills!H8,1)+IF(Skills!H8&gt;0,MIN(Skills!I8,MAX(0,Inputs!$B$35-((R465-1)*IF(Inputs!$B$4="pvp",15,MAX(0.1,Skills!D8-IF(Skills!E8=TRUE,Inputs!$B$31,0))))))/Skills!H8,1)))/Inputs!$B$35),G465*Q465)*IF(Inputs!$B$4="pvp",1,(1-Summary!$B$55)*(1)+Summary!$B$55*(MIN(Skills!W8,Inputs!$B$37))),0)</f>
        <v/>
      </c>
      <c r="P465">
        <f>IF(B501=0,0,O465/B501)</f>
        <v/>
      </c>
      <c r="Q465">
        <f>IFERROR(1/IF(Inputs!$B$4="pvp",15,MAX(0.1,Skills!D8-IF(Skills!E8=TRUE,Inputs!$B$31,0))),0)</f>
        <v/>
      </c>
      <c r="R465">
        <f>IF(AND(Inputs!$B$4&lt;&gt;"pvp",Inputs!$B$35&gt;0),(INT(Inputs!$B$35/IF(Inputs!$B$4="pvp",15,MAX(0.1,Skills!D8-IF(Skills!E8=TRUE,Inputs!$B$31,0))))+1),0)</f>
        <v/>
      </c>
      <c r="S465">
        <f>IFERROR(O465/N465,0)</f>
        <v/>
      </c>
    </row>
    <row r="466">
      <c r="A466">
        <f>Skills!A9</f>
        <v/>
      </c>
      <c r="B466">
        <f>Skills!B9</f>
        <v/>
      </c>
      <c r="C466">
        <f>Inputs!$B$3&gt;=72</f>
        <v/>
      </c>
      <c r="D466">
        <f>IF(Skills!C9=1,60+Inputs!$B$24+Inputs!$B$28,IF(Skills!C9=2,90+Inputs!$B$25+Inputs!$B$28,IF(Skills!C9=3,120+Inputs!$B$26+Inputs!$B$28,MAX(0,(Inputs!$B$3-100)*3)+Inputs!$B$27+Inputs!$B$28)))</f>
        <v/>
      </c>
      <c r="E466">
        <f>INDEX(FactorTable!$B$2:$Y$301, MATCH(ROUND(MIN(300,MAX(1,D466)),0), FactorTable!$A$2:$A$301,0), Skills!M9+1)</f>
        <v/>
      </c>
      <c r="F466">
        <f>IF(Skills!N9=TRUE,(Skills!L9/10)*(E466/1000),Skills!L9/10)+Skills!O9</f>
        <v/>
      </c>
      <c r="G466">
        <f>Calc!G9</f>
        <v/>
      </c>
      <c r="H466">
        <f>Calc!H9</f>
        <v/>
      </c>
      <c r="I466">
        <f>IF(Skills!AA9&lt;&gt;"",1+(Skills!AA9/10)*(U460/1000)/100,1)</f>
        <v/>
      </c>
      <c r="J466">
        <f>(Inputs!$B$5*(1+Inputs!$B$6/100))*(F466/100)</f>
        <v/>
      </c>
      <c r="K466">
        <f>J466*(1+((Inputs!$B$11*(1+Inputs!$B$12/100))*0.01+Inputs!$B$13*0.0025)/100)*(1+Inputs!$B$14/100)*(1+IF(Inputs!$B$4="pvp",0,(1-Summary!$B$55)*(Inputs!$B$19+((C484=TRUE)*(F484-Calc!F27))+Skills!P9+B498)+Summary!$B$55*(Inputs!$B$20+Skills!Q9+B498))/100)*(1+Inputs!$B$15/100)*(5000/(6000+Inputs!$B$7*(1-Inputs!$B$18/100)))*(1+(Inputs!$B$23+((C487=TRUE)*(F487-Calc!F30)))/100)*(1+Skills!R9/100)*(1+(IF(Skills!A9="SHOWDOWN",Inputs!$B$16+((C480=TRUE)*(F480-Calc!F23)),Inputs!$B$17+((C486=TRUE)*(F486-Calc!F29))))/100)*(((1+(((C478=TRUE)*F478*IF(AND(Inputs!$B$4&lt;&gt;"pvp",Inputs!$B$35&gt;0),(((S478-1)*(Skills!Y21*(1+Inputs!$B$33/100))+MIN((Skills!Y21*(1+Inputs!$B$33/100)),MAX(0,Inputs!$B$35-((S478-1)*Skills!D21))))/Inputs!$B$35),IF(Inputs!$B$4="pvp",MIN((Skills!Y21*(1+Inputs!$B$33/100)),15)/15,(Skills!Y21*(1+Inputs!$B$33/100))/Skills!D21)))+((C485=TRUE)*(F485-Calc!F28))+((C475=TRUE)*(F475-Calc!F18)))/100)*(1+((C472=TRUE)*F472*IF(AND(Inputs!$B$4&lt;&gt;"pvp",Inputs!$B$35&gt;0),(((S472-1)*(Skills!Y15*(1+Inputs!$B$33/100))+MIN((Skills!Y15*(1+Inputs!$B$33/100)),MAX(0,Inputs!$B$35-((S472-1)*Skills!D15))))/Inputs!$B$35),IF(Inputs!$B$4="pvp",MIN((Skills!Y15*(1+Inputs!$B$33/100)),15)/15,(Skills!Y15*(1+Inputs!$B$33/100))/Skills!D15)))/100)*(1+((C463=TRUE)*F463*B491)/100))*B499*I466)</f>
        <v/>
      </c>
      <c r="L466">
        <f>K466*(MIN(Inputs!$B$21+((C481=TRUE)*(F481-Calc!F24)),(Inputs!$B$22+1))/100+(Inputs!$B$22+1)/100)/2</f>
        <v/>
      </c>
      <c r="M466">
        <f>L466*(1+(Inputs!$B$9+((C483=TRUE)*(F483-Calc!F26))+B500)/100)</f>
        <v/>
      </c>
      <c r="N466">
        <f>L466*(1-MIN((Inputs!$B$8+((C482=TRUE)*(F482-Calc!F25))+B497),100)/100)+M466*(MIN((Inputs!$B$8+((C482=TRUE)*(F482-Calc!F25))+B497),100)/100)</f>
        <v/>
      </c>
      <c r="O466">
        <f>IF(C466,H466*N466*IF(AND(Inputs!$B$4&lt;&gt;"pvp",Inputs!$B$35&gt;0),((Skills!G9*((R466-1)*IF(Skills!H9&gt;0,Skills!I9/Skills!H9,1)+IF(Skills!H9&gt;0,MIN(Skills!I9,MAX(0,Inputs!$B$35-((R466-1)*IF(Inputs!$B$4="pvp",15,MAX(0.1,Skills!D9-IF(Skills!E9=TRUE,Inputs!$B$31,0))))))/Skills!H9,1)))/Inputs!$B$35),G466*Q466)*IF(Inputs!$B$4="pvp",1,(1-Summary!$B$55)*(1)+Summary!$B$55*(MIN(Skills!W9,Inputs!$B$37))),0)</f>
        <v/>
      </c>
      <c r="P466">
        <f>IF(B501=0,0,O466/B501)</f>
        <v/>
      </c>
      <c r="Q466">
        <f>IFERROR(1/IF(Inputs!$B$4="pvp",15,MAX(0.1,Skills!D9-IF(Skills!E9=TRUE,Inputs!$B$31,0))),0)</f>
        <v/>
      </c>
      <c r="R466">
        <f>IF(AND(Inputs!$B$4&lt;&gt;"pvp",Inputs!$B$35&gt;0),(INT(Inputs!$B$35/IF(Inputs!$B$4="pvp",15,MAX(0.1,Skills!D9-IF(Skills!E9=TRUE,Inputs!$B$31,0))))+1),0)</f>
        <v/>
      </c>
      <c r="S466">
        <f>IFERROR(O466/N466,0)</f>
        <v/>
      </c>
    </row>
    <row r="467">
      <c r="A467">
        <f>Skills!A10</f>
        <v/>
      </c>
      <c r="B467">
        <f>Skills!B10</f>
        <v/>
      </c>
      <c r="C467">
        <f>Inputs!$B$3&gt;=117</f>
        <v/>
      </c>
      <c r="D467">
        <f>IF(Skills!C10=1,60+Inputs!$B$24+Inputs!$B$28,IF(Skills!C10=2,90+Inputs!$B$25+Inputs!$B$28,IF(Skills!C10=3,120+Inputs!$B$26+Inputs!$B$28,MAX(0,(Inputs!$B$3-100)*3)+Inputs!$B$27+Inputs!$B$28)))</f>
        <v/>
      </c>
      <c r="E467">
        <f>INDEX(FactorTable!$B$2:$Y$301, MATCH(ROUND(MIN(300,MAX(1,D467)),0), FactorTable!$A$2:$A$301,0), Skills!M10+1)</f>
        <v/>
      </c>
      <c r="F467">
        <f>IF(Skills!N10=TRUE,(Skills!L10/10)*(E467/1000),Skills!L10/10)+Skills!O10</f>
        <v/>
      </c>
      <c r="G467">
        <f>Calc!G10</f>
        <v/>
      </c>
      <c r="H467">
        <f>Calc!H10</f>
        <v/>
      </c>
      <c r="I467">
        <f>IF(Skills!AA10&lt;&gt;"",1+(Skills!AA10/10)*(U460/1000)/100,1)</f>
        <v/>
      </c>
      <c r="J467">
        <f>(Inputs!$B$5*(1+Inputs!$B$6/100))*(F467/100)</f>
        <v/>
      </c>
      <c r="K467">
        <f>J467*(1+((Inputs!$B$11*(1+Inputs!$B$12/100))*0.01+Inputs!$B$13*0.0025)/100)*(1+Inputs!$B$14/100)*(1+IF(Inputs!$B$4="pvp",0,(1-Summary!$B$55)*(Inputs!$B$19+((C484=TRUE)*(F484-Calc!F27))+Skills!P10+B498)+Summary!$B$55*(Inputs!$B$20+Skills!Q10+B498))/100)*(1+Inputs!$B$15/100)*(5000/(6000+Inputs!$B$7*(1-Inputs!$B$18/100)))*(1+(Inputs!$B$23+((C487=TRUE)*(F487-Calc!F30)))/100)*(1+Skills!R10/100)*(1+(IF(Skills!A10="SHOWDOWN",Inputs!$B$16+((C480=TRUE)*(F480-Calc!F23)),Inputs!$B$17+((C486=TRUE)*(F486-Calc!F29))))/100)*(((1+(((C478=TRUE)*F478*IF(AND(Inputs!$B$4&lt;&gt;"pvp",Inputs!$B$35&gt;0),(((S478-1)*(Skills!Y21*(1+Inputs!$B$33/100))+MIN((Skills!Y21*(1+Inputs!$B$33/100)),MAX(0,Inputs!$B$35-((S478-1)*Skills!D21))))/Inputs!$B$35),IF(Inputs!$B$4="pvp",MIN((Skills!Y21*(1+Inputs!$B$33/100)),15)/15,(Skills!Y21*(1+Inputs!$B$33/100))/Skills!D21)))+((C485=TRUE)*(F485-Calc!F28))+((C475=TRUE)*(F475-Calc!F18)))/100)*(1+((C472=TRUE)*F472*IF(AND(Inputs!$B$4&lt;&gt;"pvp",Inputs!$B$35&gt;0),(((S472-1)*(Skills!Y15*(1+Inputs!$B$33/100))+MIN((Skills!Y15*(1+Inputs!$B$33/100)),MAX(0,Inputs!$B$35-((S472-1)*Skills!D15))))/Inputs!$B$35),IF(Inputs!$B$4="pvp",MIN((Skills!Y15*(1+Inputs!$B$33/100)),15)/15,(Skills!Y15*(1+Inputs!$B$33/100))/Skills!D15)))/100)*(1+((C463=TRUE)*F463*B491)/100))*B499*I467)</f>
        <v/>
      </c>
      <c r="L467">
        <f>K467*(MIN(Inputs!$B$21+((C481=TRUE)*(F481-Calc!F24)),(Inputs!$B$22+1))/100+(Inputs!$B$22+1)/100)/2</f>
        <v/>
      </c>
      <c r="M467">
        <f>L467*(1+(Inputs!$B$9+((C483=TRUE)*(F483-Calc!F26))+B500)/100)</f>
        <v/>
      </c>
      <c r="N467">
        <f>L467*(1-MIN((Inputs!$B$8+((C482=TRUE)*(F482-Calc!F25))+B497),100)/100)+M467*(MIN((Inputs!$B$8+((C482=TRUE)*(F482-Calc!F25))+B497),100)/100)</f>
        <v/>
      </c>
      <c r="O467">
        <f>IF(C467,0.2*SUMPRODUCT((Skills!Z2:Z31=TRUE)*(C459:C488=TRUE)*S459:S488)*N467,0)</f>
        <v/>
      </c>
      <c r="P467">
        <f>IF(B501=0,0,O467/B501)</f>
        <v/>
      </c>
      <c r="Q467" t="n">
        <v>0</v>
      </c>
      <c r="R467" t="n">
        <v>0</v>
      </c>
      <c r="S467" t="n">
        <v>0</v>
      </c>
    </row>
    <row r="468">
      <c r="A468">
        <f>Skills!A11</f>
        <v/>
      </c>
      <c r="B468">
        <f>Skills!B11</f>
        <v/>
      </c>
      <c r="C468">
        <f>Inputs!$B$3&gt;=60</f>
        <v/>
      </c>
      <c r="D468">
        <f>IF(Skills!C11=1,60+Inputs!$B$24+Inputs!$B$28,IF(Skills!C11=2,90+Inputs!$B$25+Inputs!$B$28,IF(Skills!C11=3,120+Inputs!$B$26+Inputs!$B$28,MAX(0,(Inputs!$B$3-100)*3)+Inputs!$B$27+Inputs!$B$28)))</f>
        <v/>
      </c>
      <c r="E468">
        <f>INDEX(FactorTable!$B$2:$Y$301, MATCH(ROUND(MIN(300,MAX(1,D468)),0), FactorTable!$A$2:$A$301,0), Skills!M11+1)</f>
        <v/>
      </c>
      <c r="F468">
        <f>IF(Skills!N11=TRUE,(Skills!L11/10)*(E468/1000),Skills!L11/10)+Skills!O11</f>
        <v/>
      </c>
      <c r="G468">
        <f>Calc!G11</f>
        <v/>
      </c>
      <c r="H468">
        <f>Calc!H11</f>
        <v/>
      </c>
      <c r="I468">
        <f>IF(Skills!AA11&lt;&gt;"",1+(Skills!AA11/10)*(U460/1000)/100,1)</f>
        <v/>
      </c>
      <c r="J468" t="inlineStr"/>
      <c r="K468" t="inlineStr"/>
      <c r="L468" t="inlineStr"/>
      <c r="M468" t="inlineStr"/>
      <c r="N468" t="inlineStr"/>
      <c r="O468" t="n">
        <v>0</v>
      </c>
      <c r="P468">
        <f>IF(B501=0,0,O468/B501)</f>
        <v/>
      </c>
      <c r="Q468" t="n">
        <v>0</v>
      </c>
      <c r="R468" t="n">
        <v>0</v>
      </c>
      <c r="S468">
        <f>IFERROR(O468/N468,0)</f>
        <v/>
      </c>
    </row>
    <row r="469">
      <c r="A469">
        <f>Skills!A12</f>
        <v/>
      </c>
      <c r="B469">
        <f>Skills!B12</f>
        <v/>
      </c>
      <c r="C469">
        <f>Inputs!$B$3&gt;=103</f>
        <v/>
      </c>
      <c r="D469">
        <f>IF(Skills!C12=1,60+Inputs!$B$24+Inputs!$B$28,IF(Skills!C12=2,90+Inputs!$B$25+Inputs!$B$28,IF(Skills!C12=3,120+Inputs!$B$26+Inputs!$B$28,MAX(0,(Inputs!$B$3-100)*3)+Inputs!$B$27+Inputs!$B$28)))</f>
        <v/>
      </c>
      <c r="E469">
        <f>INDEX(FactorTable!$B$2:$Y$301, MATCH(ROUND(MIN(300,MAX(1,D469)),0), FactorTable!$A$2:$A$301,0), Skills!M12+1)</f>
        <v/>
      </c>
      <c r="F469">
        <f>IF(Skills!N12=TRUE,(Skills!L12/10)*(E469/1000),Skills!L12/10)+Skills!O12</f>
        <v/>
      </c>
      <c r="G469">
        <f>Calc!G12</f>
        <v/>
      </c>
      <c r="H469">
        <f>Calc!H12</f>
        <v/>
      </c>
      <c r="I469">
        <f>IF(Skills!AA12&lt;&gt;"",1+(Skills!AA12/10)*(U460/1000)/100,1)</f>
        <v/>
      </c>
      <c r="J469">
        <f>(Inputs!$B$5*(1+Inputs!$B$6/100))*(F469/100)</f>
        <v/>
      </c>
      <c r="K469">
        <f>J469*(1+((Inputs!$B$11*(1+Inputs!$B$12/100))*0.01+Inputs!$B$13*0.0025)/100)*(1+Inputs!$B$14/100)*(1+IF(Inputs!$B$4="pvp",0,(1-Summary!$B$55)*(Inputs!$B$19+((C484=TRUE)*(F484-Calc!F27))+Skills!P12+B498)+Summary!$B$55*(Inputs!$B$20+Skills!Q12+B498))/100)*(1+Inputs!$B$15/100)*(5000/(6000+Inputs!$B$7*(1-Inputs!$B$18/100)))*(1+(Inputs!$B$23+((C487=TRUE)*(F487-Calc!F30)))/100)*(1+Skills!R12/100)*(1+(IF(Skills!A12="SHOWDOWN",Inputs!$B$16+((C480=TRUE)*(F480-Calc!F23)),Inputs!$B$17+((C486=TRUE)*(F486-Calc!F29))))/100)*(((1+(((C478=TRUE)*F478*IF(AND(Inputs!$B$4&lt;&gt;"pvp",Inputs!$B$35&gt;0),(((S478-1)*(Skills!Y21*(1+Inputs!$B$33/100))+MIN((Skills!Y21*(1+Inputs!$B$33/100)),MAX(0,Inputs!$B$35-((S478-1)*Skills!D21))))/Inputs!$B$35),IF(Inputs!$B$4="pvp",MIN((Skills!Y21*(1+Inputs!$B$33/100)),15)/15,(Skills!Y21*(1+Inputs!$B$33/100))/Skills!D21)))+((C485=TRUE)*(F485-Calc!F28))+((C475=TRUE)*(F475-Calc!F18)))/100)*(1+((C472=TRUE)*F472*IF(AND(Inputs!$B$4&lt;&gt;"pvp",Inputs!$B$35&gt;0),(((S472-1)*(Skills!Y15*(1+Inputs!$B$33/100))+MIN((Skills!Y15*(1+Inputs!$B$33/100)),MAX(0,Inputs!$B$35-((S472-1)*Skills!D15))))/Inputs!$B$35),IF(Inputs!$B$4="pvp",MIN((Skills!Y15*(1+Inputs!$B$33/100)),15)/15,(Skills!Y15*(1+Inputs!$B$33/100))/Skills!D15)))/100)*(1+((C463=TRUE)*F463*B491)/100))*B499*I469)</f>
        <v/>
      </c>
      <c r="L469">
        <f>K469*(MIN(Inputs!$B$21+((C481=TRUE)*(F481-Calc!F24)),(Inputs!$B$22+1))/100+(Inputs!$B$22+1)/100)/2</f>
        <v/>
      </c>
      <c r="M469">
        <f>L469*(1+(Inputs!$B$9+((C483=TRUE)*(F483-Calc!F26))+B500)/100)</f>
        <v/>
      </c>
      <c r="N469">
        <f>L469*(1-MIN((Inputs!$B$8+((C482=TRUE)*(F482-Calc!F25))+B497),100)/100)+M469*(MIN((Inputs!$B$8+((C482=TRUE)*(F482-Calc!F25))+B497),100)/100)</f>
        <v/>
      </c>
      <c r="O469">
        <f>IF(C469,H469*N469*IF(AND(Inputs!$B$4&lt;&gt;"pvp",Inputs!$B$35&gt;0),((Skills!G12*((R469-1)*IF(Skills!H12&gt;0,Skills!I12/Skills!H12,1)+IF(Skills!H12&gt;0,MIN(Skills!I12,MAX(0,Inputs!$B$35-((R469-1)*IF(Inputs!$B$4="pvp",15,MAX(0.1,Skills!D12-IF(Skills!E12=TRUE,Inputs!$B$31,0))))))/Skills!H12,1)))/Inputs!$B$35),G469*Q469)*IF(Inputs!$B$4="pvp",1,(1-Summary!$B$55)*(1)+Summary!$B$55*(MIN(Skills!W12,Inputs!$B$37))),0)</f>
        <v/>
      </c>
      <c r="P469">
        <f>IF(B501=0,0,O469/B501)</f>
        <v/>
      </c>
      <c r="Q469">
        <f>IFERROR(1/IF(Inputs!$B$4="pvp",15,MAX(0.1,Skills!D12-IF(Skills!E12=TRUE,Inputs!$B$31,0))),0)</f>
        <v/>
      </c>
      <c r="R469">
        <f>IF(AND(Inputs!$B$4&lt;&gt;"pvp",Inputs!$B$35&gt;0),(INT(Inputs!$B$35/IF(Inputs!$B$4="pvp",15,MAX(0.1,Skills!D12-IF(Skills!E12=TRUE,Inputs!$B$31,0))))+1),0)</f>
        <v/>
      </c>
      <c r="S469">
        <f>IFERROR(O469/N469,0)</f>
        <v/>
      </c>
    </row>
    <row r="470">
      <c r="A470">
        <f>Skills!A13</f>
        <v/>
      </c>
      <c r="B470">
        <f>Skills!B13</f>
        <v/>
      </c>
      <c r="C470">
        <f>Inputs!$B$3&gt;=105</f>
        <v/>
      </c>
      <c r="D470">
        <f>IF(Skills!C13=1,60+Inputs!$B$24+Inputs!$B$28,IF(Skills!C13=2,90+Inputs!$B$25+Inputs!$B$28,IF(Skills!C13=3,120+Inputs!$B$26+Inputs!$B$28,MAX(0,(Inputs!$B$3-100)*3)+Inputs!$B$27+Inputs!$B$28)))</f>
        <v/>
      </c>
      <c r="E470">
        <f>INDEX(FactorTable!$B$2:$Y$301, MATCH(ROUND(MIN(300,MAX(1,D470)),0), FactorTable!$A$2:$A$301,0), Skills!M13+1)</f>
        <v/>
      </c>
      <c r="F470">
        <f>IF(Skills!N13=TRUE,(Skills!L13/10)*(E470/1000),Skills!L13/10)+Skills!O13</f>
        <v/>
      </c>
      <c r="G470">
        <f>Calc!G13</f>
        <v/>
      </c>
      <c r="H470">
        <f>Calc!H13</f>
        <v/>
      </c>
      <c r="I470">
        <f>IF(Skills!AA13&lt;&gt;"",1+(Skills!AA13/10)*(U460/1000)/100,1)</f>
        <v/>
      </c>
      <c r="J470">
        <f>(Inputs!$B$5*(1+Inputs!$B$6/100))*(F470/100)</f>
        <v/>
      </c>
      <c r="K470">
        <f>J470*(1+((Inputs!$B$11*(1+Inputs!$B$12/100))*0.01+Inputs!$B$13*0.0025)/100)*(1+Inputs!$B$14/100)*(1+IF(Inputs!$B$4="pvp",0,(1-Summary!$B$55)*(Inputs!$B$19+((C484=TRUE)*(F484-Calc!F27))+Skills!P13+B498)+Summary!$B$55*(Inputs!$B$20+Skills!Q13+B498))/100)*(1+Inputs!$B$15/100)*(5000/(6000+Inputs!$B$7*(1-Inputs!$B$18/100)))*(1+(Inputs!$B$23+((C487=TRUE)*(F487-Calc!F30)))/100)*(1+Skills!R13/100)*(1+(IF(Skills!A13="SHOWDOWN",Inputs!$B$16+((C480=TRUE)*(F480-Calc!F23)),Inputs!$B$17+((C486=TRUE)*(F486-Calc!F29))))/100)*(((1+(((C478=TRUE)*F478*IF(AND(Inputs!$B$4&lt;&gt;"pvp",Inputs!$B$35&gt;0),(((S478-1)*(Skills!Y21*(1+Inputs!$B$33/100))+MIN((Skills!Y21*(1+Inputs!$B$33/100)),MAX(0,Inputs!$B$35-((S478-1)*Skills!D21))))/Inputs!$B$35),IF(Inputs!$B$4="pvp",MIN((Skills!Y21*(1+Inputs!$B$33/100)),15)/15,(Skills!Y21*(1+Inputs!$B$33/100))/Skills!D21)))+((C485=TRUE)*(F485-Calc!F28))+((C475=TRUE)*(F475-Calc!F18)))/100)*(1+((C472=TRUE)*F472*IF(AND(Inputs!$B$4&lt;&gt;"pvp",Inputs!$B$35&gt;0),(((S472-1)*(Skills!Y15*(1+Inputs!$B$33/100))+MIN((Skills!Y15*(1+Inputs!$B$33/100)),MAX(0,Inputs!$B$35-((S472-1)*Skills!D15))))/Inputs!$B$35),IF(Inputs!$B$4="pvp",MIN((Skills!Y15*(1+Inputs!$B$33/100)),15)/15,(Skills!Y15*(1+Inputs!$B$33/100))/Skills!D15)))/100)*(1+((C463=TRUE)*F463*B491)/100))*B499*I470)</f>
        <v/>
      </c>
      <c r="L470">
        <f>K470*(MIN(Inputs!$B$21+((C481=TRUE)*(F481-Calc!F24)),(Inputs!$B$22+1))/100+(Inputs!$B$22+1)/100)/2</f>
        <v/>
      </c>
      <c r="M470">
        <f>L470*(1+(Inputs!$B$9+((C483=TRUE)*(F483-Calc!F26))+B500)/100)</f>
        <v/>
      </c>
      <c r="N470">
        <f>L470*(1-MIN((Inputs!$B$8+((C482=TRUE)*(F482-Calc!F25))+B497),100)/100)+M470*(MIN((Inputs!$B$8+((C482=TRUE)*(F482-Calc!F25))+B497),100)/100)</f>
        <v/>
      </c>
      <c r="O470">
        <f>IF(C470,H470*N470*IF(AND(Inputs!$B$4&lt;&gt;"pvp",Inputs!$B$35&gt;0),((Skills!G13*((R470-1)*IF(Skills!H13&gt;0,Skills!I13/Skills!H13,1)+IF(Skills!H13&gt;0,MIN(Skills!I13,MAX(0,Inputs!$B$35-((R470-1)*IF(Inputs!$B$4="pvp",15,MAX(0.1,Skills!D13-IF(Skills!E13=TRUE,Inputs!$B$31,0))))))/Skills!H13,1)))/Inputs!$B$35),G470*Q470)*IF(Inputs!$B$4="pvp",1,(1-Summary!$B$55)*(1)+Summary!$B$55*(MIN(Skills!W13,Inputs!$B$37))),0)</f>
        <v/>
      </c>
      <c r="P470">
        <f>IF(B501=0,0,O470/B501)</f>
        <v/>
      </c>
      <c r="Q470">
        <f>IFERROR(1/IF(Inputs!$B$4="pvp",15,MAX(0.1,Skills!D13-IF(Skills!E13=TRUE,Inputs!$B$31,0))),0)</f>
        <v/>
      </c>
      <c r="R470">
        <f>IF(AND(Inputs!$B$4&lt;&gt;"pvp",Inputs!$B$35&gt;0),(INT(Inputs!$B$35/IF(Inputs!$B$4="pvp",15,MAX(0.1,Skills!D13-IF(Skills!E13=TRUE,Inputs!$B$31,0))))+1),0)</f>
        <v/>
      </c>
      <c r="S470">
        <f>IFERROR(O470/N470,0)</f>
        <v/>
      </c>
    </row>
    <row r="471">
      <c r="A471">
        <f>Skills!A14</f>
        <v/>
      </c>
      <c r="B471">
        <f>Skills!B14</f>
        <v/>
      </c>
      <c r="C471">
        <f>Inputs!$B$3&gt;=105</f>
        <v/>
      </c>
      <c r="D471">
        <f>IF(Skills!C14=1,60+Inputs!$B$24+Inputs!$B$28,IF(Skills!C14=2,90+Inputs!$B$25+Inputs!$B$28,IF(Skills!C14=3,120+Inputs!$B$26+Inputs!$B$28,MAX(0,(Inputs!$B$3-100)*3)+Inputs!$B$27+Inputs!$B$28)))</f>
        <v/>
      </c>
      <c r="E471">
        <f>INDEX(FactorTable!$B$2:$Y$301, MATCH(ROUND(MIN(300,MAX(1,D471)),0), FactorTable!$A$2:$A$301,0), Skills!M14+1)</f>
        <v/>
      </c>
      <c r="F471">
        <f>IF(Skills!N14=TRUE,(Skills!L14/10)*(E471/1000),Skills!L14/10)+Skills!O14</f>
        <v/>
      </c>
      <c r="G471">
        <f>Calc!G14</f>
        <v/>
      </c>
      <c r="H471">
        <f>Calc!H14</f>
        <v/>
      </c>
      <c r="I471">
        <f>IF(Skills!AA14&lt;&gt;"",1+(Skills!AA14/10)*(U460/1000)/100,1)</f>
        <v/>
      </c>
      <c r="J471">
        <f>(Inputs!$B$5*(1+Inputs!$B$6/100))*(F471/100)</f>
        <v/>
      </c>
      <c r="K471">
        <f>J471*(1+((Inputs!$B$11*(1+Inputs!$B$12/100))*0.01+Inputs!$B$13*0.0025)/100)*(1+Inputs!$B$14/100)*(1+IF(Inputs!$B$4="pvp",0,(1-Summary!$B$55)*(Inputs!$B$19+((C484=TRUE)*(F484-Calc!F27))+Skills!P14+B498)+Summary!$B$55*(Inputs!$B$20+Skills!Q14+B498))/100)*(1+Inputs!$B$15/100)*(5000/(6000+Inputs!$B$7*(1-Inputs!$B$18/100)))*(1+(Inputs!$B$23+((C487=TRUE)*(F487-Calc!F30)))/100)*(1+Skills!R14/100)*(1+(IF(Skills!A14="SHOWDOWN",Inputs!$B$16+((C480=TRUE)*(F480-Calc!F23)),Inputs!$B$17+((C486=TRUE)*(F486-Calc!F29))))/100)*(((1+(((C478=TRUE)*F478*IF(AND(Inputs!$B$4&lt;&gt;"pvp",Inputs!$B$35&gt;0),(((S478-1)*(Skills!Y21*(1+Inputs!$B$33/100))+MIN((Skills!Y21*(1+Inputs!$B$33/100)),MAX(0,Inputs!$B$35-((S478-1)*Skills!D21))))/Inputs!$B$35),IF(Inputs!$B$4="pvp",MIN((Skills!Y21*(1+Inputs!$B$33/100)),15)/15,(Skills!Y21*(1+Inputs!$B$33/100))/Skills!D21)))+((C485=TRUE)*(F485-Calc!F28))+((C475=TRUE)*(F475-Calc!F18)))/100)*(1+((C472=TRUE)*F472*IF(AND(Inputs!$B$4&lt;&gt;"pvp",Inputs!$B$35&gt;0),(((S472-1)*(Skills!Y15*(1+Inputs!$B$33/100))+MIN((Skills!Y15*(1+Inputs!$B$33/100)),MAX(0,Inputs!$B$35-((S472-1)*Skills!D15))))/Inputs!$B$35),IF(Inputs!$B$4="pvp",MIN((Skills!Y15*(1+Inputs!$B$33/100)),15)/15,(Skills!Y15*(1+Inputs!$B$33/100))/Skills!D15)))/100)*(1+((C463=TRUE)*F463*B491)/100))*B499*I471)</f>
        <v/>
      </c>
      <c r="L471">
        <f>K471*(MIN(Inputs!$B$21+((C481=TRUE)*(F481-Calc!F24)),(Inputs!$B$22+1))/100+(Inputs!$B$22+1)/100)/2</f>
        <v/>
      </c>
      <c r="M471">
        <f>L471*(1+(Inputs!$B$9+((C483=TRUE)*(F483-Calc!F26))+B500)/100)</f>
        <v/>
      </c>
      <c r="N471">
        <f>L471*(1-MIN((Inputs!$B$8+((C482=TRUE)*(F482-Calc!F25))+B497),100)/100)+M471*(MIN((Inputs!$B$8+((C482=TRUE)*(F482-Calc!F25))+B497),100)/100)</f>
        <v/>
      </c>
      <c r="O471">
        <f>IF(C471,H471*N471*IF(AND(Inputs!$B$4&lt;&gt;"pvp",Inputs!$B$35&gt;0),((Skills!G14*((R471-1)*IF(Skills!H14&gt;0,Skills!I14/Skills!H14,1)+IF(Skills!H14&gt;0,MIN(Skills!I14,MAX(0,Inputs!$B$35-((R471-1)*IF(Inputs!$B$4="pvp",15,MAX(0.1,Skills!D14-IF(Skills!E14=TRUE,Inputs!$B$31,0))))))/Skills!H14,1)))/Inputs!$B$35),G471*Q471)*IF(Inputs!$B$4="pvp",1,(1-Summary!$B$55)*(1)+Summary!$B$55*(MIN(Skills!W14,Inputs!$B$37))),0)</f>
        <v/>
      </c>
      <c r="P471">
        <f>IF(B501=0,0,O471/B501)</f>
        <v/>
      </c>
      <c r="Q471">
        <f>IFERROR(1/IF(Inputs!$B$4="pvp",15,MAX(0.1,Skills!D14-IF(Skills!E14=TRUE,Inputs!$B$31,0))),0)</f>
        <v/>
      </c>
      <c r="R471">
        <f>IF(AND(Inputs!$B$4&lt;&gt;"pvp",Inputs!$B$35&gt;0),(INT(Inputs!$B$35/IF(Inputs!$B$4="pvp",15,MAX(0.1,Skills!D14-IF(Skills!E14=TRUE,Inputs!$B$31,0))))+1),0)</f>
        <v/>
      </c>
      <c r="S471">
        <f>IFERROR(O471/N471,0)</f>
        <v/>
      </c>
    </row>
    <row r="472">
      <c r="A472">
        <f>Skills!A15</f>
        <v/>
      </c>
      <c r="B472">
        <f>Skills!B15</f>
        <v/>
      </c>
      <c r="C472">
        <f>Inputs!$B$3&gt;=110</f>
        <v/>
      </c>
      <c r="D472">
        <f>IF(Skills!C15=1,60+Inputs!$B$24+Inputs!$B$28,IF(Skills!C15=2,90+Inputs!$B$25+Inputs!$B$28,IF(Skills!C15=3,120+Inputs!$B$26+Inputs!$B$28,MAX(0,(Inputs!$B$3-100)*3)+Inputs!$B$27+Inputs!$B$28)))</f>
        <v/>
      </c>
      <c r="E472">
        <f>INDEX(FactorTable!$B$2:$Y$301, MATCH(ROUND(MIN(300,MAX(1,D472)),0), FactorTable!$A$2:$A$301,0), Skills!M15+1)</f>
        <v/>
      </c>
      <c r="F472">
        <f>IF(Skills!N15=TRUE,(Skills!L15/10)*(E472/1000),Skills!L15/10)+Skills!O15</f>
        <v/>
      </c>
      <c r="G472">
        <f>Calc!G15</f>
        <v/>
      </c>
      <c r="H472">
        <f>Calc!H15</f>
        <v/>
      </c>
      <c r="I472">
        <f>IF(Skills!AA15&lt;&gt;"",1+(Skills!AA15/10)*(U460/1000)/100,1)</f>
        <v/>
      </c>
      <c r="J472" t="inlineStr"/>
      <c r="K472" t="inlineStr"/>
      <c r="L472" t="inlineStr"/>
      <c r="M472" t="inlineStr"/>
      <c r="N472" t="inlineStr"/>
      <c r="O472" t="n">
        <v>0</v>
      </c>
      <c r="P472">
        <f>IF(B501=0,0,O472/B501)</f>
        <v/>
      </c>
      <c r="Q472">
        <f>IFERROR(1/IF(Inputs!$B$4="pvp",15,MAX(0.1,Skills!D15-IF(Skills!E15=TRUE,Inputs!$B$31,0))),0)</f>
        <v/>
      </c>
      <c r="R472">
        <f>IF(AND(Inputs!$B$4&lt;&gt;"pvp",Inputs!$B$35&gt;0),(INT(Inputs!$B$35/IF(Inputs!$B$4="pvp",15,MAX(0.1,Skills!D15-IF(Skills!E15=TRUE,Inputs!$B$31,0))))+1),0)</f>
        <v/>
      </c>
      <c r="S472">
        <f>IFERROR(O472/N472,0)</f>
        <v/>
      </c>
    </row>
    <row r="473">
      <c r="A473">
        <f>Skills!A16</f>
        <v/>
      </c>
      <c r="B473">
        <f>Skills!B16</f>
        <v/>
      </c>
      <c r="C473">
        <f>Inputs!$B$3&gt;=110</f>
        <v/>
      </c>
      <c r="D473">
        <f>IF(Skills!C16=1,60+Inputs!$B$24+Inputs!$B$28,IF(Skills!C16=2,90+Inputs!$B$25+Inputs!$B$28,IF(Skills!C16=3,120+Inputs!$B$26+Inputs!$B$28,MAX(0,(Inputs!$B$3-100)*3)+Inputs!$B$27+Inputs!$B$28)))</f>
        <v/>
      </c>
      <c r="E473">
        <f>INDEX(FactorTable!$B$2:$Y$301, MATCH(ROUND(MIN(300,MAX(1,D473)),0), FactorTable!$A$2:$A$301,0), Skills!M16+1)</f>
        <v/>
      </c>
      <c r="F473">
        <f>IF(Skills!N16=TRUE,(Skills!L16/10)*(E473/1000),Skills!L16/10)+Skills!O16</f>
        <v/>
      </c>
      <c r="G473">
        <f>Calc!G16</f>
        <v/>
      </c>
      <c r="H473">
        <f>Calc!H16</f>
        <v/>
      </c>
      <c r="I473">
        <f>IF(Skills!AA16&lt;&gt;"",1+(Skills!AA16/10)*(U460/1000)/100,1)</f>
        <v/>
      </c>
      <c r="J473" t="inlineStr"/>
      <c r="K473" t="inlineStr"/>
      <c r="L473" t="inlineStr"/>
      <c r="M473" t="inlineStr"/>
      <c r="N473" t="inlineStr"/>
      <c r="O473" t="n">
        <v>0</v>
      </c>
      <c r="P473">
        <f>IF(B501=0,0,O473/B501)</f>
        <v/>
      </c>
      <c r="Q473">
        <f>IFERROR(1/IF(Inputs!$B$4="pvp",15,MAX(0.1,Skills!D16-IF(Skills!E16=TRUE,Inputs!$B$31,0))),0)</f>
        <v/>
      </c>
      <c r="R473">
        <f>IF(AND(Inputs!$B$4&lt;&gt;"pvp",Inputs!$B$35&gt;0),(INT(Inputs!$B$35/IF(Inputs!$B$4="pvp",15,MAX(0.1,Skills!D16-IF(Skills!E16=TRUE,Inputs!$B$31,0))))+1),0)</f>
        <v/>
      </c>
      <c r="S473">
        <f>IFERROR(O473/N473,0)</f>
        <v/>
      </c>
    </row>
    <row r="474">
      <c r="A474">
        <f>Skills!A17</f>
        <v/>
      </c>
      <c r="B474">
        <f>Skills!B17</f>
        <v/>
      </c>
      <c r="C474">
        <f>Inputs!$B$3&gt;=115</f>
        <v/>
      </c>
      <c r="D474">
        <f>IF(Skills!C17=1,60+Inputs!$B$24+Inputs!$B$28,IF(Skills!C17=2,90+Inputs!$B$25+Inputs!$B$28,IF(Skills!C17=3,120+Inputs!$B$26+Inputs!$B$28,MAX(0,(Inputs!$B$3-100)*3)+Inputs!$B$27+Inputs!$B$28)))</f>
        <v/>
      </c>
      <c r="E474">
        <f>INDEX(FactorTable!$B$2:$Y$301, MATCH(ROUND(MIN(300,MAX(1,D474)),0), FactorTable!$A$2:$A$301,0), Skills!M17+1)</f>
        <v/>
      </c>
      <c r="F474">
        <f>IF(Skills!N17=TRUE,(Skills!L17/10)*(E474/1000),Skills!L17/10)+Skills!O17</f>
        <v/>
      </c>
      <c r="G474">
        <f>Calc!G17</f>
        <v/>
      </c>
      <c r="H474">
        <f>Calc!H17</f>
        <v/>
      </c>
      <c r="I474">
        <f>IF(Skills!AA17&lt;&gt;"",1+(Skills!AA17/10)*(U460/1000)/100,1)</f>
        <v/>
      </c>
      <c r="J474">
        <f>(Inputs!$B$5*(1+Inputs!$B$6/100))*(F474/100)</f>
        <v/>
      </c>
      <c r="K474">
        <f>J474*(1+((Inputs!$B$11*(1+Inputs!$B$12/100))*0.01+Inputs!$B$13*0.0025)/100)*(1+Inputs!$B$14/100)*(1+IF(Inputs!$B$4="pvp",0,(1-Summary!$B$55)*(Inputs!$B$19+((C484=TRUE)*(F484-Calc!F27))+Skills!P17+B498)+Summary!$B$55*(Inputs!$B$20+Skills!Q17+B498))/100)*(1+Inputs!$B$15/100)*(5000/(6000+Inputs!$B$7*(1-Inputs!$B$18/100)))*(1+(Inputs!$B$23+((C487=TRUE)*(F487-Calc!F30)))/100)*(1+Skills!R17/100)*(1+(IF(Skills!A17="SHOWDOWN",Inputs!$B$16+((C480=TRUE)*(F480-Calc!F23)),Inputs!$B$17+((C486=TRUE)*(F486-Calc!F29))))/100)*(((1+(((C478=TRUE)*F478*IF(AND(Inputs!$B$4&lt;&gt;"pvp",Inputs!$B$35&gt;0),(((S478-1)*(Skills!Y21*(1+Inputs!$B$33/100))+MIN((Skills!Y21*(1+Inputs!$B$33/100)),MAX(0,Inputs!$B$35-((S478-1)*Skills!D21))))/Inputs!$B$35),IF(Inputs!$B$4="pvp",MIN((Skills!Y21*(1+Inputs!$B$33/100)),15)/15,(Skills!Y21*(1+Inputs!$B$33/100))/Skills!D21)))+((C485=TRUE)*(F485-Calc!F28))+((C475=TRUE)*(F475-Calc!F18)))/100)*(1+((C472=TRUE)*F472*IF(AND(Inputs!$B$4&lt;&gt;"pvp",Inputs!$B$35&gt;0),(((S472-1)*(Skills!Y15*(1+Inputs!$B$33/100))+MIN((Skills!Y15*(1+Inputs!$B$33/100)),MAX(0,Inputs!$B$35-((S472-1)*Skills!D15))))/Inputs!$B$35),IF(Inputs!$B$4="pvp",MIN((Skills!Y15*(1+Inputs!$B$33/100)),15)/15,(Skills!Y15*(1+Inputs!$B$33/100))/Skills!D15)))/100)*(1+((C463=TRUE)*F463*B491)/100))*B499*I474)</f>
        <v/>
      </c>
      <c r="L474">
        <f>K474*(MIN(Inputs!$B$21+((C481=TRUE)*(F481-Calc!F24)),(Inputs!$B$22+1))/100+(Inputs!$B$22+1)/100)/2</f>
        <v/>
      </c>
      <c r="M474">
        <f>L474*(1+(Inputs!$B$9+((C483=TRUE)*(F483-Calc!F26))+B500)/100)</f>
        <v/>
      </c>
      <c r="N474">
        <f>L474*(1-MIN((Inputs!$B$8+((C482=TRUE)*(F482-Calc!F25))+B497),100)/100)+M474*(MIN((Inputs!$B$8+((C482=TRUE)*(F482-Calc!F25))+B497),100)/100)</f>
        <v/>
      </c>
      <c r="O474">
        <f>IF(C474,Inputs!$B$38*0.2*N474,0)</f>
        <v/>
      </c>
      <c r="P474">
        <f>IF(B501=0,0,O474/B501)</f>
        <v/>
      </c>
      <c r="Q474" t="n">
        <v>0</v>
      </c>
      <c r="R474" t="n">
        <v>0</v>
      </c>
      <c r="S474">
        <f>IFERROR(O474/N474,0)</f>
        <v/>
      </c>
    </row>
    <row r="475">
      <c r="A475">
        <f>Skills!A18</f>
        <v/>
      </c>
      <c r="B475">
        <f>Skills!B18</f>
        <v/>
      </c>
      <c r="C475">
        <f>Inputs!$B$3&gt;=115</f>
        <v/>
      </c>
      <c r="D475">
        <f>IF(Skills!C18=1,60+Inputs!$B$24+Inputs!$B$28,IF(Skills!C18=2,90+Inputs!$B$25+Inputs!$B$28,IF(Skills!C18=3,120+Inputs!$B$26+Inputs!$B$28,MAX(0,(Inputs!$B$3-100)*3)+Inputs!$B$27+Inputs!$B$28)))</f>
        <v/>
      </c>
      <c r="E475">
        <f>INDEX(FactorTable!$B$2:$Y$301, MATCH(ROUND(MIN(300,MAX(1,D475)),0), FactorTable!$A$2:$A$301,0), Skills!M18+1)</f>
        <v/>
      </c>
      <c r="F475">
        <f>IF(Skills!N18=TRUE,(Skills!L18/10)*(E475/1000),Skills!L18/10)+Skills!O18</f>
        <v/>
      </c>
      <c r="G475">
        <f>Calc!G18</f>
        <v/>
      </c>
      <c r="H475">
        <f>Calc!H18</f>
        <v/>
      </c>
      <c r="I475">
        <f>IF(Skills!AA18&lt;&gt;"",1+(Skills!AA18/10)*(U460/1000)/100,1)</f>
        <v/>
      </c>
      <c r="J475" t="inlineStr"/>
      <c r="K475" t="inlineStr"/>
      <c r="L475" t="inlineStr"/>
      <c r="M475" t="inlineStr"/>
      <c r="N475" t="inlineStr"/>
      <c r="O475" t="n">
        <v>0</v>
      </c>
      <c r="P475">
        <f>IF(B501=0,0,O475/B501)</f>
        <v/>
      </c>
      <c r="Q475" t="n">
        <v>0</v>
      </c>
      <c r="R475" t="n">
        <v>0</v>
      </c>
      <c r="S475">
        <f>IFERROR(O475/N475,0)</f>
        <v/>
      </c>
    </row>
    <row r="476">
      <c r="A476">
        <f>Skills!A19</f>
        <v/>
      </c>
      <c r="B476">
        <f>Skills!B19</f>
        <v/>
      </c>
      <c r="C476">
        <f>TRUE</f>
        <v/>
      </c>
      <c r="D476">
        <f>IF(Skills!C19=1,60+Inputs!$B$24+Inputs!$B$28,IF(Skills!C19=2,90+Inputs!$B$25+Inputs!$B$28,IF(Skills!C19=3,120+Inputs!$B$26+Inputs!$B$28,MAX(0,(Inputs!$B$3-100)*3)+Inputs!$B$27+Inputs!$B$28)))</f>
        <v/>
      </c>
      <c r="E476">
        <f>INDEX(FactorTable!$B$2:$Y$301, MATCH(ROUND(MIN(300,MAX(1,D476)),0), FactorTable!$A$2:$A$301,0), Skills!M19+1)</f>
        <v/>
      </c>
      <c r="F476">
        <f>IF(Skills!N19=TRUE,(Skills!L19/10)*(E476/1000),Skills!L19/10)+Skills!O19</f>
        <v/>
      </c>
      <c r="G476">
        <f>Calc!G19</f>
        <v/>
      </c>
      <c r="H476">
        <f>Calc!H19</f>
        <v/>
      </c>
      <c r="I476">
        <f>IF(Skills!AA19&lt;&gt;"",1+(Skills!AA19/10)*(U460/1000)/100,1)</f>
        <v/>
      </c>
      <c r="J476" t="inlineStr"/>
      <c r="K476" t="inlineStr"/>
      <c r="L476" t="inlineStr"/>
      <c r="M476" t="inlineStr"/>
      <c r="N476" t="inlineStr"/>
      <c r="O476" t="n">
        <v>0</v>
      </c>
      <c r="P476">
        <f>IF(B501=0,0,O476/B501)</f>
        <v/>
      </c>
      <c r="Q476">
        <f>IFERROR(1/IF(Inputs!$B$4="pvp",15,MAX(0.1,Skills!D19-IF(Skills!E19=TRUE,Inputs!$B$31,0))),0)</f>
        <v/>
      </c>
      <c r="R476">
        <f>IF(AND(Inputs!$B$4&lt;&gt;"pvp",Inputs!$B$35&gt;0),(INT(Inputs!$B$35/IF(Inputs!$B$4="pvp",15,MAX(0.1,Skills!D19-IF(Skills!E19=TRUE,Inputs!$B$31,0))))+1),0)</f>
        <v/>
      </c>
      <c r="S476">
        <f>IFERROR(O476/N476,0)</f>
        <v/>
      </c>
    </row>
    <row r="477">
      <c r="A477">
        <f>Skills!A20</f>
        <v/>
      </c>
      <c r="B477">
        <f>Skills!B20</f>
        <v/>
      </c>
      <c r="C477">
        <f>Inputs!$B$3&gt;=15</f>
        <v/>
      </c>
      <c r="D477">
        <f>IF(Skills!C20=1,60+Inputs!$B$24+Inputs!$B$28,IF(Skills!C20=2,90+Inputs!$B$25+Inputs!$B$28,IF(Skills!C20=3,120+Inputs!$B$26+Inputs!$B$28,MAX(0,(Inputs!$B$3-100)*3)+Inputs!$B$27+Inputs!$B$28)))</f>
        <v/>
      </c>
      <c r="E477">
        <f>INDEX(FactorTable!$B$2:$Y$301, MATCH(ROUND(MIN(300,MAX(1,D477)),0), FactorTable!$A$2:$A$301,0), Skills!M20+1)</f>
        <v/>
      </c>
      <c r="F477">
        <f>IF(Skills!N20=TRUE,(Skills!L20/10)*(E477/1000),Skills!L20/10)+Skills!O20</f>
        <v/>
      </c>
      <c r="G477">
        <f>Calc!G20</f>
        <v/>
      </c>
      <c r="H477">
        <f>Calc!H20</f>
        <v/>
      </c>
      <c r="I477">
        <f>IF(Skills!AA20&lt;&gt;"",1+(Skills!AA20/10)*(U460/1000)/100,1)</f>
        <v/>
      </c>
      <c r="J477" t="inlineStr"/>
      <c r="K477" t="inlineStr"/>
      <c r="L477" t="inlineStr"/>
      <c r="M477" t="inlineStr"/>
      <c r="N477" t="inlineStr"/>
      <c r="O477" t="n">
        <v>0</v>
      </c>
      <c r="P477">
        <f>IF(B501=0,0,O477/B501)</f>
        <v/>
      </c>
      <c r="Q477">
        <f>IFERROR(1/IF(Inputs!$B$4="pvp",15,MAX(0.1,Skills!D20-IF(Skills!E20=TRUE,Inputs!$B$31,0))),0)</f>
        <v/>
      </c>
      <c r="R477">
        <f>IF(AND(Inputs!$B$4&lt;&gt;"pvp",Inputs!$B$35&gt;0),(INT(Inputs!$B$35/IF(Inputs!$B$4="pvp",15,MAX(0.1,Skills!D20-IF(Skills!E20=TRUE,Inputs!$B$31,0))))+1),0)</f>
        <v/>
      </c>
      <c r="S477">
        <f>IFERROR(O477/N477,0)</f>
        <v/>
      </c>
    </row>
    <row r="478">
      <c r="A478">
        <f>Skills!A21</f>
        <v/>
      </c>
      <c r="B478">
        <f>Skills!B21</f>
        <v/>
      </c>
      <c r="C478">
        <f>Inputs!$B$3&gt;=15</f>
        <v/>
      </c>
      <c r="D478">
        <f>IF(Skills!C21=1,60+Inputs!$B$24+Inputs!$B$28,IF(Skills!C21=2,90+Inputs!$B$25+Inputs!$B$28,IF(Skills!C21=3,120+Inputs!$B$26+Inputs!$B$28,MAX(0,(Inputs!$B$3-100)*3)+Inputs!$B$27+Inputs!$B$28)))</f>
        <v/>
      </c>
      <c r="E478">
        <f>INDEX(FactorTable!$B$2:$Y$301, MATCH(ROUND(MIN(300,MAX(1,D478)),0), FactorTable!$A$2:$A$301,0), Skills!M21+1)</f>
        <v/>
      </c>
      <c r="F478">
        <f>IF(Skills!N21=TRUE,(Skills!L21/10)*(E478/1000),Skills!L21/10)+Skills!O21</f>
        <v/>
      </c>
      <c r="G478">
        <f>Calc!G21</f>
        <v/>
      </c>
      <c r="H478">
        <f>Calc!H21</f>
        <v/>
      </c>
      <c r="I478">
        <f>IF(Skills!AA21&lt;&gt;"",1+(Skills!AA21/10)*(U460/1000)/100,1)</f>
        <v/>
      </c>
      <c r="J478" t="inlineStr"/>
      <c r="K478" t="inlineStr"/>
      <c r="L478" t="inlineStr"/>
      <c r="M478" t="inlineStr"/>
      <c r="N478" t="inlineStr"/>
      <c r="O478" t="n">
        <v>0</v>
      </c>
      <c r="P478">
        <f>IF(B501=0,0,O478/B501)</f>
        <v/>
      </c>
      <c r="Q478">
        <f>IFERROR(1/IF(Inputs!$B$4="pvp",15,MAX(0.1,Skills!D21-IF(Skills!E21=TRUE,Inputs!$B$31,0))),0)</f>
        <v/>
      </c>
      <c r="R478">
        <f>IF(AND(Inputs!$B$4&lt;&gt;"pvp",Inputs!$B$35&gt;0),(INT(Inputs!$B$35/IF(Inputs!$B$4="pvp",15,MAX(0.1,Skills!D21-IF(Skills!E21=TRUE,Inputs!$B$31,0))))+1),0)</f>
        <v/>
      </c>
      <c r="S478">
        <f>IFERROR(O478/N478,0)</f>
        <v/>
      </c>
    </row>
    <row r="479">
      <c r="A479">
        <f>Skills!A22</f>
        <v/>
      </c>
      <c r="B479">
        <f>Skills!B22</f>
        <v/>
      </c>
      <c r="C479">
        <f>Inputs!$B$3&gt;=33</f>
        <v/>
      </c>
      <c r="D479">
        <f>IF(Skills!C22=1,60+Inputs!$B$24+Inputs!$B$28,IF(Skills!C22=2,90+Inputs!$B$25+Inputs!$B$28,IF(Skills!C22=3,120+Inputs!$B$26+Inputs!$B$28,MAX(0,(Inputs!$B$3-100)*3)+Inputs!$B$27+Inputs!$B$28)))</f>
        <v/>
      </c>
      <c r="E479">
        <f>INDEX(FactorTable!$B$2:$Y$301, MATCH(ROUND(MIN(300,MAX(1,D479)),0), FactorTable!$A$2:$A$301,0), Skills!M22+1)</f>
        <v/>
      </c>
      <c r="F479">
        <f>IF(Skills!N22=TRUE,(Skills!L22/10)*(E479/1000),Skills!L22/10)+Skills!O22</f>
        <v/>
      </c>
      <c r="G479">
        <f>Calc!G22</f>
        <v/>
      </c>
      <c r="H479">
        <f>Calc!H22</f>
        <v/>
      </c>
      <c r="I479">
        <f>IF(Skills!AA22&lt;&gt;"",1+(Skills!AA22/10)*(U460/1000)/100,1)</f>
        <v/>
      </c>
      <c r="J479" t="inlineStr"/>
      <c r="K479" t="inlineStr"/>
      <c r="L479" t="inlineStr"/>
      <c r="M479" t="inlineStr"/>
      <c r="N479" t="inlineStr"/>
      <c r="O479" t="n">
        <v>0</v>
      </c>
      <c r="P479">
        <f>IF(B501=0,0,O479/B501)</f>
        <v/>
      </c>
      <c r="Q479" t="n">
        <v>0</v>
      </c>
      <c r="R479" t="n">
        <v>0</v>
      </c>
      <c r="S479">
        <f>IFERROR(O479/N479,0)</f>
        <v/>
      </c>
    </row>
    <row r="480">
      <c r="A480">
        <f>Skills!A23</f>
        <v/>
      </c>
      <c r="B480">
        <f>Skills!B23</f>
        <v/>
      </c>
      <c r="C480">
        <f>Inputs!$B$3&gt;=38</f>
        <v/>
      </c>
      <c r="D480">
        <f>IF(Skills!C23=1,60+Inputs!$B$24+Inputs!$B$28,IF(Skills!C23=2,90+Inputs!$B$25+Inputs!$B$28,IF(Skills!C23=3,120+Inputs!$B$26+Inputs!$B$28,MAX(0,(Inputs!$B$3-100)*3)+Inputs!$B$27+Inputs!$B$28)))</f>
        <v/>
      </c>
      <c r="E480">
        <f>INDEX(FactorTable!$B$2:$Y$301, MATCH(ROUND(MIN(300,MAX(1,D480)),0), FactorTable!$A$2:$A$301,0), Skills!M23+1)</f>
        <v/>
      </c>
      <c r="F480">
        <f>IF(Skills!N23=TRUE,(Skills!L23/10)*(E480/1000),Skills!L23/10)+Skills!O23</f>
        <v/>
      </c>
      <c r="G480">
        <f>Calc!G23</f>
        <v/>
      </c>
      <c r="H480">
        <f>Calc!H23</f>
        <v/>
      </c>
      <c r="I480">
        <f>IF(Skills!AA23&lt;&gt;"",1+(Skills!AA23/10)*(U460/1000)/100,1)</f>
        <v/>
      </c>
      <c r="J480" t="inlineStr"/>
      <c r="K480" t="inlineStr"/>
      <c r="L480" t="inlineStr"/>
      <c r="M480" t="inlineStr"/>
      <c r="N480" t="inlineStr"/>
      <c r="O480" t="n">
        <v>0</v>
      </c>
      <c r="P480">
        <f>IF(B501=0,0,O480/B501)</f>
        <v/>
      </c>
      <c r="Q480" t="n">
        <v>0</v>
      </c>
      <c r="R480" t="n">
        <v>0</v>
      </c>
      <c r="S480">
        <f>IFERROR(O480/N480,0)</f>
        <v/>
      </c>
    </row>
    <row r="481">
      <c r="A481">
        <f>Skills!A24</f>
        <v/>
      </c>
      <c r="B481">
        <f>Skills!B24</f>
        <v/>
      </c>
      <c r="C481">
        <f>Inputs!$B$3&gt;=40</f>
        <v/>
      </c>
      <c r="D481">
        <f>IF(Skills!C24=1,60+Inputs!$B$24+Inputs!$B$28,IF(Skills!C24=2,90+Inputs!$B$25+Inputs!$B$28,IF(Skills!C24=3,120+Inputs!$B$26+Inputs!$B$28,MAX(0,(Inputs!$B$3-100)*3)+Inputs!$B$27+Inputs!$B$28)))</f>
        <v/>
      </c>
      <c r="E481">
        <f>INDEX(FactorTable!$B$2:$Y$301, MATCH(ROUND(MIN(300,MAX(1,D481)),0), FactorTable!$A$2:$A$301,0), Skills!M24+1)</f>
        <v/>
      </c>
      <c r="F481">
        <f>IF(Skills!N24=TRUE,(Skills!L24/10)*(E481/1000),Skills!L24/10)+Skills!O24</f>
        <v/>
      </c>
      <c r="G481">
        <f>Calc!G24</f>
        <v/>
      </c>
      <c r="H481">
        <f>Calc!H24</f>
        <v/>
      </c>
      <c r="I481">
        <f>IF(Skills!AA24&lt;&gt;"",1+(Skills!AA24/10)*(U460/1000)/100,1)</f>
        <v/>
      </c>
      <c r="J481" t="inlineStr"/>
      <c r="K481" t="inlineStr"/>
      <c r="L481" t="inlineStr"/>
      <c r="M481" t="inlineStr"/>
      <c r="N481" t="inlineStr"/>
      <c r="O481" t="n">
        <v>0</v>
      </c>
      <c r="P481">
        <f>IF(B501=0,0,O481/B501)</f>
        <v/>
      </c>
      <c r="Q481" t="n">
        <v>0</v>
      </c>
      <c r="R481" t="n">
        <v>0</v>
      </c>
      <c r="S481">
        <f>IFERROR(O481/N481,0)</f>
        <v/>
      </c>
    </row>
    <row r="482">
      <c r="A482">
        <f>Skills!A25</f>
        <v/>
      </c>
      <c r="B482">
        <f>Skills!B25</f>
        <v/>
      </c>
      <c r="C482">
        <f>Inputs!$B$3&gt;=45</f>
        <v/>
      </c>
      <c r="D482">
        <f>IF(Skills!C25=1,60+Inputs!$B$24+Inputs!$B$28,IF(Skills!C25=2,90+Inputs!$B$25+Inputs!$B$28,IF(Skills!C25=3,120+Inputs!$B$26+Inputs!$B$28,MAX(0,(Inputs!$B$3-100)*3)+Inputs!$B$27+Inputs!$B$28)))</f>
        <v/>
      </c>
      <c r="E482">
        <f>INDEX(FactorTable!$B$2:$Y$301, MATCH(ROUND(MIN(300,MAX(1,D482)),0), FactorTable!$A$2:$A$301,0), Skills!M25+1)</f>
        <v/>
      </c>
      <c r="F482">
        <f>IF(Skills!N25=TRUE,(Skills!L25/10)*(E482/1000),Skills!L25/10)+Skills!O25</f>
        <v/>
      </c>
      <c r="G482">
        <f>Calc!G25</f>
        <v/>
      </c>
      <c r="H482">
        <f>Calc!H25</f>
        <v/>
      </c>
      <c r="I482">
        <f>IF(Skills!AA25&lt;&gt;"",1+(Skills!AA25/10)*(U460/1000)/100,1)</f>
        <v/>
      </c>
      <c r="J482" t="inlineStr"/>
      <c r="K482" t="inlineStr"/>
      <c r="L482" t="inlineStr"/>
      <c r="M482" t="inlineStr"/>
      <c r="N482" t="inlineStr"/>
      <c r="O482" t="n">
        <v>0</v>
      </c>
      <c r="P482">
        <f>IF(B501=0,0,O482/B501)</f>
        <v/>
      </c>
      <c r="Q482" t="n">
        <v>0</v>
      </c>
      <c r="R482" t="n">
        <v>0</v>
      </c>
      <c r="S482">
        <f>IFERROR(O482/N482,0)</f>
        <v/>
      </c>
    </row>
    <row r="483">
      <c r="A483">
        <f>Skills!A26</f>
        <v/>
      </c>
      <c r="B483">
        <f>Skills!B26</f>
        <v/>
      </c>
      <c r="C483">
        <f>Inputs!$B$3&gt;=45</f>
        <v/>
      </c>
      <c r="D483">
        <f>IF(Skills!C26=1,60+Inputs!$B$24+Inputs!$B$28,IF(Skills!C26=2,90+Inputs!$B$25+Inputs!$B$28,IF(Skills!C26=3,120+Inputs!$B$26+Inputs!$B$28,MAX(0,(Inputs!$B$3-100)*3)+Inputs!$B$27+Inputs!$B$28)))</f>
        <v/>
      </c>
      <c r="E483">
        <f>INDEX(FactorTable!$B$2:$Y$301, MATCH(ROUND(MIN(300,MAX(1,D483)),0), FactorTable!$A$2:$A$301,0), Skills!M26+1)</f>
        <v/>
      </c>
      <c r="F483">
        <f>IF(Skills!N26=TRUE,(Skills!L26/10)*(E483/1000),Skills!L26/10)+Skills!O26</f>
        <v/>
      </c>
      <c r="G483">
        <f>Calc!G26</f>
        <v/>
      </c>
      <c r="H483">
        <f>Calc!H26</f>
        <v/>
      </c>
      <c r="I483">
        <f>IF(Skills!AA26&lt;&gt;"",1+(Skills!AA26/10)*(U460/1000)/100,1)</f>
        <v/>
      </c>
      <c r="J483" t="inlineStr"/>
      <c r="K483" t="inlineStr"/>
      <c r="L483" t="inlineStr"/>
      <c r="M483" t="inlineStr"/>
      <c r="N483" t="inlineStr"/>
      <c r="O483" t="n">
        <v>0</v>
      </c>
      <c r="P483">
        <f>IF(B501=0,0,O483/B501)</f>
        <v/>
      </c>
      <c r="Q483" t="n">
        <v>0</v>
      </c>
      <c r="R483" t="n">
        <v>0</v>
      </c>
      <c r="S483">
        <f>IFERROR(O483/N483,0)</f>
        <v/>
      </c>
    </row>
    <row r="484">
      <c r="A484">
        <f>Skills!A27</f>
        <v/>
      </c>
      <c r="B484">
        <f>Skills!B27</f>
        <v/>
      </c>
      <c r="C484">
        <f>Inputs!$B$3&gt;=72</f>
        <v/>
      </c>
      <c r="D484">
        <f>IF(Skills!C27=1,60+Inputs!$B$24+Inputs!$B$28,IF(Skills!C27=2,90+Inputs!$B$25+Inputs!$B$28,IF(Skills!C27=3,120+Inputs!$B$26+Inputs!$B$28,MAX(0,(Inputs!$B$3-100)*3)+Inputs!$B$27+Inputs!$B$28)))</f>
        <v/>
      </c>
      <c r="E484">
        <f>INDEX(FactorTable!$B$2:$Y$301, MATCH(ROUND(MIN(300,MAX(1,D484)),0), FactorTable!$A$2:$A$301,0), Skills!M27+1)</f>
        <v/>
      </c>
      <c r="F484">
        <f>IF(Skills!N27=TRUE,(Skills!L27/10)*(E484/1000),Skills!L27/10)+Skills!O27</f>
        <v/>
      </c>
      <c r="G484">
        <f>Calc!G27</f>
        <v/>
      </c>
      <c r="H484">
        <f>Calc!H27</f>
        <v/>
      </c>
      <c r="I484">
        <f>IF(Skills!AA27&lt;&gt;"",1+(Skills!AA27/10)*(U460/1000)/100,1)</f>
        <v/>
      </c>
      <c r="J484" t="inlineStr"/>
      <c r="K484" t="inlineStr"/>
      <c r="L484" t="inlineStr"/>
      <c r="M484" t="inlineStr"/>
      <c r="N484" t="inlineStr"/>
      <c r="O484" t="n">
        <v>0</v>
      </c>
      <c r="P484">
        <f>IF(B501=0,0,O484/B501)</f>
        <v/>
      </c>
      <c r="Q484" t="n">
        <v>0</v>
      </c>
      <c r="R484" t="n">
        <v>0</v>
      </c>
      <c r="S484">
        <f>IFERROR(O484/N484,0)</f>
        <v/>
      </c>
    </row>
    <row r="485">
      <c r="A485">
        <f>Skills!A28</f>
        <v/>
      </c>
      <c r="B485">
        <f>Skills!B28</f>
        <v/>
      </c>
      <c r="C485">
        <f>Inputs!$B$3&gt;=75</f>
        <v/>
      </c>
      <c r="D485">
        <f>IF(Skills!C28=1,60+Inputs!$B$24+Inputs!$B$28,IF(Skills!C28=2,90+Inputs!$B$25+Inputs!$B$28,IF(Skills!C28=3,120+Inputs!$B$26+Inputs!$B$28,MAX(0,(Inputs!$B$3-100)*3)+Inputs!$B$27+Inputs!$B$28)))</f>
        <v/>
      </c>
      <c r="E485">
        <f>INDEX(FactorTable!$B$2:$Y$301, MATCH(ROUND(MIN(300,MAX(1,D485)),0), FactorTable!$A$2:$A$301,0), Skills!M28+1)</f>
        <v/>
      </c>
      <c r="F485">
        <f>IF(Skills!N28=TRUE,(Skills!L28/10)*(E485/1000),Skills!L28/10)+Skills!O28</f>
        <v/>
      </c>
      <c r="G485">
        <f>Calc!G28</f>
        <v/>
      </c>
      <c r="H485">
        <f>Calc!H28</f>
        <v/>
      </c>
      <c r="I485">
        <f>IF(Skills!AA28&lt;&gt;"",1+(Skills!AA28/10)*(U460/1000)/100,1)</f>
        <v/>
      </c>
      <c r="J485" t="inlineStr"/>
      <c r="K485" t="inlineStr"/>
      <c r="L485" t="inlineStr"/>
      <c r="M485" t="inlineStr"/>
      <c r="N485" t="inlineStr"/>
      <c r="O485" t="n">
        <v>0</v>
      </c>
      <c r="P485">
        <f>IF(B501=0,0,O485/B501)</f>
        <v/>
      </c>
      <c r="Q485" t="n">
        <v>0</v>
      </c>
      <c r="R485" t="n">
        <v>0</v>
      </c>
      <c r="S485">
        <f>IFERROR(O485/N485,0)</f>
        <v/>
      </c>
    </row>
    <row r="486">
      <c r="A486">
        <f>Skills!A29</f>
        <v/>
      </c>
      <c r="B486">
        <f>Skills!B29</f>
        <v/>
      </c>
      <c r="C486">
        <f>Inputs!$B$3&gt;=120</f>
        <v/>
      </c>
      <c r="D486">
        <f>IF(Skills!C29=1,60+Inputs!$B$24+Inputs!$B$28,IF(Skills!C29=2,90+Inputs!$B$25+Inputs!$B$28,IF(Skills!C29=3,120+Inputs!$B$26+Inputs!$B$28,MAX(0,(Inputs!$B$3-100)*3)+Inputs!$B$27+Inputs!$B$28)))</f>
        <v/>
      </c>
      <c r="E486">
        <f>INDEX(FactorTable!$B$2:$Y$301, MATCH(ROUND(MIN(300,MAX(1,D486)),0), FactorTable!$A$2:$A$301,0), Skills!M29+1)</f>
        <v/>
      </c>
      <c r="F486">
        <f>IF(Skills!N29=TRUE,(Skills!L29/10)*(E486/1000),Skills!L29/10)+Skills!O29</f>
        <v/>
      </c>
      <c r="G486">
        <f>Calc!G29</f>
        <v/>
      </c>
      <c r="H486">
        <f>Calc!H29</f>
        <v/>
      </c>
      <c r="I486">
        <f>IF(Skills!AA29&lt;&gt;"",1+(Skills!AA29/10)*(U460/1000)/100,1)</f>
        <v/>
      </c>
      <c r="J486" t="inlineStr"/>
      <c r="K486" t="inlineStr"/>
      <c r="L486" t="inlineStr"/>
      <c r="M486" t="inlineStr"/>
      <c r="N486" t="inlineStr"/>
      <c r="O486" t="n">
        <v>0</v>
      </c>
      <c r="P486">
        <f>IF(B501=0,0,O486/B501)</f>
        <v/>
      </c>
      <c r="Q486" t="n">
        <v>0</v>
      </c>
      <c r="R486" t="n">
        <v>0</v>
      </c>
      <c r="S486">
        <f>IFERROR(O486/N486,0)</f>
        <v/>
      </c>
    </row>
    <row r="487">
      <c r="A487">
        <f>Skills!A30</f>
        <v/>
      </c>
      <c r="B487">
        <f>Skills!B30</f>
        <v/>
      </c>
      <c r="C487">
        <f>Inputs!$B$3&gt;=125</f>
        <v/>
      </c>
      <c r="D487">
        <f>IF(Skills!C30=1,60+Inputs!$B$24+Inputs!$B$28,IF(Skills!C30=2,90+Inputs!$B$25+Inputs!$B$28,IF(Skills!C30=3,120+Inputs!$B$26+Inputs!$B$28,MAX(0,(Inputs!$B$3-100)*3)+Inputs!$B$27+Inputs!$B$28)))</f>
        <v/>
      </c>
      <c r="E487">
        <f>INDEX(FactorTable!$B$2:$Y$301, MATCH(ROUND(MIN(300,MAX(1,D487)),0), FactorTable!$A$2:$A$301,0), Skills!M30+1)</f>
        <v/>
      </c>
      <c r="F487">
        <f>IF(Skills!N30=TRUE,(Skills!L30/10)*(E487/1000),Skills!L30/10)+Skills!O30</f>
        <v/>
      </c>
      <c r="G487">
        <f>Calc!G30</f>
        <v/>
      </c>
      <c r="H487">
        <f>Calc!H30</f>
        <v/>
      </c>
      <c r="I487">
        <f>IF(Skills!AA30&lt;&gt;"",1+(Skills!AA30/10)*(U460/1000)/100,1)</f>
        <v/>
      </c>
      <c r="J487" t="inlineStr"/>
      <c r="K487" t="inlineStr"/>
      <c r="L487" t="inlineStr"/>
      <c r="M487" t="inlineStr"/>
      <c r="N487" t="inlineStr"/>
      <c r="O487" t="n">
        <v>0</v>
      </c>
      <c r="P487">
        <f>IF(B501=0,0,O487/B501)</f>
        <v/>
      </c>
      <c r="Q487" t="n">
        <v>0</v>
      </c>
      <c r="R487" t="n">
        <v>0</v>
      </c>
      <c r="S487">
        <f>IFERROR(O487/N487,0)</f>
        <v/>
      </c>
    </row>
    <row r="488">
      <c r="A488">
        <f>Skills!A31</f>
        <v/>
      </c>
      <c r="B488">
        <f>Skills!B31</f>
        <v/>
      </c>
      <c r="C488">
        <f>Inputs!$B$3&gt;=107</f>
        <v/>
      </c>
      <c r="D488">
        <f>IF(Skills!C31=1,60+Inputs!$B$24+Inputs!$B$28,IF(Skills!C31=2,90+Inputs!$B$25+Inputs!$B$28,IF(Skills!C31=3,120+Inputs!$B$26+Inputs!$B$28,MAX(0,(Inputs!$B$3-100)*3)+Inputs!$B$27+Inputs!$B$28)))</f>
        <v/>
      </c>
      <c r="E488">
        <f>INDEX(FactorTable!$B$2:$Y$301, MATCH(ROUND(MIN(300,MAX(1,D488)),0), FactorTable!$A$2:$A$301,0), Skills!M31+1)</f>
        <v/>
      </c>
      <c r="F488">
        <f>IF(Skills!N31=TRUE,(Skills!L31/10)*(E488/1000),Skills!L31/10)+Skills!O31</f>
        <v/>
      </c>
      <c r="G488">
        <f>Calc!G31</f>
        <v/>
      </c>
      <c r="H488">
        <f>Calc!H31</f>
        <v/>
      </c>
      <c r="I488">
        <f>IF(Skills!AA31&lt;&gt;"",1+(Skills!AA31/10)*(U460/1000)/100,1)</f>
        <v/>
      </c>
      <c r="J488" t="inlineStr"/>
      <c r="K488" t="inlineStr"/>
      <c r="L488" t="inlineStr"/>
      <c r="M488" t="inlineStr"/>
      <c r="N488" t="inlineStr"/>
      <c r="O488" t="n">
        <v>0</v>
      </c>
      <c r="P488">
        <f>IF(B501=0,0,O488/B501)</f>
        <v/>
      </c>
      <c r="Q488" t="n">
        <v>0</v>
      </c>
      <c r="R488" t="n">
        <v>0</v>
      </c>
      <c r="S488">
        <f>IFERROR(O488/N488,0)</f>
        <v/>
      </c>
    </row>
    <row r="490">
      <c r="A490" t="inlineStr">
        <is>
          <t>Actions Per Second (pre-Adrenalin)</t>
        </is>
      </c>
      <c r="B490">
        <f>1+MIN(150,150*(1-(1-(Inputs!$B$10+((C479=TRUE)*(F479-Calc!F22)))/150)*(1-((C476=TRUE)*F476*IF(AND(Inputs!$B$4&lt;&gt;"pvp",Inputs!$B$35&gt;0),(((S476-1)*(Skills!Y19*(1+Inputs!$B$33/100))+MIN((Skills!Y19*(1+Inputs!$B$33/100)),MAX(0,Inputs!$B$35-((S476-1)*Skills!D19))))/Inputs!$B$35),IF(Inputs!$B$4="pvp",MIN((Skills!Y19*(1+Inputs!$B$33/100)),15)/15,(Skills!Y19*(1+Inputs!$B$33/100))/Skills!D19)))/150)))/100</f>
        <v/>
      </c>
    </row>
    <row r="491">
      <c r="A491" t="inlineStr">
        <is>
          <t>Alchemic Adrenaline Uptime</t>
        </is>
      </c>
      <c r="B491">
        <f>(Skills!Y6*(1+Inputs!$B$33/100))/((Skills!Y6*(1+Inputs!$B$33/100))+(5/B490))</f>
        <v/>
      </c>
    </row>
    <row r="492">
      <c r="A492" t="inlineStr">
        <is>
          <t>Attack Speed Buff Bonus %</t>
        </is>
      </c>
      <c r="B492">
        <f>((C476=TRUE)*F476*IF(AND(Inputs!$B$4&lt;&gt;"pvp",Inputs!$B$35&gt;0),(((S476-1)*(Skills!Y19*(1+Inputs!$B$33/100))+MIN((Skills!Y19*(1+Inputs!$B$33/100)),MAX(0,Inputs!$B$35-((S476-1)*Skills!D19))))/Inputs!$B$35),IF(Inputs!$B$4="pvp",MIN((Skills!Y19*(1+Inputs!$B$33/100)),15)/15,(Skills!Y19*(1+Inputs!$B$33/100))/Skills!D19)))+((C464=TRUE)*F464*B491)</f>
        <v/>
      </c>
    </row>
    <row r="493">
      <c r="A493" t="inlineStr">
        <is>
          <t>Actions Per Second (final)</t>
        </is>
      </c>
      <c r="B493">
        <f>1+MIN(150,150*(1-(1-(Inputs!$B$10+((C479=TRUE)*(F479-Calc!F22)))/150)*(1-B492/150)))/100</f>
        <v/>
      </c>
    </row>
    <row r="494">
      <c r="A494" t="inlineStr">
        <is>
          <t>Skill + Buff Cast Rate</t>
        </is>
      </c>
      <c r="B494">
        <f>IF(AND(Inputs!$B$4&lt;&gt;"pvp",Inputs!$B$35&gt;0),SUMPRODUCT((Skills!E2:E31=TRUE)*(C459:C488=TRUE)*R459:R488*Skills!F2:F31)/Inputs!$B$35,SUMPRODUCT((Skills!E2:E31=TRUE)*(C459:C488=TRUE)*Q459:Q488*Skills!F2:F31))</f>
        <v/>
      </c>
    </row>
    <row r="495">
      <c r="A495" t="inlineStr">
        <is>
          <t>Showdown Casts Per Second</t>
        </is>
      </c>
      <c r="B495">
        <f>MAX(0,B493-B494)</f>
        <v/>
      </c>
    </row>
    <row r="496">
      <c r="A496" t="inlineStr">
        <is>
          <t>Average Buff Multiplier</t>
        </is>
      </c>
      <c r="B496">
        <f>(1+(((C478=TRUE)*F478*IF(AND(Inputs!$B$4&lt;&gt;"pvp",Inputs!$B$35&gt;0),(((S478-1)*(Skills!Y21*(1+Inputs!$B$33/100))+MIN((Skills!Y21*(1+Inputs!$B$33/100)),MAX(0,Inputs!$B$35-((S478-1)*Skills!D21))))/Inputs!$B$35),IF(Inputs!$B$4="pvp",MIN((Skills!Y21*(1+Inputs!$B$33/100)),15)/15,(Skills!Y21*(1+Inputs!$B$33/100))/Skills!D21)))+((C485=TRUE)*(F485-Calc!F28))+((C475=TRUE)*(F475-Calc!F18)))/100)*(1+((C472=TRUE)*F472*IF(AND(Inputs!$B$4&lt;&gt;"pvp",Inputs!$B$35&gt;0),(((S472-1)*(Skills!Y15*(1+Inputs!$B$33/100))+MIN((Skills!Y15*(1+Inputs!$B$33/100)),MAX(0,Inputs!$B$35-((S472-1)*Skills!D15))))/Inputs!$B$35),IF(Inputs!$B$4="pvp",MIN((Skills!Y15*(1+Inputs!$B$33/100)),15)/15,(Skills!Y15*(1+Inputs!$B$33/100))/Skills!D15)))/100)*(1+((C463=TRUE)*F463*B491)/100)</f>
        <v/>
      </c>
    </row>
    <row r="497">
      <c r="A497" t="inlineStr">
        <is>
          <t>Global Crit Rate Bonus %</t>
        </is>
      </c>
      <c r="B497">
        <f>IF(Inputs!$B$3&gt;=47,8,0)+((C477=TRUE)*F477*IF(AND(Inputs!$B$4&lt;&gt;"pvp",Inputs!$B$35&gt;0),(((S477-1)*(Skills!Y20*(1+Inputs!$B$33/100))+MIN((Skills!Y20*(1+Inputs!$B$33/100)),MAX(0,Inputs!$B$35-((S477-1)*Skills!D20))))/Inputs!$B$35),IF(Inputs!$B$4="pvp",MIN((Skills!Y20*(1+Inputs!$B$33/100)),15)/15,(Skills!Y20*(1+Inputs!$B$33/100))/Skills!D20)))</f>
        <v/>
      </c>
    </row>
    <row r="498">
      <c r="A498" t="inlineStr">
        <is>
          <t>Global Monster Damage-Taken Bonus %</t>
        </is>
      </c>
      <c r="B498">
        <f>IF(Inputs!$B$3&gt;=82,15,0)+((C473=TRUE)*F473*IF(AND(Inputs!$B$4&lt;&gt;"pvp",Inputs!$B$35&gt;0),(((S473-1)*(Skills!Y16*(1+Inputs!$B$33/100))+MIN((Skills!Y16*(1+Inputs!$B$33/100)),MAX(0,Inputs!$B$35-((S473-1)*Skills!D16))))/Inputs!$B$35),IF(Inputs!$B$4="pvp",MIN((Skills!Y16*(1+Inputs!$B$33/100)),15)/15,(Skills!Y16*(1+Inputs!$B$33/100))/Skills!D16)))</f>
        <v/>
      </c>
    </row>
    <row r="499">
      <c r="A499" t="inlineStr">
        <is>
          <t>Shadow Partner Average Multiplier</t>
        </is>
      </c>
      <c r="B499">
        <f>1+((C468=TRUE)*F468*I468*Skills!J11/100)/100</f>
        <v/>
      </c>
    </row>
    <row r="500">
      <c r="A500" t="inlineStr">
        <is>
          <t>Global Critical Damage Bonus % (Frailty Curse Mastery Lv.111)</t>
        </is>
      </c>
      <c r="B500">
        <f>IF(Inputs!$B$3&gt;=111,30,0)*IF(AND(Inputs!$B$4&lt;&gt;"pvp",Inputs!$B$35&gt;0),(((S473-1)*(Skills!Y16*(1+Inputs!$B$33/100))+MIN((Skills!Y16*(1+Inputs!$B$33/100)),MAX(0,Inputs!$B$35-((S473-1)*Skills!D16))))/Inputs!$B$35),IF(Inputs!$B$4="pvp",MIN((Skills!Y16*(1+Inputs!$B$33/100)),15)/15,(Skills!Y16*(1+Inputs!$B$33/100))/Skills!D16))</f>
        <v/>
      </c>
    </row>
    <row r="501">
      <c r="A501" s="5" t="inlineStr">
        <is>
          <t>TOTAL DPS</t>
        </is>
      </c>
      <c r="B501" s="5">
        <f>SUM(O459:O488)</f>
        <v/>
      </c>
    </row>
    <row r="504">
      <c r="A504" s="5" t="inlineStr">
        <is>
          <t>Stat: CRIT_RATE %</t>
        </is>
      </c>
    </row>
    <row r="505">
      <c r="A505" s="8" t="inlineStr">
        <is>
          <t>Key</t>
        </is>
      </c>
      <c r="B505" s="8" t="inlineStr">
        <is>
          <t>Name</t>
        </is>
      </c>
      <c r="C505" s="8" t="inlineStr">
        <is>
          <t>Unlocked</t>
        </is>
      </c>
      <c r="D505" s="8" t="inlineStr">
        <is>
          <t>InputLevel</t>
        </is>
      </c>
      <c r="E505" s="8" t="inlineStr">
        <is>
          <t>Factor</t>
        </is>
      </c>
      <c r="F505" s="8" t="inlineStr">
        <is>
          <t>CoefficientPercent</t>
        </is>
      </c>
      <c r="G505" s="8" t="inlineStr">
        <is>
          <t>EffectiveHits</t>
        </is>
      </c>
      <c r="H505" s="8" t="inlineStr">
        <is>
          <t>ProcProbability</t>
        </is>
      </c>
      <c r="I505" s="8" t="inlineStr">
        <is>
          <t>MapleHeroMultiplier</t>
        </is>
      </c>
      <c r="J505" s="8" t="inlineStr">
        <is>
          <t>BaseDamage</t>
        </is>
      </c>
      <c r="K505" s="8" t="inlineStr">
        <is>
          <t>BaseHitDamage</t>
        </is>
      </c>
      <c r="L505" s="8" t="inlineStr">
        <is>
          <t>NonCritAvg</t>
        </is>
      </c>
      <c r="M505" s="8" t="inlineStr">
        <is>
          <t>CritAvg</t>
        </is>
      </c>
      <c r="N505" s="8" t="inlineStr">
        <is>
          <t>ExpectedDamage(perHit)</t>
        </is>
      </c>
      <c r="O505" s="8" t="inlineStr">
        <is>
          <t>DPS</t>
        </is>
      </c>
      <c r="P505" s="8" t="inlineStr">
        <is>
          <t>% of Total</t>
        </is>
      </c>
      <c r="Q505" s="8" t="inlineStr">
        <is>
          <t>InvCooldown</t>
        </is>
      </c>
      <c r="R505" s="8" t="inlineStr">
        <is>
          <t>CastsInFight</t>
        </is>
      </c>
      <c r="S505" s="8" t="inlineStr">
        <is>
          <t>HitRate(perSec)</t>
        </is>
      </c>
      <c r="U505" t="inlineStr">
        <is>
          <t>helpers</t>
        </is>
      </c>
    </row>
    <row r="506">
      <c r="A506">
        <f>Skills!A2</f>
        <v/>
      </c>
      <c r="B506">
        <f>Skills!B2</f>
        <v/>
      </c>
      <c r="C506">
        <f>Inputs!$B$3&gt;=100</f>
        <v/>
      </c>
      <c r="D506" t="inlineStr"/>
      <c r="E506" t="inlineStr"/>
      <c r="F506">
        <f>U510+Skills!O2</f>
        <v/>
      </c>
      <c r="G506">
        <f>Calc!G2</f>
        <v/>
      </c>
      <c r="H506">
        <f>Calc!H2</f>
        <v/>
      </c>
      <c r="I506">
        <f>IF(Skills!AA2&lt;&gt;"",1+(Skills!AA2/10)*(U507/1000)/100,1)</f>
        <v/>
      </c>
      <c r="J506">
        <f>(Inputs!$B$5*(1+Inputs!$B$6/100))*(F506/100)</f>
        <v/>
      </c>
      <c r="K506">
        <f>J506*(1+((Inputs!$B$11*(1+Inputs!$B$12/100))*0.01+Inputs!$B$13*0.0025)/100)*(1+Inputs!$B$14/100)*(1+IF(Inputs!$B$4="pvp",0,(1-Summary!$B$55)*(Inputs!$B$19+((C531=TRUE)*(F531-Calc!F27))+Skills!P2+B545)+Summary!$B$55*(Inputs!$B$20+Skills!Q2+B545))/100)*(1+Inputs!$B$15/100)*(5000/(6000+Inputs!$B$7*(1-Inputs!$B$18/100)))*(1+(Inputs!$B$23+((C534=TRUE)*(F534-Calc!F30)))/100)*(1+Skills!R2/100)*(1+(IF(Skills!A2="SHOWDOWN",Inputs!$B$16+((C527=TRUE)*(F527-Calc!F23)),Inputs!$B$17+((C533=TRUE)*(F533-Calc!F29))))/100)*(((1+(((C525=TRUE)*F525*IF(AND(Inputs!$B$4&lt;&gt;"pvp",Inputs!$B$35&gt;0),(((S525-1)*(Skills!Y21*(1+Inputs!$B$33/100))+MIN((Skills!Y21*(1+Inputs!$B$33/100)),MAX(0,Inputs!$B$35-((S525-1)*Skills!D21))))/Inputs!$B$35),IF(Inputs!$B$4="pvp",MIN((Skills!Y21*(1+Inputs!$B$33/100)),15)/15,(Skills!Y21*(1+Inputs!$B$33/100))/Skills!D21)))+((C532=TRUE)*(F532-Calc!F28))+((C522=TRUE)*(F522-Calc!F18)))/100)*(1+((C519=TRUE)*F519*IF(AND(Inputs!$B$4&lt;&gt;"pvp",Inputs!$B$35&gt;0),(((S519-1)*(Skills!Y15*(1+Inputs!$B$33/100))+MIN((Skills!Y15*(1+Inputs!$B$33/100)),MAX(0,Inputs!$B$35-((S519-1)*Skills!D15))))/Inputs!$B$35),IF(Inputs!$B$4="pvp",MIN((Skills!Y15*(1+Inputs!$B$33/100)),15)/15,(Skills!Y15*(1+Inputs!$B$33/100))/Skills!D15)))/100)*(1+((C510=TRUE)*F510*B538)/100))*B546*I506)</f>
        <v/>
      </c>
      <c r="L506">
        <f>K506*(MIN(Inputs!$B$21+((C528=TRUE)*(F528-Calc!F24)),Inputs!$B$22)/100+Inputs!$B$22/100)/2</f>
        <v/>
      </c>
      <c r="M506">
        <f>L506*(1+(Inputs!$B$9+((C530=TRUE)*(F530-Calc!F26))+B547)/100)</f>
        <v/>
      </c>
      <c r="N506">
        <f>L506*(1-MIN(((Inputs!$B$8+1)+((C529=TRUE)*(F529-Calc!F25))+B544),100)/100)+M506*(MIN(((Inputs!$B$8+1)+((C529=TRUE)*(F529-Calc!F25))+B544),100)/100)</f>
        <v/>
      </c>
      <c r="O506">
        <f>IF(C506,Skills!G2*N506*B542*IF(Inputs!$B$4="pvp",1,(1-Summary!$B$55)*(1)+Summary!$B$55*(MIN((6+Inputs!$B$32),Inputs!$B$37))),0)</f>
        <v/>
      </c>
      <c r="P506">
        <f>IF(B548=0,0,O506/B548)</f>
        <v/>
      </c>
      <c r="Q506" t="n">
        <v>0</v>
      </c>
      <c r="R506" t="n">
        <v>0</v>
      </c>
      <c r="S506">
        <f>IFERROR(O506/N506,0)</f>
        <v/>
      </c>
      <c r="U506">
        <f>MAX(0,(Inputs!$B$3-100)*3)+Inputs!$B$27+Inputs!$B$28</f>
        <v/>
      </c>
    </row>
    <row r="507">
      <c r="A507">
        <f>Skills!A3</f>
        <v/>
      </c>
      <c r="B507">
        <f>Skills!B3</f>
        <v/>
      </c>
      <c r="C507">
        <f>Inputs!$B$3&gt;=35</f>
        <v/>
      </c>
      <c r="D507">
        <f>IF(Skills!C3=1,60+Inputs!$B$24+Inputs!$B$28,IF(Skills!C3=2,90+Inputs!$B$25+Inputs!$B$28,IF(Skills!C3=3,120+Inputs!$B$26+Inputs!$B$28,MAX(0,(Inputs!$B$3-100)*3)+Inputs!$B$27+Inputs!$B$28)))</f>
        <v/>
      </c>
      <c r="E507">
        <f>INDEX(FactorTable!$B$2:$Y$301, MATCH(ROUND(MIN(300,MAX(1,D507)),0), FactorTable!$A$2:$A$301,0), Skills!M3+1)</f>
        <v/>
      </c>
      <c r="F507">
        <f>IF(Skills!N3=TRUE,(Skills!L3/10)*(E507/1000),Skills!L3/10)+Skills!O3</f>
        <v/>
      </c>
      <c r="G507">
        <f>Calc!G3</f>
        <v/>
      </c>
      <c r="H507">
        <f>Calc!H3</f>
        <v/>
      </c>
      <c r="I507">
        <f>IF(Skills!AA3&lt;&gt;"",1+(Skills!AA3/10)*(U507/1000)/100,1)</f>
        <v/>
      </c>
      <c r="J507">
        <f>(Inputs!$B$5*(1+Inputs!$B$6/100))*(F507/100)</f>
        <v/>
      </c>
      <c r="K507">
        <f>J507*(1+((Inputs!$B$11*(1+Inputs!$B$12/100))*0.01+Inputs!$B$13*0.0025)/100)*(1+Inputs!$B$14/100)*(1+IF(Inputs!$B$4="pvp",0,(1-Summary!$B$55)*(Inputs!$B$19+((C531=TRUE)*(F531-Calc!F27))+Skills!P3+B545)+Summary!$B$55*(Inputs!$B$20+Skills!Q3+B545))/100)*(1+Inputs!$B$15/100)*(5000/(6000+Inputs!$B$7*(1-Inputs!$B$18/100)))*(1+(Inputs!$B$23+((C534=TRUE)*(F534-Calc!F30)))/100)*(1+Skills!R3/100)*(1+(IF(Skills!A3="SHOWDOWN",Inputs!$B$16+((C527=TRUE)*(F527-Calc!F23)),Inputs!$B$17+((C533=TRUE)*(F533-Calc!F29))))/100)*(((1+(((C525=TRUE)*F525*IF(AND(Inputs!$B$4&lt;&gt;"pvp",Inputs!$B$35&gt;0),(((S525-1)*(Skills!Y21*(1+Inputs!$B$33/100))+MIN((Skills!Y21*(1+Inputs!$B$33/100)),MAX(0,Inputs!$B$35-((S525-1)*Skills!D21))))/Inputs!$B$35),IF(Inputs!$B$4="pvp",MIN((Skills!Y21*(1+Inputs!$B$33/100)),15)/15,(Skills!Y21*(1+Inputs!$B$33/100))/Skills!D21)))+((C532=TRUE)*(F532-Calc!F28))+((C522=TRUE)*(F522-Calc!F18)))/100)*(1+((C519=TRUE)*F519*IF(AND(Inputs!$B$4&lt;&gt;"pvp",Inputs!$B$35&gt;0),(((S519-1)*(Skills!Y15*(1+Inputs!$B$33/100))+MIN((Skills!Y15*(1+Inputs!$B$33/100)),MAX(0,Inputs!$B$35-((S519-1)*Skills!D15))))/Inputs!$B$35),IF(Inputs!$B$4="pvp",MIN((Skills!Y15*(1+Inputs!$B$33/100)),15)/15,(Skills!Y15*(1+Inputs!$B$33/100))/Skills!D15)))/100)*(1+((C510=TRUE)*F510*B538)/100))*B546*I507)</f>
        <v/>
      </c>
      <c r="L507">
        <f>K507*(MIN(Inputs!$B$21+((C528=TRUE)*(F528-Calc!F24)),Inputs!$B$22)/100+Inputs!$B$22/100)/2</f>
        <v/>
      </c>
      <c r="M507">
        <f>L507*(1+(Inputs!$B$9+((C530=TRUE)*(F530-Calc!F26))+B547)/100)</f>
        <v/>
      </c>
      <c r="N507">
        <f>L507*(1-MIN(((Inputs!$B$8+1)+((C529=TRUE)*(F529-Calc!F25))+B544),100)/100)+M507*(MIN(((Inputs!$B$8+1)+((C529=TRUE)*(F529-Calc!F25))+B544),100)/100)</f>
        <v/>
      </c>
      <c r="O507">
        <f>IF(C507,H507*N507*IF(AND(Inputs!$B$4&lt;&gt;"pvp",Inputs!$B$35&gt;0),((Skills!G3*((R507-1)*IF(Skills!H3&gt;0,Skills!I3/Skills!H3,1)+IF(Skills!H3&gt;0,MIN(Skills!I3,MAX(0,Inputs!$B$35-((R507-1)*IF(Inputs!$B$4="pvp",15,MAX(0.1,Skills!D3-IF(Skills!E3=TRUE,Inputs!$B$31,0))))))/Skills!H3,1)))/Inputs!$B$35),G507*Q507)*IF(Inputs!$B$4="pvp",1,(1-Summary!$B$55)*(1)+Summary!$B$55*(MIN(Skills!W3,Inputs!$B$37))),0)</f>
        <v/>
      </c>
      <c r="P507">
        <f>IF(B548=0,0,O507/B548)</f>
        <v/>
      </c>
      <c r="Q507">
        <f>IFERROR(1/IF(Inputs!$B$4="pvp",15,MAX(0.1,Skills!D3-IF(Skills!E3=TRUE,Inputs!$B$31,0))),0)</f>
        <v/>
      </c>
      <c r="R507">
        <f>IF(AND(Inputs!$B$4&lt;&gt;"pvp",Inputs!$B$35&gt;0),(INT(Inputs!$B$35/IF(Inputs!$B$4="pvp",15,MAX(0.1,Skills!D3-IF(Skills!E3=TRUE,Inputs!$B$31,0))))+1),0)</f>
        <v/>
      </c>
      <c r="S507">
        <f>IFERROR(O507/N507,0)</f>
        <v/>
      </c>
      <c r="U507">
        <f>INDEX(FactorTable!$B$2:$Y$301, MATCH(ROUND(MIN(300,MAX(1,U506)),0), FactorTable!$A$2:$A$301,0), 24)</f>
        <v/>
      </c>
    </row>
    <row r="508">
      <c r="A508">
        <f>Skills!A4</f>
        <v/>
      </c>
      <c r="B508">
        <f>Skills!B4</f>
        <v/>
      </c>
      <c r="C508">
        <f>Inputs!$B$3&gt;=40</f>
        <v/>
      </c>
      <c r="D508">
        <f>IF(Skills!C4=1,60+Inputs!$B$24+Inputs!$B$28,IF(Skills!C4=2,90+Inputs!$B$25+Inputs!$B$28,IF(Skills!C4=3,120+Inputs!$B$26+Inputs!$B$28,MAX(0,(Inputs!$B$3-100)*3)+Inputs!$B$27+Inputs!$B$28)))</f>
        <v/>
      </c>
      <c r="E508">
        <f>INDEX(FactorTable!$B$2:$Y$301, MATCH(ROUND(MIN(300,MAX(1,D508)),0), FactorTable!$A$2:$A$301,0), Skills!M4+1)</f>
        <v/>
      </c>
      <c r="F508">
        <f>IF(Skills!N4=TRUE,(Skills!L4/10)*(E508/1000),Skills!L4/10)+Skills!O4</f>
        <v/>
      </c>
      <c r="G508">
        <f>Calc!G4</f>
        <v/>
      </c>
      <c r="H508">
        <f>Calc!H4</f>
        <v/>
      </c>
      <c r="I508">
        <f>IF(Skills!AA4&lt;&gt;"",1+(Skills!AA4/10)*(U507/1000)/100,1)</f>
        <v/>
      </c>
      <c r="J508">
        <f>(Inputs!$B$5*(1+Inputs!$B$6/100))*(F508/100)</f>
        <v/>
      </c>
      <c r="K508">
        <f>J508*(1+((Inputs!$B$11*(1+Inputs!$B$12/100))*0.01+Inputs!$B$13*0.0025)/100)*(1+Inputs!$B$14/100)*(1+IF(Inputs!$B$4="pvp",0,(1-Summary!$B$55)*(Inputs!$B$19+((C531=TRUE)*(F531-Calc!F27))+Skills!P4+B545)+Summary!$B$55*(Inputs!$B$20+Skills!Q4+B545))/100)*(1+Inputs!$B$15/100)*(5000/(6000+Inputs!$B$7*(1-Inputs!$B$18/100)))*(1+(Inputs!$B$23+((C534=TRUE)*(F534-Calc!F30)))/100)*(1+Skills!R4/100)*(1+(IF(Skills!A4="SHOWDOWN",Inputs!$B$16+((C527=TRUE)*(F527-Calc!F23)),Inputs!$B$17+((C533=TRUE)*(F533-Calc!F29))))/100)*(((1+(((C525=TRUE)*F525*IF(AND(Inputs!$B$4&lt;&gt;"pvp",Inputs!$B$35&gt;0),(((S525-1)*(Skills!Y21*(1+Inputs!$B$33/100))+MIN((Skills!Y21*(1+Inputs!$B$33/100)),MAX(0,Inputs!$B$35-((S525-1)*Skills!D21))))/Inputs!$B$35),IF(Inputs!$B$4="pvp",MIN((Skills!Y21*(1+Inputs!$B$33/100)),15)/15,(Skills!Y21*(1+Inputs!$B$33/100))/Skills!D21)))+((C532=TRUE)*(F532-Calc!F28))+((C522=TRUE)*(F522-Calc!F18)))/100)*(1+((C519=TRUE)*F519*IF(AND(Inputs!$B$4&lt;&gt;"pvp",Inputs!$B$35&gt;0),(((S519-1)*(Skills!Y15*(1+Inputs!$B$33/100))+MIN((Skills!Y15*(1+Inputs!$B$33/100)),MAX(0,Inputs!$B$35-((S519-1)*Skills!D15))))/Inputs!$B$35),IF(Inputs!$B$4="pvp",MIN((Skills!Y15*(1+Inputs!$B$33/100)),15)/15,(Skills!Y15*(1+Inputs!$B$33/100))/Skills!D15)))/100)*(1+((C510=TRUE)*F510*B538)/100))*B546*I508)</f>
        <v/>
      </c>
      <c r="L508">
        <f>K508*(MIN(Inputs!$B$21+((C528=TRUE)*(F528-Calc!F24)),Inputs!$B$22)/100+Inputs!$B$22/100)/2</f>
        <v/>
      </c>
      <c r="M508">
        <f>L508*(1+(Inputs!$B$9+((C530=TRUE)*(F530-Calc!F26))+B547)/100)</f>
        <v/>
      </c>
      <c r="N508">
        <f>L508*(1-MIN(((Inputs!$B$8+1)+((C529=TRUE)*(F529-Calc!F25))+B544),100)/100)+M508*(MIN(((Inputs!$B$8+1)+((C529=TRUE)*(F529-Calc!F25))+B544),100)/100)</f>
        <v/>
      </c>
      <c r="O508">
        <f>IF(C508,H508*N508*IF(AND(Inputs!$B$4&lt;&gt;"pvp",Inputs!$B$35&gt;0),((Skills!G4*((R508-1)*IF(Skills!H4&gt;0,Skills!I4/Skills!H4,1)+IF(Skills!H4&gt;0,MIN(Skills!I4,MAX(0,Inputs!$B$35-((R508-1)*IF(Inputs!$B$4="pvp",15,MAX(0.1,Skills!D4-IF(Skills!E4=TRUE,Inputs!$B$31,0))))))/Skills!H4,1)))/Inputs!$B$35),G508*Q508)*IF(Inputs!$B$4="pvp",1,(1-Summary!$B$55)*(1)+Summary!$B$55*(MIN(Skills!W4,Inputs!$B$37))),0)</f>
        <v/>
      </c>
      <c r="P508">
        <f>IF(B548=0,0,O508/B548)</f>
        <v/>
      </c>
      <c r="Q508">
        <f>IFERROR(1/IF(Inputs!$B$4="pvp",15,MAX(0.1,Skills!D4-IF(Skills!E4=TRUE,Inputs!$B$31,0))),0)</f>
        <v/>
      </c>
      <c r="R508">
        <f>IF(AND(Inputs!$B$4&lt;&gt;"pvp",Inputs!$B$35&gt;0),(INT(Inputs!$B$35/IF(Inputs!$B$4="pvp",15,MAX(0.1,Skills!D4-IF(Skills!E4=TRUE,Inputs!$B$31,0))))+1),0)</f>
        <v/>
      </c>
      <c r="S508">
        <f>IFERROR(O508/N508,0)</f>
        <v/>
      </c>
      <c r="U508">
        <f>MAX(0,(Inputs!$B$3-100)*3)+Inputs!$B$27+Inputs!$B$28</f>
        <v/>
      </c>
    </row>
    <row r="509">
      <c r="A509">
        <f>Skills!A5</f>
        <v/>
      </c>
      <c r="B509">
        <f>Skills!B5</f>
        <v/>
      </c>
      <c r="C509">
        <f>Inputs!$B$3&gt;=63</f>
        <v/>
      </c>
      <c r="D509">
        <f>IF(Skills!C5=1,60+Inputs!$B$24+Inputs!$B$28,IF(Skills!C5=2,90+Inputs!$B$25+Inputs!$B$28,IF(Skills!C5=3,120+Inputs!$B$26+Inputs!$B$28,MAX(0,(Inputs!$B$3-100)*3)+Inputs!$B$27+Inputs!$B$28)))</f>
        <v/>
      </c>
      <c r="E509">
        <f>INDEX(FactorTable!$B$2:$Y$301, MATCH(ROUND(MIN(300,MAX(1,D509)),0), FactorTable!$A$2:$A$301,0), Skills!M5+1)</f>
        <v/>
      </c>
      <c r="F509">
        <f>IF(Skills!N5=TRUE,(Skills!L5/10)*(E509/1000),Skills!L5/10)+Skills!O5</f>
        <v/>
      </c>
      <c r="G509">
        <f>Calc!G5</f>
        <v/>
      </c>
      <c r="H509">
        <f>Calc!H5</f>
        <v/>
      </c>
      <c r="I509">
        <f>IF(Skills!AA5&lt;&gt;"",1+(Skills!AA5/10)*(U507/1000)/100,1)</f>
        <v/>
      </c>
      <c r="J509">
        <f>(Inputs!$B$5*(1+Inputs!$B$6/100))*(F509/100)</f>
        <v/>
      </c>
      <c r="K509">
        <f>J509*(1+((Inputs!$B$11*(1+Inputs!$B$12/100))*0.01+Inputs!$B$13*0.0025)/100)*(1+Inputs!$B$14/100)*(1+IF(Inputs!$B$4="pvp",0,(1-Summary!$B$55)*(Inputs!$B$19+((C531=TRUE)*(F531-Calc!F27))+Skills!P5+B545)+Summary!$B$55*(Inputs!$B$20+Skills!Q5+B545))/100)*(1+Inputs!$B$15/100)*(5000/(6000+Inputs!$B$7*(1-Inputs!$B$18/100)))*(1+(Inputs!$B$23+((C534=TRUE)*(F534-Calc!F30)))/100)*(1+Skills!R5/100)*(1+(IF(Skills!A5="SHOWDOWN",Inputs!$B$16+((C527=TRUE)*(F527-Calc!F23)),Inputs!$B$17+((C533=TRUE)*(F533-Calc!F29))))/100)*(((1+(((C525=TRUE)*F525*IF(AND(Inputs!$B$4&lt;&gt;"pvp",Inputs!$B$35&gt;0),(((S525-1)*(Skills!Y21*(1+Inputs!$B$33/100))+MIN((Skills!Y21*(1+Inputs!$B$33/100)),MAX(0,Inputs!$B$35-((S525-1)*Skills!D21))))/Inputs!$B$35),IF(Inputs!$B$4="pvp",MIN((Skills!Y21*(1+Inputs!$B$33/100)),15)/15,(Skills!Y21*(1+Inputs!$B$33/100))/Skills!D21)))+((C532=TRUE)*(F532-Calc!F28))+((C522=TRUE)*(F522-Calc!F18)))/100)*(1+((C519=TRUE)*F519*IF(AND(Inputs!$B$4&lt;&gt;"pvp",Inputs!$B$35&gt;0),(((S519-1)*(Skills!Y15*(1+Inputs!$B$33/100))+MIN((Skills!Y15*(1+Inputs!$B$33/100)),MAX(0,Inputs!$B$35-((S519-1)*Skills!D15))))/Inputs!$B$35),IF(Inputs!$B$4="pvp",MIN((Skills!Y15*(1+Inputs!$B$33/100)),15)/15,(Skills!Y15*(1+Inputs!$B$33/100))/Skills!D15)))/100)*(1+((C510=TRUE)*F510*B538)/100))*B546*I509)</f>
        <v/>
      </c>
      <c r="L509">
        <f>K509*(MIN(Inputs!$B$21+((C528=TRUE)*(F528-Calc!F24)),Inputs!$B$22)/100+Inputs!$B$22/100)/2</f>
        <v/>
      </c>
      <c r="M509">
        <f>L509*(1+(Inputs!$B$9+((C530=TRUE)*(F530-Calc!F26))+B547)/100)</f>
        <v/>
      </c>
      <c r="N509">
        <f>L509*(1-MIN(((Inputs!$B$8+1)+((C529=TRUE)*(F529-Calc!F25))+B544),100)/100)+M509*(MIN(((Inputs!$B$8+1)+((C529=TRUE)*(F529-Calc!F25))+B544),100)/100)</f>
        <v/>
      </c>
      <c r="O509">
        <f>IF(C509,H509*N509*IF(AND(Inputs!$B$4&lt;&gt;"pvp",Inputs!$B$35&gt;0),((Skills!G5*((R509-1)*IF(Skills!H5&gt;0,Skills!I5/Skills!H5,1)+IF(Skills!H5&gt;0,MIN(Skills!I5,MAX(0,Inputs!$B$35-((R509-1)*IF(Inputs!$B$4="pvp",15,MAX(0.1,Skills!D5-IF(Skills!E5=TRUE,Inputs!$B$31,0))))))/Skills!H5,1)))/Inputs!$B$35),G509*Q509)*IF(Inputs!$B$4="pvp",1,(1-Summary!$B$55)*(1)+Summary!$B$55*(MIN(Skills!W5,Inputs!$B$37))),0)</f>
        <v/>
      </c>
      <c r="P509">
        <f>IF(B548=0,0,O509/B548)</f>
        <v/>
      </c>
      <c r="Q509">
        <f>IFERROR(1/IF(Inputs!$B$4="pvp",15,MAX(0.1,Skills!D5-IF(Skills!E5=TRUE,Inputs!$B$31,0))),0)</f>
        <v/>
      </c>
      <c r="R509">
        <f>IF(AND(Inputs!$B$4&lt;&gt;"pvp",Inputs!$B$35&gt;0),(INT(Inputs!$B$35/IF(Inputs!$B$4="pvp",15,MAX(0.1,Skills!D5-IF(Skills!E5=TRUE,Inputs!$B$31,0))))+1),0)</f>
        <v/>
      </c>
      <c r="S509">
        <f>IFERROR(O509/N509,0)</f>
        <v/>
      </c>
      <c r="U509">
        <f>INDEX(FactorTable!$B$2:$Y$301, MATCH(ROUND(MIN(300,MAX(1,U508)),0), FactorTable!$A$2:$A$301,0), 22)</f>
        <v/>
      </c>
    </row>
    <row r="510">
      <c r="A510">
        <f>Skills!A6</f>
        <v/>
      </c>
      <c r="B510">
        <f>Skills!B6</f>
        <v/>
      </c>
      <c r="C510">
        <f>Inputs!$B$3&gt;=66</f>
        <v/>
      </c>
      <c r="D510">
        <f>IF(Skills!C6=1,60+Inputs!$B$24+Inputs!$B$28,IF(Skills!C6=2,90+Inputs!$B$25+Inputs!$B$28,IF(Skills!C6=3,120+Inputs!$B$26+Inputs!$B$28,MAX(0,(Inputs!$B$3-100)*3)+Inputs!$B$27+Inputs!$B$28)))</f>
        <v/>
      </c>
      <c r="E510">
        <f>INDEX(FactorTable!$B$2:$Y$301, MATCH(ROUND(MIN(300,MAX(1,D510)),0), FactorTable!$A$2:$A$301,0), Skills!M6+1)</f>
        <v/>
      </c>
      <c r="F510">
        <f>IF(Skills!N6=TRUE,(Skills!L6/10)*(E510/1000),Skills!L6/10)+Skills!O6</f>
        <v/>
      </c>
      <c r="G510">
        <f>Calc!G6</f>
        <v/>
      </c>
      <c r="H510">
        <f>Calc!H6</f>
        <v/>
      </c>
      <c r="I510">
        <f>IF(Skills!AA6&lt;&gt;"",1+(Skills!AA6/10)*(U507/1000)/100,1)</f>
        <v/>
      </c>
      <c r="J510" t="inlineStr"/>
      <c r="K510" t="inlineStr"/>
      <c r="L510" t="inlineStr"/>
      <c r="M510" t="inlineStr"/>
      <c r="N510" t="inlineStr"/>
      <c r="O510" t="n">
        <v>0</v>
      </c>
      <c r="P510">
        <f>IF(B548=0,0,O510/B548)</f>
        <v/>
      </c>
      <c r="Q510" t="n">
        <v>0</v>
      </c>
      <c r="R510" t="n">
        <v>0</v>
      </c>
      <c r="S510">
        <f>IFERROR(O510/N510,0)</f>
        <v/>
      </c>
      <c r="U510">
        <f>290*U509/1000</f>
        <v/>
      </c>
    </row>
    <row r="511">
      <c r="A511">
        <f>Skills!A7</f>
        <v/>
      </c>
      <c r="B511">
        <f>Skills!B7</f>
        <v/>
      </c>
      <c r="C511">
        <f>Inputs!$B$3&gt;=66</f>
        <v/>
      </c>
      <c r="D511">
        <f>IF(Skills!C7=1,60+Inputs!$B$24+Inputs!$B$28,IF(Skills!C7=2,90+Inputs!$B$25+Inputs!$B$28,IF(Skills!C7=3,120+Inputs!$B$26+Inputs!$B$28,MAX(0,(Inputs!$B$3-100)*3)+Inputs!$B$27+Inputs!$B$28)))</f>
        <v/>
      </c>
      <c r="E511">
        <f>INDEX(FactorTable!$B$2:$Y$301, MATCH(ROUND(MIN(300,MAX(1,D511)),0), FactorTable!$A$2:$A$301,0), Skills!M7+1)</f>
        <v/>
      </c>
      <c r="F511">
        <f>IF(Skills!N7=TRUE,(Skills!L7/10)*(E511/1000),Skills!L7/10)+Skills!O7</f>
        <v/>
      </c>
      <c r="G511">
        <f>Calc!G7</f>
        <v/>
      </c>
      <c r="H511">
        <f>Calc!H7</f>
        <v/>
      </c>
      <c r="I511">
        <f>IF(Skills!AA7&lt;&gt;"",1+(Skills!AA7/10)*(U507/1000)/100,1)</f>
        <v/>
      </c>
      <c r="J511" t="inlineStr"/>
      <c r="K511" t="inlineStr"/>
      <c r="L511" t="inlineStr"/>
      <c r="M511" t="inlineStr"/>
      <c r="N511" t="inlineStr"/>
      <c r="O511" t="n">
        <v>0</v>
      </c>
      <c r="P511">
        <f>IF(B548=0,0,O511/B548)</f>
        <v/>
      </c>
      <c r="Q511" t="n">
        <v>0</v>
      </c>
      <c r="R511" t="n">
        <v>0</v>
      </c>
      <c r="S511">
        <f>IFERROR(O511/N511,0)</f>
        <v/>
      </c>
    </row>
    <row r="512">
      <c r="A512">
        <f>Skills!A8</f>
        <v/>
      </c>
      <c r="B512">
        <f>Skills!B8</f>
        <v/>
      </c>
      <c r="C512">
        <f>Inputs!$B$3&gt;=69</f>
        <v/>
      </c>
      <c r="D512">
        <f>IF(Skills!C8=1,60+Inputs!$B$24+Inputs!$B$28,IF(Skills!C8=2,90+Inputs!$B$25+Inputs!$B$28,IF(Skills!C8=3,120+Inputs!$B$26+Inputs!$B$28,MAX(0,(Inputs!$B$3-100)*3)+Inputs!$B$27+Inputs!$B$28)))</f>
        <v/>
      </c>
      <c r="E512">
        <f>INDEX(FactorTable!$B$2:$Y$301, MATCH(ROUND(MIN(300,MAX(1,D512)),0), FactorTable!$A$2:$A$301,0), Skills!M8+1)</f>
        <v/>
      </c>
      <c r="F512">
        <f>IF(Skills!N8=TRUE,(Skills!L8/10)*(E512/1000),Skills!L8/10)+Skills!O8</f>
        <v/>
      </c>
      <c r="G512">
        <f>Calc!G8</f>
        <v/>
      </c>
      <c r="H512">
        <f>Calc!H8</f>
        <v/>
      </c>
      <c r="I512">
        <f>IF(Skills!AA8&lt;&gt;"",1+(Skills!AA8/10)*(U507/1000)/100,1)</f>
        <v/>
      </c>
      <c r="J512">
        <f>(Inputs!$B$5*(1+Inputs!$B$6/100))*(F512/100)</f>
        <v/>
      </c>
      <c r="K512">
        <f>J512*(1+((Inputs!$B$11*(1+Inputs!$B$12/100))*0.01+Inputs!$B$13*0.0025)/100)*(1+Inputs!$B$14/100)*(1+IF(Inputs!$B$4="pvp",0,(1-Summary!$B$55)*(Inputs!$B$19+((C531=TRUE)*(F531-Calc!F27))+Skills!P8+B545)+Summary!$B$55*(Inputs!$B$20+Skills!Q8+B545))/100)*(1+Inputs!$B$15/100)*(5000/(6000+Inputs!$B$7*(1-Inputs!$B$18/100)))*(1+(Inputs!$B$23+((C534=TRUE)*(F534-Calc!F30)))/100)*(1+Skills!R8/100)*(1+(IF(Skills!A8="SHOWDOWN",Inputs!$B$16+((C527=TRUE)*(F527-Calc!F23)),Inputs!$B$17+((C533=TRUE)*(F533-Calc!F29))))/100)*(((1+(((C525=TRUE)*F525*IF(AND(Inputs!$B$4&lt;&gt;"pvp",Inputs!$B$35&gt;0),(((S525-1)*(Skills!Y21*(1+Inputs!$B$33/100))+MIN((Skills!Y21*(1+Inputs!$B$33/100)),MAX(0,Inputs!$B$35-((S525-1)*Skills!D21))))/Inputs!$B$35),IF(Inputs!$B$4="pvp",MIN((Skills!Y21*(1+Inputs!$B$33/100)),15)/15,(Skills!Y21*(1+Inputs!$B$33/100))/Skills!D21)))+((C532=TRUE)*(F532-Calc!F28))+((C522=TRUE)*(F522-Calc!F18)))/100)*(1+((C519=TRUE)*F519*IF(AND(Inputs!$B$4&lt;&gt;"pvp",Inputs!$B$35&gt;0),(((S519-1)*(Skills!Y15*(1+Inputs!$B$33/100))+MIN((Skills!Y15*(1+Inputs!$B$33/100)),MAX(0,Inputs!$B$35-((S519-1)*Skills!D15))))/Inputs!$B$35),IF(Inputs!$B$4="pvp",MIN((Skills!Y15*(1+Inputs!$B$33/100)),15)/15,(Skills!Y15*(1+Inputs!$B$33/100))/Skills!D15)))/100)*(1+((C510=TRUE)*F510*B538)/100))*B546*I512)</f>
        <v/>
      </c>
      <c r="L512">
        <f>K512*(MIN(Inputs!$B$21+((C528=TRUE)*(F528-Calc!F24)),Inputs!$B$22)/100+Inputs!$B$22/100)/2</f>
        <v/>
      </c>
      <c r="M512">
        <f>L512*(1+(Inputs!$B$9+((C530=TRUE)*(F530-Calc!F26))+B547)/100)</f>
        <v/>
      </c>
      <c r="N512">
        <f>L512*(1-MIN(((Inputs!$B$8+1)+((C529=TRUE)*(F529-Calc!F25))+B544),100)/100)+M512*(MIN(((Inputs!$B$8+1)+((C529=TRUE)*(F529-Calc!F25))+B544),100)/100)</f>
        <v/>
      </c>
      <c r="O512">
        <f>IF(C512,H512*N512*IF(AND(Inputs!$B$4&lt;&gt;"pvp",Inputs!$B$35&gt;0),((Skills!G8*((R512-1)*IF(Skills!H8&gt;0,Skills!I8/Skills!H8,1)+IF(Skills!H8&gt;0,MIN(Skills!I8,MAX(0,Inputs!$B$35-((R512-1)*IF(Inputs!$B$4="pvp",15,MAX(0.1,Skills!D8-IF(Skills!E8=TRUE,Inputs!$B$31,0))))))/Skills!H8,1)))/Inputs!$B$35),G512*Q512)*IF(Inputs!$B$4="pvp",1,(1-Summary!$B$55)*(1)+Summary!$B$55*(MIN(Skills!W8,Inputs!$B$37))),0)</f>
        <v/>
      </c>
      <c r="P512">
        <f>IF(B548=0,0,O512/B548)</f>
        <v/>
      </c>
      <c r="Q512">
        <f>IFERROR(1/IF(Inputs!$B$4="pvp",15,MAX(0.1,Skills!D8-IF(Skills!E8=TRUE,Inputs!$B$31,0))),0)</f>
        <v/>
      </c>
      <c r="R512">
        <f>IF(AND(Inputs!$B$4&lt;&gt;"pvp",Inputs!$B$35&gt;0),(INT(Inputs!$B$35/IF(Inputs!$B$4="pvp",15,MAX(0.1,Skills!D8-IF(Skills!E8=TRUE,Inputs!$B$31,0))))+1),0)</f>
        <v/>
      </c>
      <c r="S512">
        <f>IFERROR(O512/N512,0)</f>
        <v/>
      </c>
    </row>
    <row r="513">
      <c r="A513">
        <f>Skills!A9</f>
        <v/>
      </c>
      <c r="B513">
        <f>Skills!B9</f>
        <v/>
      </c>
      <c r="C513">
        <f>Inputs!$B$3&gt;=72</f>
        <v/>
      </c>
      <c r="D513">
        <f>IF(Skills!C9=1,60+Inputs!$B$24+Inputs!$B$28,IF(Skills!C9=2,90+Inputs!$B$25+Inputs!$B$28,IF(Skills!C9=3,120+Inputs!$B$26+Inputs!$B$28,MAX(0,(Inputs!$B$3-100)*3)+Inputs!$B$27+Inputs!$B$28)))</f>
        <v/>
      </c>
      <c r="E513">
        <f>INDEX(FactorTable!$B$2:$Y$301, MATCH(ROUND(MIN(300,MAX(1,D513)),0), FactorTable!$A$2:$A$301,0), Skills!M9+1)</f>
        <v/>
      </c>
      <c r="F513">
        <f>IF(Skills!N9=TRUE,(Skills!L9/10)*(E513/1000),Skills!L9/10)+Skills!O9</f>
        <v/>
      </c>
      <c r="G513">
        <f>Calc!G9</f>
        <v/>
      </c>
      <c r="H513">
        <f>Calc!H9</f>
        <v/>
      </c>
      <c r="I513">
        <f>IF(Skills!AA9&lt;&gt;"",1+(Skills!AA9/10)*(U507/1000)/100,1)</f>
        <v/>
      </c>
      <c r="J513">
        <f>(Inputs!$B$5*(1+Inputs!$B$6/100))*(F513/100)</f>
        <v/>
      </c>
      <c r="K513">
        <f>J513*(1+((Inputs!$B$11*(1+Inputs!$B$12/100))*0.01+Inputs!$B$13*0.0025)/100)*(1+Inputs!$B$14/100)*(1+IF(Inputs!$B$4="pvp",0,(1-Summary!$B$55)*(Inputs!$B$19+((C531=TRUE)*(F531-Calc!F27))+Skills!P9+B545)+Summary!$B$55*(Inputs!$B$20+Skills!Q9+B545))/100)*(1+Inputs!$B$15/100)*(5000/(6000+Inputs!$B$7*(1-Inputs!$B$18/100)))*(1+(Inputs!$B$23+((C534=TRUE)*(F534-Calc!F30)))/100)*(1+Skills!R9/100)*(1+(IF(Skills!A9="SHOWDOWN",Inputs!$B$16+((C527=TRUE)*(F527-Calc!F23)),Inputs!$B$17+((C533=TRUE)*(F533-Calc!F29))))/100)*(((1+(((C525=TRUE)*F525*IF(AND(Inputs!$B$4&lt;&gt;"pvp",Inputs!$B$35&gt;0),(((S525-1)*(Skills!Y21*(1+Inputs!$B$33/100))+MIN((Skills!Y21*(1+Inputs!$B$33/100)),MAX(0,Inputs!$B$35-((S525-1)*Skills!D21))))/Inputs!$B$35),IF(Inputs!$B$4="pvp",MIN((Skills!Y21*(1+Inputs!$B$33/100)),15)/15,(Skills!Y21*(1+Inputs!$B$33/100))/Skills!D21)))+((C532=TRUE)*(F532-Calc!F28))+((C522=TRUE)*(F522-Calc!F18)))/100)*(1+((C519=TRUE)*F519*IF(AND(Inputs!$B$4&lt;&gt;"pvp",Inputs!$B$35&gt;0),(((S519-1)*(Skills!Y15*(1+Inputs!$B$33/100))+MIN((Skills!Y15*(1+Inputs!$B$33/100)),MAX(0,Inputs!$B$35-((S519-1)*Skills!D15))))/Inputs!$B$35),IF(Inputs!$B$4="pvp",MIN((Skills!Y15*(1+Inputs!$B$33/100)),15)/15,(Skills!Y15*(1+Inputs!$B$33/100))/Skills!D15)))/100)*(1+((C510=TRUE)*F510*B538)/100))*B546*I513)</f>
        <v/>
      </c>
      <c r="L513">
        <f>K513*(MIN(Inputs!$B$21+((C528=TRUE)*(F528-Calc!F24)),Inputs!$B$22)/100+Inputs!$B$22/100)/2</f>
        <v/>
      </c>
      <c r="M513">
        <f>L513*(1+(Inputs!$B$9+((C530=TRUE)*(F530-Calc!F26))+B547)/100)</f>
        <v/>
      </c>
      <c r="N513">
        <f>L513*(1-MIN(((Inputs!$B$8+1)+((C529=TRUE)*(F529-Calc!F25))+B544),100)/100)+M513*(MIN(((Inputs!$B$8+1)+((C529=TRUE)*(F529-Calc!F25))+B544),100)/100)</f>
        <v/>
      </c>
      <c r="O513">
        <f>IF(C513,H513*N513*IF(AND(Inputs!$B$4&lt;&gt;"pvp",Inputs!$B$35&gt;0),((Skills!G9*((R513-1)*IF(Skills!H9&gt;0,Skills!I9/Skills!H9,1)+IF(Skills!H9&gt;0,MIN(Skills!I9,MAX(0,Inputs!$B$35-((R513-1)*IF(Inputs!$B$4="pvp",15,MAX(0.1,Skills!D9-IF(Skills!E9=TRUE,Inputs!$B$31,0))))))/Skills!H9,1)))/Inputs!$B$35),G513*Q513)*IF(Inputs!$B$4="pvp",1,(1-Summary!$B$55)*(1)+Summary!$B$55*(MIN(Skills!W9,Inputs!$B$37))),0)</f>
        <v/>
      </c>
      <c r="P513">
        <f>IF(B548=0,0,O513/B548)</f>
        <v/>
      </c>
      <c r="Q513">
        <f>IFERROR(1/IF(Inputs!$B$4="pvp",15,MAX(0.1,Skills!D9-IF(Skills!E9=TRUE,Inputs!$B$31,0))),0)</f>
        <v/>
      </c>
      <c r="R513">
        <f>IF(AND(Inputs!$B$4&lt;&gt;"pvp",Inputs!$B$35&gt;0),(INT(Inputs!$B$35/IF(Inputs!$B$4="pvp",15,MAX(0.1,Skills!D9-IF(Skills!E9=TRUE,Inputs!$B$31,0))))+1),0)</f>
        <v/>
      </c>
      <c r="S513">
        <f>IFERROR(O513/N513,0)</f>
        <v/>
      </c>
    </row>
    <row r="514">
      <c r="A514">
        <f>Skills!A10</f>
        <v/>
      </c>
      <c r="B514">
        <f>Skills!B10</f>
        <v/>
      </c>
      <c r="C514">
        <f>Inputs!$B$3&gt;=117</f>
        <v/>
      </c>
      <c r="D514">
        <f>IF(Skills!C10=1,60+Inputs!$B$24+Inputs!$B$28,IF(Skills!C10=2,90+Inputs!$B$25+Inputs!$B$28,IF(Skills!C10=3,120+Inputs!$B$26+Inputs!$B$28,MAX(0,(Inputs!$B$3-100)*3)+Inputs!$B$27+Inputs!$B$28)))</f>
        <v/>
      </c>
      <c r="E514">
        <f>INDEX(FactorTable!$B$2:$Y$301, MATCH(ROUND(MIN(300,MAX(1,D514)),0), FactorTable!$A$2:$A$301,0), Skills!M10+1)</f>
        <v/>
      </c>
      <c r="F514">
        <f>IF(Skills!N10=TRUE,(Skills!L10/10)*(E514/1000),Skills!L10/10)+Skills!O10</f>
        <v/>
      </c>
      <c r="G514">
        <f>Calc!G10</f>
        <v/>
      </c>
      <c r="H514">
        <f>Calc!H10</f>
        <v/>
      </c>
      <c r="I514">
        <f>IF(Skills!AA10&lt;&gt;"",1+(Skills!AA10/10)*(U507/1000)/100,1)</f>
        <v/>
      </c>
      <c r="J514">
        <f>(Inputs!$B$5*(1+Inputs!$B$6/100))*(F514/100)</f>
        <v/>
      </c>
      <c r="K514">
        <f>J514*(1+((Inputs!$B$11*(1+Inputs!$B$12/100))*0.01+Inputs!$B$13*0.0025)/100)*(1+Inputs!$B$14/100)*(1+IF(Inputs!$B$4="pvp",0,(1-Summary!$B$55)*(Inputs!$B$19+((C531=TRUE)*(F531-Calc!F27))+Skills!P10+B545)+Summary!$B$55*(Inputs!$B$20+Skills!Q10+B545))/100)*(1+Inputs!$B$15/100)*(5000/(6000+Inputs!$B$7*(1-Inputs!$B$18/100)))*(1+(Inputs!$B$23+((C534=TRUE)*(F534-Calc!F30)))/100)*(1+Skills!R10/100)*(1+(IF(Skills!A10="SHOWDOWN",Inputs!$B$16+((C527=TRUE)*(F527-Calc!F23)),Inputs!$B$17+((C533=TRUE)*(F533-Calc!F29))))/100)*(((1+(((C525=TRUE)*F525*IF(AND(Inputs!$B$4&lt;&gt;"pvp",Inputs!$B$35&gt;0),(((S525-1)*(Skills!Y21*(1+Inputs!$B$33/100))+MIN((Skills!Y21*(1+Inputs!$B$33/100)),MAX(0,Inputs!$B$35-((S525-1)*Skills!D21))))/Inputs!$B$35),IF(Inputs!$B$4="pvp",MIN((Skills!Y21*(1+Inputs!$B$33/100)),15)/15,(Skills!Y21*(1+Inputs!$B$33/100))/Skills!D21)))+((C532=TRUE)*(F532-Calc!F28))+((C522=TRUE)*(F522-Calc!F18)))/100)*(1+((C519=TRUE)*F519*IF(AND(Inputs!$B$4&lt;&gt;"pvp",Inputs!$B$35&gt;0),(((S519-1)*(Skills!Y15*(1+Inputs!$B$33/100))+MIN((Skills!Y15*(1+Inputs!$B$33/100)),MAX(0,Inputs!$B$35-((S519-1)*Skills!D15))))/Inputs!$B$35),IF(Inputs!$B$4="pvp",MIN((Skills!Y15*(1+Inputs!$B$33/100)),15)/15,(Skills!Y15*(1+Inputs!$B$33/100))/Skills!D15)))/100)*(1+((C510=TRUE)*F510*B538)/100))*B546*I514)</f>
        <v/>
      </c>
      <c r="L514">
        <f>K514*(MIN(Inputs!$B$21+((C528=TRUE)*(F528-Calc!F24)),Inputs!$B$22)/100+Inputs!$B$22/100)/2</f>
        <v/>
      </c>
      <c r="M514">
        <f>L514*(1+(Inputs!$B$9+((C530=TRUE)*(F530-Calc!F26))+B547)/100)</f>
        <v/>
      </c>
      <c r="N514">
        <f>L514*(1-MIN(((Inputs!$B$8+1)+((C529=TRUE)*(F529-Calc!F25))+B544),100)/100)+M514*(MIN(((Inputs!$B$8+1)+((C529=TRUE)*(F529-Calc!F25))+B544),100)/100)</f>
        <v/>
      </c>
      <c r="O514">
        <f>IF(C514,0.2*SUMPRODUCT((Skills!Z2:Z31=TRUE)*(C506:C535=TRUE)*S506:S535)*N514,0)</f>
        <v/>
      </c>
      <c r="P514">
        <f>IF(B548=0,0,O514/B548)</f>
        <v/>
      </c>
      <c r="Q514" t="n">
        <v>0</v>
      </c>
      <c r="R514" t="n">
        <v>0</v>
      </c>
      <c r="S514" t="n">
        <v>0</v>
      </c>
    </row>
    <row r="515">
      <c r="A515">
        <f>Skills!A11</f>
        <v/>
      </c>
      <c r="B515">
        <f>Skills!B11</f>
        <v/>
      </c>
      <c r="C515">
        <f>Inputs!$B$3&gt;=60</f>
        <v/>
      </c>
      <c r="D515">
        <f>IF(Skills!C11=1,60+Inputs!$B$24+Inputs!$B$28,IF(Skills!C11=2,90+Inputs!$B$25+Inputs!$B$28,IF(Skills!C11=3,120+Inputs!$B$26+Inputs!$B$28,MAX(0,(Inputs!$B$3-100)*3)+Inputs!$B$27+Inputs!$B$28)))</f>
        <v/>
      </c>
      <c r="E515">
        <f>INDEX(FactorTable!$B$2:$Y$301, MATCH(ROUND(MIN(300,MAX(1,D515)),0), FactorTable!$A$2:$A$301,0), Skills!M11+1)</f>
        <v/>
      </c>
      <c r="F515">
        <f>IF(Skills!N11=TRUE,(Skills!L11/10)*(E515/1000),Skills!L11/10)+Skills!O11</f>
        <v/>
      </c>
      <c r="G515">
        <f>Calc!G11</f>
        <v/>
      </c>
      <c r="H515">
        <f>Calc!H11</f>
        <v/>
      </c>
      <c r="I515">
        <f>IF(Skills!AA11&lt;&gt;"",1+(Skills!AA11/10)*(U507/1000)/100,1)</f>
        <v/>
      </c>
      <c r="J515" t="inlineStr"/>
      <c r="K515" t="inlineStr"/>
      <c r="L515" t="inlineStr"/>
      <c r="M515" t="inlineStr"/>
      <c r="N515" t="inlineStr"/>
      <c r="O515" t="n">
        <v>0</v>
      </c>
      <c r="P515">
        <f>IF(B548=0,0,O515/B548)</f>
        <v/>
      </c>
      <c r="Q515" t="n">
        <v>0</v>
      </c>
      <c r="R515" t="n">
        <v>0</v>
      </c>
      <c r="S515">
        <f>IFERROR(O515/N515,0)</f>
        <v/>
      </c>
    </row>
    <row r="516">
      <c r="A516">
        <f>Skills!A12</f>
        <v/>
      </c>
      <c r="B516">
        <f>Skills!B12</f>
        <v/>
      </c>
      <c r="C516">
        <f>Inputs!$B$3&gt;=103</f>
        <v/>
      </c>
      <c r="D516">
        <f>IF(Skills!C12=1,60+Inputs!$B$24+Inputs!$B$28,IF(Skills!C12=2,90+Inputs!$B$25+Inputs!$B$28,IF(Skills!C12=3,120+Inputs!$B$26+Inputs!$B$28,MAX(0,(Inputs!$B$3-100)*3)+Inputs!$B$27+Inputs!$B$28)))</f>
        <v/>
      </c>
      <c r="E516">
        <f>INDEX(FactorTable!$B$2:$Y$301, MATCH(ROUND(MIN(300,MAX(1,D516)),0), FactorTable!$A$2:$A$301,0), Skills!M12+1)</f>
        <v/>
      </c>
      <c r="F516">
        <f>IF(Skills!N12=TRUE,(Skills!L12/10)*(E516/1000),Skills!L12/10)+Skills!O12</f>
        <v/>
      </c>
      <c r="G516">
        <f>Calc!G12</f>
        <v/>
      </c>
      <c r="H516">
        <f>Calc!H12</f>
        <v/>
      </c>
      <c r="I516">
        <f>IF(Skills!AA12&lt;&gt;"",1+(Skills!AA12/10)*(U507/1000)/100,1)</f>
        <v/>
      </c>
      <c r="J516">
        <f>(Inputs!$B$5*(1+Inputs!$B$6/100))*(F516/100)</f>
        <v/>
      </c>
      <c r="K516">
        <f>J516*(1+((Inputs!$B$11*(1+Inputs!$B$12/100))*0.01+Inputs!$B$13*0.0025)/100)*(1+Inputs!$B$14/100)*(1+IF(Inputs!$B$4="pvp",0,(1-Summary!$B$55)*(Inputs!$B$19+((C531=TRUE)*(F531-Calc!F27))+Skills!P12+B545)+Summary!$B$55*(Inputs!$B$20+Skills!Q12+B545))/100)*(1+Inputs!$B$15/100)*(5000/(6000+Inputs!$B$7*(1-Inputs!$B$18/100)))*(1+(Inputs!$B$23+((C534=TRUE)*(F534-Calc!F30)))/100)*(1+Skills!R12/100)*(1+(IF(Skills!A12="SHOWDOWN",Inputs!$B$16+((C527=TRUE)*(F527-Calc!F23)),Inputs!$B$17+((C533=TRUE)*(F533-Calc!F29))))/100)*(((1+(((C525=TRUE)*F525*IF(AND(Inputs!$B$4&lt;&gt;"pvp",Inputs!$B$35&gt;0),(((S525-1)*(Skills!Y21*(1+Inputs!$B$33/100))+MIN((Skills!Y21*(1+Inputs!$B$33/100)),MAX(0,Inputs!$B$35-((S525-1)*Skills!D21))))/Inputs!$B$35),IF(Inputs!$B$4="pvp",MIN((Skills!Y21*(1+Inputs!$B$33/100)),15)/15,(Skills!Y21*(1+Inputs!$B$33/100))/Skills!D21)))+((C532=TRUE)*(F532-Calc!F28))+((C522=TRUE)*(F522-Calc!F18)))/100)*(1+((C519=TRUE)*F519*IF(AND(Inputs!$B$4&lt;&gt;"pvp",Inputs!$B$35&gt;0),(((S519-1)*(Skills!Y15*(1+Inputs!$B$33/100))+MIN((Skills!Y15*(1+Inputs!$B$33/100)),MAX(0,Inputs!$B$35-((S519-1)*Skills!D15))))/Inputs!$B$35),IF(Inputs!$B$4="pvp",MIN((Skills!Y15*(1+Inputs!$B$33/100)),15)/15,(Skills!Y15*(1+Inputs!$B$33/100))/Skills!D15)))/100)*(1+((C510=TRUE)*F510*B538)/100))*B546*I516)</f>
        <v/>
      </c>
      <c r="L516">
        <f>K516*(MIN(Inputs!$B$21+((C528=TRUE)*(F528-Calc!F24)),Inputs!$B$22)/100+Inputs!$B$22/100)/2</f>
        <v/>
      </c>
      <c r="M516">
        <f>L516*(1+(Inputs!$B$9+((C530=TRUE)*(F530-Calc!F26))+B547)/100)</f>
        <v/>
      </c>
      <c r="N516">
        <f>L516*(1-MIN(((Inputs!$B$8+1)+((C529=TRUE)*(F529-Calc!F25))+B544),100)/100)+M516*(MIN(((Inputs!$B$8+1)+((C529=TRUE)*(F529-Calc!F25))+B544),100)/100)</f>
        <v/>
      </c>
      <c r="O516">
        <f>IF(C516,H516*N516*IF(AND(Inputs!$B$4&lt;&gt;"pvp",Inputs!$B$35&gt;0),((Skills!G12*((R516-1)*IF(Skills!H12&gt;0,Skills!I12/Skills!H12,1)+IF(Skills!H12&gt;0,MIN(Skills!I12,MAX(0,Inputs!$B$35-((R516-1)*IF(Inputs!$B$4="pvp",15,MAX(0.1,Skills!D12-IF(Skills!E12=TRUE,Inputs!$B$31,0))))))/Skills!H12,1)))/Inputs!$B$35),G516*Q516)*IF(Inputs!$B$4="pvp",1,(1-Summary!$B$55)*(1)+Summary!$B$55*(MIN(Skills!W12,Inputs!$B$37))),0)</f>
        <v/>
      </c>
      <c r="P516">
        <f>IF(B548=0,0,O516/B548)</f>
        <v/>
      </c>
      <c r="Q516">
        <f>IFERROR(1/IF(Inputs!$B$4="pvp",15,MAX(0.1,Skills!D12-IF(Skills!E12=TRUE,Inputs!$B$31,0))),0)</f>
        <v/>
      </c>
      <c r="R516">
        <f>IF(AND(Inputs!$B$4&lt;&gt;"pvp",Inputs!$B$35&gt;0),(INT(Inputs!$B$35/IF(Inputs!$B$4="pvp",15,MAX(0.1,Skills!D12-IF(Skills!E12=TRUE,Inputs!$B$31,0))))+1),0)</f>
        <v/>
      </c>
      <c r="S516">
        <f>IFERROR(O516/N516,0)</f>
        <v/>
      </c>
    </row>
    <row r="517">
      <c r="A517">
        <f>Skills!A13</f>
        <v/>
      </c>
      <c r="B517">
        <f>Skills!B13</f>
        <v/>
      </c>
      <c r="C517">
        <f>Inputs!$B$3&gt;=105</f>
        <v/>
      </c>
      <c r="D517">
        <f>IF(Skills!C13=1,60+Inputs!$B$24+Inputs!$B$28,IF(Skills!C13=2,90+Inputs!$B$25+Inputs!$B$28,IF(Skills!C13=3,120+Inputs!$B$26+Inputs!$B$28,MAX(0,(Inputs!$B$3-100)*3)+Inputs!$B$27+Inputs!$B$28)))</f>
        <v/>
      </c>
      <c r="E517">
        <f>INDEX(FactorTable!$B$2:$Y$301, MATCH(ROUND(MIN(300,MAX(1,D517)),0), FactorTable!$A$2:$A$301,0), Skills!M13+1)</f>
        <v/>
      </c>
      <c r="F517">
        <f>IF(Skills!N13=TRUE,(Skills!L13/10)*(E517/1000),Skills!L13/10)+Skills!O13</f>
        <v/>
      </c>
      <c r="G517">
        <f>Calc!G13</f>
        <v/>
      </c>
      <c r="H517">
        <f>Calc!H13</f>
        <v/>
      </c>
      <c r="I517">
        <f>IF(Skills!AA13&lt;&gt;"",1+(Skills!AA13/10)*(U507/1000)/100,1)</f>
        <v/>
      </c>
      <c r="J517">
        <f>(Inputs!$B$5*(1+Inputs!$B$6/100))*(F517/100)</f>
        <v/>
      </c>
      <c r="K517">
        <f>J517*(1+((Inputs!$B$11*(1+Inputs!$B$12/100))*0.01+Inputs!$B$13*0.0025)/100)*(1+Inputs!$B$14/100)*(1+IF(Inputs!$B$4="pvp",0,(1-Summary!$B$55)*(Inputs!$B$19+((C531=TRUE)*(F531-Calc!F27))+Skills!P13+B545)+Summary!$B$55*(Inputs!$B$20+Skills!Q13+B545))/100)*(1+Inputs!$B$15/100)*(5000/(6000+Inputs!$B$7*(1-Inputs!$B$18/100)))*(1+(Inputs!$B$23+((C534=TRUE)*(F534-Calc!F30)))/100)*(1+Skills!R13/100)*(1+(IF(Skills!A13="SHOWDOWN",Inputs!$B$16+((C527=TRUE)*(F527-Calc!F23)),Inputs!$B$17+((C533=TRUE)*(F533-Calc!F29))))/100)*(((1+(((C525=TRUE)*F525*IF(AND(Inputs!$B$4&lt;&gt;"pvp",Inputs!$B$35&gt;0),(((S525-1)*(Skills!Y21*(1+Inputs!$B$33/100))+MIN((Skills!Y21*(1+Inputs!$B$33/100)),MAX(0,Inputs!$B$35-((S525-1)*Skills!D21))))/Inputs!$B$35),IF(Inputs!$B$4="pvp",MIN((Skills!Y21*(1+Inputs!$B$33/100)),15)/15,(Skills!Y21*(1+Inputs!$B$33/100))/Skills!D21)))+((C532=TRUE)*(F532-Calc!F28))+((C522=TRUE)*(F522-Calc!F18)))/100)*(1+((C519=TRUE)*F519*IF(AND(Inputs!$B$4&lt;&gt;"pvp",Inputs!$B$35&gt;0),(((S519-1)*(Skills!Y15*(1+Inputs!$B$33/100))+MIN((Skills!Y15*(1+Inputs!$B$33/100)),MAX(0,Inputs!$B$35-((S519-1)*Skills!D15))))/Inputs!$B$35),IF(Inputs!$B$4="pvp",MIN((Skills!Y15*(1+Inputs!$B$33/100)),15)/15,(Skills!Y15*(1+Inputs!$B$33/100))/Skills!D15)))/100)*(1+((C510=TRUE)*F510*B538)/100))*B546*I517)</f>
        <v/>
      </c>
      <c r="L517">
        <f>K517*(MIN(Inputs!$B$21+((C528=TRUE)*(F528-Calc!F24)),Inputs!$B$22)/100+Inputs!$B$22/100)/2</f>
        <v/>
      </c>
      <c r="M517">
        <f>L517*(1+(Inputs!$B$9+((C530=TRUE)*(F530-Calc!F26))+B547)/100)</f>
        <v/>
      </c>
      <c r="N517">
        <f>L517*(1-MIN(((Inputs!$B$8+1)+((C529=TRUE)*(F529-Calc!F25))+B544),100)/100)+M517*(MIN(((Inputs!$B$8+1)+((C529=TRUE)*(F529-Calc!F25))+B544),100)/100)</f>
        <v/>
      </c>
      <c r="O517">
        <f>IF(C517,H517*N517*IF(AND(Inputs!$B$4&lt;&gt;"pvp",Inputs!$B$35&gt;0),((Skills!G13*((R517-1)*IF(Skills!H13&gt;0,Skills!I13/Skills!H13,1)+IF(Skills!H13&gt;0,MIN(Skills!I13,MAX(0,Inputs!$B$35-((R517-1)*IF(Inputs!$B$4="pvp",15,MAX(0.1,Skills!D13-IF(Skills!E13=TRUE,Inputs!$B$31,0))))))/Skills!H13,1)))/Inputs!$B$35),G517*Q517)*IF(Inputs!$B$4="pvp",1,(1-Summary!$B$55)*(1)+Summary!$B$55*(MIN(Skills!W13,Inputs!$B$37))),0)</f>
        <v/>
      </c>
      <c r="P517">
        <f>IF(B548=0,0,O517/B548)</f>
        <v/>
      </c>
      <c r="Q517">
        <f>IFERROR(1/IF(Inputs!$B$4="pvp",15,MAX(0.1,Skills!D13-IF(Skills!E13=TRUE,Inputs!$B$31,0))),0)</f>
        <v/>
      </c>
      <c r="R517">
        <f>IF(AND(Inputs!$B$4&lt;&gt;"pvp",Inputs!$B$35&gt;0),(INT(Inputs!$B$35/IF(Inputs!$B$4="pvp",15,MAX(0.1,Skills!D13-IF(Skills!E13=TRUE,Inputs!$B$31,0))))+1),0)</f>
        <v/>
      </c>
      <c r="S517">
        <f>IFERROR(O517/N517,0)</f>
        <v/>
      </c>
    </row>
    <row r="518">
      <c r="A518">
        <f>Skills!A14</f>
        <v/>
      </c>
      <c r="B518">
        <f>Skills!B14</f>
        <v/>
      </c>
      <c r="C518">
        <f>Inputs!$B$3&gt;=105</f>
        <v/>
      </c>
      <c r="D518">
        <f>IF(Skills!C14=1,60+Inputs!$B$24+Inputs!$B$28,IF(Skills!C14=2,90+Inputs!$B$25+Inputs!$B$28,IF(Skills!C14=3,120+Inputs!$B$26+Inputs!$B$28,MAX(0,(Inputs!$B$3-100)*3)+Inputs!$B$27+Inputs!$B$28)))</f>
        <v/>
      </c>
      <c r="E518">
        <f>INDEX(FactorTable!$B$2:$Y$301, MATCH(ROUND(MIN(300,MAX(1,D518)),0), FactorTable!$A$2:$A$301,0), Skills!M14+1)</f>
        <v/>
      </c>
      <c r="F518">
        <f>IF(Skills!N14=TRUE,(Skills!L14/10)*(E518/1000),Skills!L14/10)+Skills!O14</f>
        <v/>
      </c>
      <c r="G518">
        <f>Calc!G14</f>
        <v/>
      </c>
      <c r="H518">
        <f>Calc!H14</f>
        <v/>
      </c>
      <c r="I518">
        <f>IF(Skills!AA14&lt;&gt;"",1+(Skills!AA14/10)*(U507/1000)/100,1)</f>
        <v/>
      </c>
      <c r="J518">
        <f>(Inputs!$B$5*(1+Inputs!$B$6/100))*(F518/100)</f>
        <v/>
      </c>
      <c r="K518">
        <f>J518*(1+((Inputs!$B$11*(1+Inputs!$B$12/100))*0.01+Inputs!$B$13*0.0025)/100)*(1+Inputs!$B$14/100)*(1+IF(Inputs!$B$4="pvp",0,(1-Summary!$B$55)*(Inputs!$B$19+((C531=TRUE)*(F531-Calc!F27))+Skills!P14+B545)+Summary!$B$55*(Inputs!$B$20+Skills!Q14+B545))/100)*(1+Inputs!$B$15/100)*(5000/(6000+Inputs!$B$7*(1-Inputs!$B$18/100)))*(1+(Inputs!$B$23+((C534=TRUE)*(F534-Calc!F30)))/100)*(1+Skills!R14/100)*(1+(IF(Skills!A14="SHOWDOWN",Inputs!$B$16+((C527=TRUE)*(F527-Calc!F23)),Inputs!$B$17+((C533=TRUE)*(F533-Calc!F29))))/100)*(((1+(((C525=TRUE)*F525*IF(AND(Inputs!$B$4&lt;&gt;"pvp",Inputs!$B$35&gt;0),(((S525-1)*(Skills!Y21*(1+Inputs!$B$33/100))+MIN((Skills!Y21*(1+Inputs!$B$33/100)),MAX(0,Inputs!$B$35-((S525-1)*Skills!D21))))/Inputs!$B$35),IF(Inputs!$B$4="pvp",MIN((Skills!Y21*(1+Inputs!$B$33/100)),15)/15,(Skills!Y21*(1+Inputs!$B$33/100))/Skills!D21)))+((C532=TRUE)*(F532-Calc!F28))+((C522=TRUE)*(F522-Calc!F18)))/100)*(1+((C519=TRUE)*F519*IF(AND(Inputs!$B$4&lt;&gt;"pvp",Inputs!$B$35&gt;0),(((S519-1)*(Skills!Y15*(1+Inputs!$B$33/100))+MIN((Skills!Y15*(1+Inputs!$B$33/100)),MAX(0,Inputs!$B$35-((S519-1)*Skills!D15))))/Inputs!$B$35),IF(Inputs!$B$4="pvp",MIN((Skills!Y15*(1+Inputs!$B$33/100)),15)/15,(Skills!Y15*(1+Inputs!$B$33/100))/Skills!D15)))/100)*(1+((C510=TRUE)*F510*B538)/100))*B546*I518)</f>
        <v/>
      </c>
      <c r="L518">
        <f>K518*(MIN(Inputs!$B$21+((C528=TRUE)*(F528-Calc!F24)),Inputs!$B$22)/100+Inputs!$B$22/100)/2</f>
        <v/>
      </c>
      <c r="M518">
        <f>L518*(1+(Inputs!$B$9+((C530=TRUE)*(F530-Calc!F26))+B547)/100)</f>
        <v/>
      </c>
      <c r="N518">
        <f>L518*(1-MIN(((Inputs!$B$8+1)+((C529=TRUE)*(F529-Calc!F25))+B544),100)/100)+M518*(MIN(((Inputs!$B$8+1)+((C529=TRUE)*(F529-Calc!F25))+B544),100)/100)</f>
        <v/>
      </c>
      <c r="O518">
        <f>IF(C518,H518*N518*IF(AND(Inputs!$B$4&lt;&gt;"pvp",Inputs!$B$35&gt;0),((Skills!G14*((R518-1)*IF(Skills!H14&gt;0,Skills!I14/Skills!H14,1)+IF(Skills!H14&gt;0,MIN(Skills!I14,MAX(0,Inputs!$B$35-((R518-1)*IF(Inputs!$B$4="pvp",15,MAX(0.1,Skills!D14-IF(Skills!E14=TRUE,Inputs!$B$31,0))))))/Skills!H14,1)))/Inputs!$B$35),G518*Q518)*IF(Inputs!$B$4="pvp",1,(1-Summary!$B$55)*(1)+Summary!$B$55*(MIN(Skills!W14,Inputs!$B$37))),0)</f>
        <v/>
      </c>
      <c r="P518">
        <f>IF(B548=0,0,O518/B548)</f>
        <v/>
      </c>
      <c r="Q518">
        <f>IFERROR(1/IF(Inputs!$B$4="pvp",15,MAX(0.1,Skills!D14-IF(Skills!E14=TRUE,Inputs!$B$31,0))),0)</f>
        <v/>
      </c>
      <c r="R518">
        <f>IF(AND(Inputs!$B$4&lt;&gt;"pvp",Inputs!$B$35&gt;0),(INT(Inputs!$B$35/IF(Inputs!$B$4="pvp",15,MAX(0.1,Skills!D14-IF(Skills!E14=TRUE,Inputs!$B$31,0))))+1),0)</f>
        <v/>
      </c>
      <c r="S518">
        <f>IFERROR(O518/N518,0)</f>
        <v/>
      </c>
    </row>
    <row r="519">
      <c r="A519">
        <f>Skills!A15</f>
        <v/>
      </c>
      <c r="B519">
        <f>Skills!B15</f>
        <v/>
      </c>
      <c r="C519">
        <f>Inputs!$B$3&gt;=110</f>
        <v/>
      </c>
      <c r="D519">
        <f>IF(Skills!C15=1,60+Inputs!$B$24+Inputs!$B$28,IF(Skills!C15=2,90+Inputs!$B$25+Inputs!$B$28,IF(Skills!C15=3,120+Inputs!$B$26+Inputs!$B$28,MAX(0,(Inputs!$B$3-100)*3)+Inputs!$B$27+Inputs!$B$28)))</f>
        <v/>
      </c>
      <c r="E519">
        <f>INDEX(FactorTable!$B$2:$Y$301, MATCH(ROUND(MIN(300,MAX(1,D519)),0), FactorTable!$A$2:$A$301,0), Skills!M15+1)</f>
        <v/>
      </c>
      <c r="F519">
        <f>IF(Skills!N15=TRUE,(Skills!L15/10)*(E519/1000),Skills!L15/10)+Skills!O15</f>
        <v/>
      </c>
      <c r="G519">
        <f>Calc!G15</f>
        <v/>
      </c>
      <c r="H519">
        <f>Calc!H15</f>
        <v/>
      </c>
      <c r="I519">
        <f>IF(Skills!AA15&lt;&gt;"",1+(Skills!AA15/10)*(U507/1000)/100,1)</f>
        <v/>
      </c>
      <c r="J519" t="inlineStr"/>
      <c r="K519" t="inlineStr"/>
      <c r="L519" t="inlineStr"/>
      <c r="M519" t="inlineStr"/>
      <c r="N519" t="inlineStr"/>
      <c r="O519" t="n">
        <v>0</v>
      </c>
      <c r="P519">
        <f>IF(B548=0,0,O519/B548)</f>
        <v/>
      </c>
      <c r="Q519">
        <f>IFERROR(1/IF(Inputs!$B$4="pvp",15,MAX(0.1,Skills!D15-IF(Skills!E15=TRUE,Inputs!$B$31,0))),0)</f>
        <v/>
      </c>
      <c r="R519">
        <f>IF(AND(Inputs!$B$4&lt;&gt;"pvp",Inputs!$B$35&gt;0),(INT(Inputs!$B$35/IF(Inputs!$B$4="pvp",15,MAX(0.1,Skills!D15-IF(Skills!E15=TRUE,Inputs!$B$31,0))))+1),0)</f>
        <v/>
      </c>
      <c r="S519">
        <f>IFERROR(O519/N519,0)</f>
        <v/>
      </c>
    </row>
    <row r="520">
      <c r="A520">
        <f>Skills!A16</f>
        <v/>
      </c>
      <c r="B520">
        <f>Skills!B16</f>
        <v/>
      </c>
      <c r="C520">
        <f>Inputs!$B$3&gt;=110</f>
        <v/>
      </c>
      <c r="D520">
        <f>IF(Skills!C16=1,60+Inputs!$B$24+Inputs!$B$28,IF(Skills!C16=2,90+Inputs!$B$25+Inputs!$B$28,IF(Skills!C16=3,120+Inputs!$B$26+Inputs!$B$28,MAX(0,(Inputs!$B$3-100)*3)+Inputs!$B$27+Inputs!$B$28)))</f>
        <v/>
      </c>
      <c r="E520">
        <f>INDEX(FactorTable!$B$2:$Y$301, MATCH(ROUND(MIN(300,MAX(1,D520)),0), FactorTable!$A$2:$A$301,0), Skills!M16+1)</f>
        <v/>
      </c>
      <c r="F520">
        <f>IF(Skills!N16=TRUE,(Skills!L16/10)*(E520/1000),Skills!L16/10)+Skills!O16</f>
        <v/>
      </c>
      <c r="G520">
        <f>Calc!G16</f>
        <v/>
      </c>
      <c r="H520">
        <f>Calc!H16</f>
        <v/>
      </c>
      <c r="I520">
        <f>IF(Skills!AA16&lt;&gt;"",1+(Skills!AA16/10)*(U507/1000)/100,1)</f>
        <v/>
      </c>
      <c r="J520" t="inlineStr"/>
      <c r="K520" t="inlineStr"/>
      <c r="L520" t="inlineStr"/>
      <c r="M520" t="inlineStr"/>
      <c r="N520" t="inlineStr"/>
      <c r="O520" t="n">
        <v>0</v>
      </c>
      <c r="P520">
        <f>IF(B548=0,0,O520/B548)</f>
        <v/>
      </c>
      <c r="Q520">
        <f>IFERROR(1/IF(Inputs!$B$4="pvp",15,MAX(0.1,Skills!D16-IF(Skills!E16=TRUE,Inputs!$B$31,0))),0)</f>
        <v/>
      </c>
      <c r="R520">
        <f>IF(AND(Inputs!$B$4&lt;&gt;"pvp",Inputs!$B$35&gt;0),(INT(Inputs!$B$35/IF(Inputs!$B$4="pvp",15,MAX(0.1,Skills!D16-IF(Skills!E16=TRUE,Inputs!$B$31,0))))+1),0)</f>
        <v/>
      </c>
      <c r="S520">
        <f>IFERROR(O520/N520,0)</f>
        <v/>
      </c>
    </row>
    <row r="521">
      <c r="A521">
        <f>Skills!A17</f>
        <v/>
      </c>
      <c r="B521">
        <f>Skills!B17</f>
        <v/>
      </c>
      <c r="C521">
        <f>Inputs!$B$3&gt;=115</f>
        <v/>
      </c>
      <c r="D521">
        <f>IF(Skills!C17=1,60+Inputs!$B$24+Inputs!$B$28,IF(Skills!C17=2,90+Inputs!$B$25+Inputs!$B$28,IF(Skills!C17=3,120+Inputs!$B$26+Inputs!$B$28,MAX(0,(Inputs!$B$3-100)*3)+Inputs!$B$27+Inputs!$B$28)))</f>
        <v/>
      </c>
      <c r="E521">
        <f>INDEX(FactorTable!$B$2:$Y$301, MATCH(ROUND(MIN(300,MAX(1,D521)),0), FactorTable!$A$2:$A$301,0), Skills!M17+1)</f>
        <v/>
      </c>
      <c r="F521">
        <f>IF(Skills!N17=TRUE,(Skills!L17/10)*(E521/1000),Skills!L17/10)+Skills!O17</f>
        <v/>
      </c>
      <c r="G521">
        <f>Calc!G17</f>
        <v/>
      </c>
      <c r="H521">
        <f>Calc!H17</f>
        <v/>
      </c>
      <c r="I521">
        <f>IF(Skills!AA17&lt;&gt;"",1+(Skills!AA17/10)*(U507/1000)/100,1)</f>
        <v/>
      </c>
      <c r="J521">
        <f>(Inputs!$B$5*(1+Inputs!$B$6/100))*(F521/100)</f>
        <v/>
      </c>
      <c r="K521">
        <f>J521*(1+((Inputs!$B$11*(1+Inputs!$B$12/100))*0.01+Inputs!$B$13*0.0025)/100)*(1+Inputs!$B$14/100)*(1+IF(Inputs!$B$4="pvp",0,(1-Summary!$B$55)*(Inputs!$B$19+((C531=TRUE)*(F531-Calc!F27))+Skills!P17+B545)+Summary!$B$55*(Inputs!$B$20+Skills!Q17+B545))/100)*(1+Inputs!$B$15/100)*(5000/(6000+Inputs!$B$7*(1-Inputs!$B$18/100)))*(1+(Inputs!$B$23+((C534=TRUE)*(F534-Calc!F30)))/100)*(1+Skills!R17/100)*(1+(IF(Skills!A17="SHOWDOWN",Inputs!$B$16+((C527=TRUE)*(F527-Calc!F23)),Inputs!$B$17+((C533=TRUE)*(F533-Calc!F29))))/100)*(((1+(((C525=TRUE)*F525*IF(AND(Inputs!$B$4&lt;&gt;"pvp",Inputs!$B$35&gt;0),(((S525-1)*(Skills!Y21*(1+Inputs!$B$33/100))+MIN((Skills!Y21*(1+Inputs!$B$33/100)),MAX(0,Inputs!$B$35-((S525-1)*Skills!D21))))/Inputs!$B$35),IF(Inputs!$B$4="pvp",MIN((Skills!Y21*(1+Inputs!$B$33/100)),15)/15,(Skills!Y21*(1+Inputs!$B$33/100))/Skills!D21)))+((C532=TRUE)*(F532-Calc!F28))+((C522=TRUE)*(F522-Calc!F18)))/100)*(1+((C519=TRUE)*F519*IF(AND(Inputs!$B$4&lt;&gt;"pvp",Inputs!$B$35&gt;0),(((S519-1)*(Skills!Y15*(1+Inputs!$B$33/100))+MIN((Skills!Y15*(1+Inputs!$B$33/100)),MAX(0,Inputs!$B$35-((S519-1)*Skills!D15))))/Inputs!$B$35),IF(Inputs!$B$4="pvp",MIN((Skills!Y15*(1+Inputs!$B$33/100)),15)/15,(Skills!Y15*(1+Inputs!$B$33/100))/Skills!D15)))/100)*(1+((C510=TRUE)*F510*B538)/100))*B546*I521)</f>
        <v/>
      </c>
      <c r="L521">
        <f>K521*(MIN(Inputs!$B$21+((C528=TRUE)*(F528-Calc!F24)),Inputs!$B$22)/100+Inputs!$B$22/100)/2</f>
        <v/>
      </c>
      <c r="M521">
        <f>L521*(1+(Inputs!$B$9+((C530=TRUE)*(F530-Calc!F26))+B547)/100)</f>
        <v/>
      </c>
      <c r="N521">
        <f>L521*(1-MIN(((Inputs!$B$8+1)+((C529=TRUE)*(F529-Calc!F25))+B544),100)/100)+M521*(MIN(((Inputs!$B$8+1)+((C529=TRUE)*(F529-Calc!F25))+B544),100)/100)</f>
        <v/>
      </c>
      <c r="O521">
        <f>IF(C521,Inputs!$B$38*0.2*N521,0)</f>
        <v/>
      </c>
      <c r="P521">
        <f>IF(B548=0,0,O521/B548)</f>
        <v/>
      </c>
      <c r="Q521" t="n">
        <v>0</v>
      </c>
      <c r="R521" t="n">
        <v>0</v>
      </c>
      <c r="S521">
        <f>IFERROR(O521/N521,0)</f>
        <v/>
      </c>
    </row>
    <row r="522">
      <c r="A522">
        <f>Skills!A18</f>
        <v/>
      </c>
      <c r="B522">
        <f>Skills!B18</f>
        <v/>
      </c>
      <c r="C522">
        <f>Inputs!$B$3&gt;=115</f>
        <v/>
      </c>
      <c r="D522">
        <f>IF(Skills!C18=1,60+Inputs!$B$24+Inputs!$B$28,IF(Skills!C18=2,90+Inputs!$B$25+Inputs!$B$28,IF(Skills!C18=3,120+Inputs!$B$26+Inputs!$B$28,MAX(0,(Inputs!$B$3-100)*3)+Inputs!$B$27+Inputs!$B$28)))</f>
        <v/>
      </c>
      <c r="E522">
        <f>INDEX(FactorTable!$B$2:$Y$301, MATCH(ROUND(MIN(300,MAX(1,D522)),0), FactorTable!$A$2:$A$301,0), Skills!M18+1)</f>
        <v/>
      </c>
      <c r="F522">
        <f>IF(Skills!N18=TRUE,(Skills!L18/10)*(E522/1000),Skills!L18/10)+Skills!O18</f>
        <v/>
      </c>
      <c r="G522">
        <f>Calc!G18</f>
        <v/>
      </c>
      <c r="H522">
        <f>Calc!H18</f>
        <v/>
      </c>
      <c r="I522">
        <f>IF(Skills!AA18&lt;&gt;"",1+(Skills!AA18/10)*(U507/1000)/100,1)</f>
        <v/>
      </c>
      <c r="J522" t="inlineStr"/>
      <c r="K522" t="inlineStr"/>
      <c r="L522" t="inlineStr"/>
      <c r="M522" t="inlineStr"/>
      <c r="N522" t="inlineStr"/>
      <c r="O522" t="n">
        <v>0</v>
      </c>
      <c r="P522">
        <f>IF(B548=0,0,O522/B548)</f>
        <v/>
      </c>
      <c r="Q522" t="n">
        <v>0</v>
      </c>
      <c r="R522" t="n">
        <v>0</v>
      </c>
      <c r="S522">
        <f>IFERROR(O522/N522,0)</f>
        <v/>
      </c>
    </row>
    <row r="523">
      <c r="A523">
        <f>Skills!A19</f>
        <v/>
      </c>
      <c r="B523">
        <f>Skills!B19</f>
        <v/>
      </c>
      <c r="C523">
        <f>TRUE</f>
        <v/>
      </c>
      <c r="D523">
        <f>IF(Skills!C19=1,60+Inputs!$B$24+Inputs!$B$28,IF(Skills!C19=2,90+Inputs!$B$25+Inputs!$B$28,IF(Skills!C19=3,120+Inputs!$B$26+Inputs!$B$28,MAX(0,(Inputs!$B$3-100)*3)+Inputs!$B$27+Inputs!$B$28)))</f>
        <v/>
      </c>
      <c r="E523">
        <f>INDEX(FactorTable!$B$2:$Y$301, MATCH(ROUND(MIN(300,MAX(1,D523)),0), FactorTable!$A$2:$A$301,0), Skills!M19+1)</f>
        <v/>
      </c>
      <c r="F523">
        <f>IF(Skills!N19=TRUE,(Skills!L19/10)*(E523/1000),Skills!L19/10)+Skills!O19</f>
        <v/>
      </c>
      <c r="G523">
        <f>Calc!G19</f>
        <v/>
      </c>
      <c r="H523">
        <f>Calc!H19</f>
        <v/>
      </c>
      <c r="I523">
        <f>IF(Skills!AA19&lt;&gt;"",1+(Skills!AA19/10)*(U507/1000)/100,1)</f>
        <v/>
      </c>
      <c r="J523" t="inlineStr"/>
      <c r="K523" t="inlineStr"/>
      <c r="L523" t="inlineStr"/>
      <c r="M523" t="inlineStr"/>
      <c r="N523" t="inlineStr"/>
      <c r="O523" t="n">
        <v>0</v>
      </c>
      <c r="P523">
        <f>IF(B548=0,0,O523/B548)</f>
        <v/>
      </c>
      <c r="Q523">
        <f>IFERROR(1/IF(Inputs!$B$4="pvp",15,MAX(0.1,Skills!D19-IF(Skills!E19=TRUE,Inputs!$B$31,0))),0)</f>
        <v/>
      </c>
      <c r="R523">
        <f>IF(AND(Inputs!$B$4&lt;&gt;"pvp",Inputs!$B$35&gt;0),(INT(Inputs!$B$35/IF(Inputs!$B$4="pvp",15,MAX(0.1,Skills!D19-IF(Skills!E19=TRUE,Inputs!$B$31,0))))+1),0)</f>
        <v/>
      </c>
      <c r="S523">
        <f>IFERROR(O523/N523,0)</f>
        <v/>
      </c>
    </row>
    <row r="524">
      <c r="A524">
        <f>Skills!A20</f>
        <v/>
      </c>
      <c r="B524">
        <f>Skills!B20</f>
        <v/>
      </c>
      <c r="C524">
        <f>Inputs!$B$3&gt;=15</f>
        <v/>
      </c>
      <c r="D524">
        <f>IF(Skills!C20=1,60+Inputs!$B$24+Inputs!$B$28,IF(Skills!C20=2,90+Inputs!$B$25+Inputs!$B$28,IF(Skills!C20=3,120+Inputs!$B$26+Inputs!$B$28,MAX(0,(Inputs!$B$3-100)*3)+Inputs!$B$27+Inputs!$B$28)))</f>
        <v/>
      </c>
      <c r="E524">
        <f>INDEX(FactorTable!$B$2:$Y$301, MATCH(ROUND(MIN(300,MAX(1,D524)),0), FactorTable!$A$2:$A$301,0), Skills!M20+1)</f>
        <v/>
      </c>
      <c r="F524">
        <f>IF(Skills!N20=TRUE,(Skills!L20/10)*(E524/1000),Skills!L20/10)+Skills!O20</f>
        <v/>
      </c>
      <c r="G524">
        <f>Calc!G20</f>
        <v/>
      </c>
      <c r="H524">
        <f>Calc!H20</f>
        <v/>
      </c>
      <c r="I524">
        <f>IF(Skills!AA20&lt;&gt;"",1+(Skills!AA20/10)*(U507/1000)/100,1)</f>
        <v/>
      </c>
      <c r="J524" t="inlineStr"/>
      <c r="K524" t="inlineStr"/>
      <c r="L524" t="inlineStr"/>
      <c r="M524" t="inlineStr"/>
      <c r="N524" t="inlineStr"/>
      <c r="O524" t="n">
        <v>0</v>
      </c>
      <c r="P524">
        <f>IF(B548=0,0,O524/B548)</f>
        <v/>
      </c>
      <c r="Q524">
        <f>IFERROR(1/IF(Inputs!$B$4="pvp",15,MAX(0.1,Skills!D20-IF(Skills!E20=TRUE,Inputs!$B$31,0))),0)</f>
        <v/>
      </c>
      <c r="R524">
        <f>IF(AND(Inputs!$B$4&lt;&gt;"pvp",Inputs!$B$35&gt;0),(INT(Inputs!$B$35/IF(Inputs!$B$4="pvp",15,MAX(0.1,Skills!D20-IF(Skills!E20=TRUE,Inputs!$B$31,0))))+1),0)</f>
        <v/>
      </c>
      <c r="S524">
        <f>IFERROR(O524/N524,0)</f>
        <v/>
      </c>
    </row>
    <row r="525">
      <c r="A525">
        <f>Skills!A21</f>
        <v/>
      </c>
      <c r="B525">
        <f>Skills!B21</f>
        <v/>
      </c>
      <c r="C525">
        <f>Inputs!$B$3&gt;=15</f>
        <v/>
      </c>
      <c r="D525">
        <f>IF(Skills!C21=1,60+Inputs!$B$24+Inputs!$B$28,IF(Skills!C21=2,90+Inputs!$B$25+Inputs!$B$28,IF(Skills!C21=3,120+Inputs!$B$26+Inputs!$B$28,MAX(0,(Inputs!$B$3-100)*3)+Inputs!$B$27+Inputs!$B$28)))</f>
        <v/>
      </c>
      <c r="E525">
        <f>INDEX(FactorTable!$B$2:$Y$301, MATCH(ROUND(MIN(300,MAX(1,D525)),0), FactorTable!$A$2:$A$301,0), Skills!M21+1)</f>
        <v/>
      </c>
      <c r="F525">
        <f>IF(Skills!N21=TRUE,(Skills!L21/10)*(E525/1000),Skills!L21/10)+Skills!O21</f>
        <v/>
      </c>
      <c r="G525">
        <f>Calc!G21</f>
        <v/>
      </c>
      <c r="H525">
        <f>Calc!H21</f>
        <v/>
      </c>
      <c r="I525">
        <f>IF(Skills!AA21&lt;&gt;"",1+(Skills!AA21/10)*(U507/1000)/100,1)</f>
        <v/>
      </c>
      <c r="J525" t="inlineStr"/>
      <c r="K525" t="inlineStr"/>
      <c r="L525" t="inlineStr"/>
      <c r="M525" t="inlineStr"/>
      <c r="N525" t="inlineStr"/>
      <c r="O525" t="n">
        <v>0</v>
      </c>
      <c r="P525">
        <f>IF(B548=0,0,O525/B548)</f>
        <v/>
      </c>
      <c r="Q525">
        <f>IFERROR(1/IF(Inputs!$B$4="pvp",15,MAX(0.1,Skills!D21-IF(Skills!E21=TRUE,Inputs!$B$31,0))),0)</f>
        <v/>
      </c>
      <c r="R525">
        <f>IF(AND(Inputs!$B$4&lt;&gt;"pvp",Inputs!$B$35&gt;0),(INT(Inputs!$B$35/IF(Inputs!$B$4="pvp",15,MAX(0.1,Skills!D21-IF(Skills!E21=TRUE,Inputs!$B$31,0))))+1),0)</f>
        <v/>
      </c>
      <c r="S525">
        <f>IFERROR(O525/N525,0)</f>
        <v/>
      </c>
    </row>
    <row r="526">
      <c r="A526">
        <f>Skills!A22</f>
        <v/>
      </c>
      <c r="B526">
        <f>Skills!B22</f>
        <v/>
      </c>
      <c r="C526">
        <f>Inputs!$B$3&gt;=33</f>
        <v/>
      </c>
      <c r="D526">
        <f>IF(Skills!C22=1,60+Inputs!$B$24+Inputs!$B$28,IF(Skills!C22=2,90+Inputs!$B$25+Inputs!$B$28,IF(Skills!C22=3,120+Inputs!$B$26+Inputs!$B$28,MAX(0,(Inputs!$B$3-100)*3)+Inputs!$B$27+Inputs!$B$28)))</f>
        <v/>
      </c>
      <c r="E526">
        <f>INDEX(FactorTable!$B$2:$Y$301, MATCH(ROUND(MIN(300,MAX(1,D526)),0), FactorTable!$A$2:$A$301,0), Skills!M22+1)</f>
        <v/>
      </c>
      <c r="F526">
        <f>IF(Skills!N22=TRUE,(Skills!L22/10)*(E526/1000),Skills!L22/10)+Skills!O22</f>
        <v/>
      </c>
      <c r="G526">
        <f>Calc!G22</f>
        <v/>
      </c>
      <c r="H526">
        <f>Calc!H22</f>
        <v/>
      </c>
      <c r="I526">
        <f>IF(Skills!AA22&lt;&gt;"",1+(Skills!AA22/10)*(U507/1000)/100,1)</f>
        <v/>
      </c>
      <c r="J526" t="inlineStr"/>
      <c r="K526" t="inlineStr"/>
      <c r="L526" t="inlineStr"/>
      <c r="M526" t="inlineStr"/>
      <c r="N526" t="inlineStr"/>
      <c r="O526" t="n">
        <v>0</v>
      </c>
      <c r="P526">
        <f>IF(B548=0,0,O526/B548)</f>
        <v/>
      </c>
      <c r="Q526" t="n">
        <v>0</v>
      </c>
      <c r="R526" t="n">
        <v>0</v>
      </c>
      <c r="S526">
        <f>IFERROR(O526/N526,0)</f>
        <v/>
      </c>
    </row>
    <row r="527">
      <c r="A527">
        <f>Skills!A23</f>
        <v/>
      </c>
      <c r="B527">
        <f>Skills!B23</f>
        <v/>
      </c>
      <c r="C527">
        <f>Inputs!$B$3&gt;=38</f>
        <v/>
      </c>
      <c r="D527">
        <f>IF(Skills!C23=1,60+Inputs!$B$24+Inputs!$B$28,IF(Skills!C23=2,90+Inputs!$B$25+Inputs!$B$28,IF(Skills!C23=3,120+Inputs!$B$26+Inputs!$B$28,MAX(0,(Inputs!$B$3-100)*3)+Inputs!$B$27+Inputs!$B$28)))</f>
        <v/>
      </c>
      <c r="E527">
        <f>INDEX(FactorTable!$B$2:$Y$301, MATCH(ROUND(MIN(300,MAX(1,D527)),0), FactorTable!$A$2:$A$301,0), Skills!M23+1)</f>
        <v/>
      </c>
      <c r="F527">
        <f>IF(Skills!N23=TRUE,(Skills!L23/10)*(E527/1000),Skills!L23/10)+Skills!O23</f>
        <v/>
      </c>
      <c r="G527">
        <f>Calc!G23</f>
        <v/>
      </c>
      <c r="H527">
        <f>Calc!H23</f>
        <v/>
      </c>
      <c r="I527">
        <f>IF(Skills!AA23&lt;&gt;"",1+(Skills!AA23/10)*(U507/1000)/100,1)</f>
        <v/>
      </c>
      <c r="J527" t="inlineStr"/>
      <c r="K527" t="inlineStr"/>
      <c r="L527" t="inlineStr"/>
      <c r="M527" t="inlineStr"/>
      <c r="N527" t="inlineStr"/>
      <c r="O527" t="n">
        <v>0</v>
      </c>
      <c r="P527">
        <f>IF(B548=0,0,O527/B548)</f>
        <v/>
      </c>
      <c r="Q527" t="n">
        <v>0</v>
      </c>
      <c r="R527" t="n">
        <v>0</v>
      </c>
      <c r="S527">
        <f>IFERROR(O527/N527,0)</f>
        <v/>
      </c>
    </row>
    <row r="528">
      <c r="A528">
        <f>Skills!A24</f>
        <v/>
      </c>
      <c r="B528">
        <f>Skills!B24</f>
        <v/>
      </c>
      <c r="C528">
        <f>Inputs!$B$3&gt;=40</f>
        <v/>
      </c>
      <c r="D528">
        <f>IF(Skills!C24=1,60+Inputs!$B$24+Inputs!$B$28,IF(Skills!C24=2,90+Inputs!$B$25+Inputs!$B$28,IF(Skills!C24=3,120+Inputs!$B$26+Inputs!$B$28,MAX(0,(Inputs!$B$3-100)*3)+Inputs!$B$27+Inputs!$B$28)))</f>
        <v/>
      </c>
      <c r="E528">
        <f>INDEX(FactorTable!$B$2:$Y$301, MATCH(ROUND(MIN(300,MAX(1,D528)),0), FactorTable!$A$2:$A$301,0), Skills!M24+1)</f>
        <v/>
      </c>
      <c r="F528">
        <f>IF(Skills!N24=TRUE,(Skills!L24/10)*(E528/1000),Skills!L24/10)+Skills!O24</f>
        <v/>
      </c>
      <c r="G528">
        <f>Calc!G24</f>
        <v/>
      </c>
      <c r="H528">
        <f>Calc!H24</f>
        <v/>
      </c>
      <c r="I528">
        <f>IF(Skills!AA24&lt;&gt;"",1+(Skills!AA24/10)*(U507/1000)/100,1)</f>
        <v/>
      </c>
      <c r="J528" t="inlineStr"/>
      <c r="K528" t="inlineStr"/>
      <c r="L528" t="inlineStr"/>
      <c r="M528" t="inlineStr"/>
      <c r="N528" t="inlineStr"/>
      <c r="O528" t="n">
        <v>0</v>
      </c>
      <c r="P528">
        <f>IF(B548=0,0,O528/B548)</f>
        <v/>
      </c>
      <c r="Q528" t="n">
        <v>0</v>
      </c>
      <c r="R528" t="n">
        <v>0</v>
      </c>
      <c r="S528">
        <f>IFERROR(O528/N528,0)</f>
        <v/>
      </c>
    </row>
    <row r="529">
      <c r="A529">
        <f>Skills!A25</f>
        <v/>
      </c>
      <c r="B529">
        <f>Skills!B25</f>
        <v/>
      </c>
      <c r="C529">
        <f>Inputs!$B$3&gt;=45</f>
        <v/>
      </c>
      <c r="D529">
        <f>IF(Skills!C25=1,60+Inputs!$B$24+Inputs!$B$28,IF(Skills!C25=2,90+Inputs!$B$25+Inputs!$B$28,IF(Skills!C25=3,120+Inputs!$B$26+Inputs!$B$28,MAX(0,(Inputs!$B$3-100)*3)+Inputs!$B$27+Inputs!$B$28)))</f>
        <v/>
      </c>
      <c r="E529">
        <f>INDEX(FactorTable!$B$2:$Y$301, MATCH(ROUND(MIN(300,MAX(1,D529)),0), FactorTable!$A$2:$A$301,0), Skills!M25+1)</f>
        <v/>
      </c>
      <c r="F529">
        <f>IF(Skills!N25=TRUE,(Skills!L25/10)*(E529/1000),Skills!L25/10)+Skills!O25</f>
        <v/>
      </c>
      <c r="G529">
        <f>Calc!G25</f>
        <v/>
      </c>
      <c r="H529">
        <f>Calc!H25</f>
        <v/>
      </c>
      <c r="I529">
        <f>IF(Skills!AA25&lt;&gt;"",1+(Skills!AA25/10)*(U507/1000)/100,1)</f>
        <v/>
      </c>
      <c r="J529" t="inlineStr"/>
      <c r="K529" t="inlineStr"/>
      <c r="L529" t="inlineStr"/>
      <c r="M529" t="inlineStr"/>
      <c r="N529" t="inlineStr"/>
      <c r="O529" t="n">
        <v>0</v>
      </c>
      <c r="P529">
        <f>IF(B548=0,0,O529/B548)</f>
        <v/>
      </c>
      <c r="Q529" t="n">
        <v>0</v>
      </c>
      <c r="R529" t="n">
        <v>0</v>
      </c>
      <c r="S529">
        <f>IFERROR(O529/N529,0)</f>
        <v/>
      </c>
    </row>
    <row r="530">
      <c r="A530">
        <f>Skills!A26</f>
        <v/>
      </c>
      <c r="B530">
        <f>Skills!B26</f>
        <v/>
      </c>
      <c r="C530">
        <f>Inputs!$B$3&gt;=45</f>
        <v/>
      </c>
      <c r="D530">
        <f>IF(Skills!C26=1,60+Inputs!$B$24+Inputs!$B$28,IF(Skills!C26=2,90+Inputs!$B$25+Inputs!$B$28,IF(Skills!C26=3,120+Inputs!$B$26+Inputs!$B$28,MAX(0,(Inputs!$B$3-100)*3)+Inputs!$B$27+Inputs!$B$28)))</f>
        <v/>
      </c>
      <c r="E530">
        <f>INDEX(FactorTable!$B$2:$Y$301, MATCH(ROUND(MIN(300,MAX(1,D530)),0), FactorTable!$A$2:$A$301,0), Skills!M26+1)</f>
        <v/>
      </c>
      <c r="F530">
        <f>IF(Skills!N26=TRUE,(Skills!L26/10)*(E530/1000),Skills!L26/10)+Skills!O26</f>
        <v/>
      </c>
      <c r="G530">
        <f>Calc!G26</f>
        <v/>
      </c>
      <c r="H530">
        <f>Calc!H26</f>
        <v/>
      </c>
      <c r="I530">
        <f>IF(Skills!AA26&lt;&gt;"",1+(Skills!AA26/10)*(U507/1000)/100,1)</f>
        <v/>
      </c>
      <c r="J530" t="inlineStr"/>
      <c r="K530" t="inlineStr"/>
      <c r="L530" t="inlineStr"/>
      <c r="M530" t="inlineStr"/>
      <c r="N530" t="inlineStr"/>
      <c r="O530" t="n">
        <v>0</v>
      </c>
      <c r="P530">
        <f>IF(B548=0,0,O530/B548)</f>
        <v/>
      </c>
      <c r="Q530" t="n">
        <v>0</v>
      </c>
      <c r="R530" t="n">
        <v>0</v>
      </c>
      <c r="S530">
        <f>IFERROR(O530/N530,0)</f>
        <v/>
      </c>
    </row>
    <row r="531">
      <c r="A531">
        <f>Skills!A27</f>
        <v/>
      </c>
      <c r="B531">
        <f>Skills!B27</f>
        <v/>
      </c>
      <c r="C531">
        <f>Inputs!$B$3&gt;=72</f>
        <v/>
      </c>
      <c r="D531">
        <f>IF(Skills!C27=1,60+Inputs!$B$24+Inputs!$B$28,IF(Skills!C27=2,90+Inputs!$B$25+Inputs!$B$28,IF(Skills!C27=3,120+Inputs!$B$26+Inputs!$B$28,MAX(0,(Inputs!$B$3-100)*3)+Inputs!$B$27+Inputs!$B$28)))</f>
        <v/>
      </c>
      <c r="E531">
        <f>INDEX(FactorTable!$B$2:$Y$301, MATCH(ROUND(MIN(300,MAX(1,D531)),0), FactorTable!$A$2:$A$301,0), Skills!M27+1)</f>
        <v/>
      </c>
      <c r="F531">
        <f>IF(Skills!N27=TRUE,(Skills!L27/10)*(E531/1000),Skills!L27/10)+Skills!O27</f>
        <v/>
      </c>
      <c r="G531">
        <f>Calc!G27</f>
        <v/>
      </c>
      <c r="H531">
        <f>Calc!H27</f>
        <v/>
      </c>
      <c r="I531">
        <f>IF(Skills!AA27&lt;&gt;"",1+(Skills!AA27/10)*(U507/1000)/100,1)</f>
        <v/>
      </c>
      <c r="J531" t="inlineStr"/>
      <c r="K531" t="inlineStr"/>
      <c r="L531" t="inlineStr"/>
      <c r="M531" t="inlineStr"/>
      <c r="N531" t="inlineStr"/>
      <c r="O531" t="n">
        <v>0</v>
      </c>
      <c r="P531">
        <f>IF(B548=0,0,O531/B548)</f>
        <v/>
      </c>
      <c r="Q531" t="n">
        <v>0</v>
      </c>
      <c r="R531" t="n">
        <v>0</v>
      </c>
      <c r="S531">
        <f>IFERROR(O531/N531,0)</f>
        <v/>
      </c>
    </row>
    <row r="532">
      <c r="A532">
        <f>Skills!A28</f>
        <v/>
      </c>
      <c r="B532">
        <f>Skills!B28</f>
        <v/>
      </c>
      <c r="C532">
        <f>Inputs!$B$3&gt;=75</f>
        <v/>
      </c>
      <c r="D532">
        <f>IF(Skills!C28=1,60+Inputs!$B$24+Inputs!$B$28,IF(Skills!C28=2,90+Inputs!$B$25+Inputs!$B$28,IF(Skills!C28=3,120+Inputs!$B$26+Inputs!$B$28,MAX(0,(Inputs!$B$3-100)*3)+Inputs!$B$27+Inputs!$B$28)))</f>
        <v/>
      </c>
      <c r="E532">
        <f>INDEX(FactorTable!$B$2:$Y$301, MATCH(ROUND(MIN(300,MAX(1,D532)),0), FactorTable!$A$2:$A$301,0), Skills!M28+1)</f>
        <v/>
      </c>
      <c r="F532">
        <f>IF(Skills!N28=TRUE,(Skills!L28/10)*(E532/1000),Skills!L28/10)+Skills!O28</f>
        <v/>
      </c>
      <c r="G532">
        <f>Calc!G28</f>
        <v/>
      </c>
      <c r="H532">
        <f>Calc!H28</f>
        <v/>
      </c>
      <c r="I532">
        <f>IF(Skills!AA28&lt;&gt;"",1+(Skills!AA28/10)*(U507/1000)/100,1)</f>
        <v/>
      </c>
      <c r="J532" t="inlineStr"/>
      <c r="K532" t="inlineStr"/>
      <c r="L532" t="inlineStr"/>
      <c r="M532" t="inlineStr"/>
      <c r="N532" t="inlineStr"/>
      <c r="O532" t="n">
        <v>0</v>
      </c>
      <c r="P532">
        <f>IF(B548=0,0,O532/B548)</f>
        <v/>
      </c>
      <c r="Q532" t="n">
        <v>0</v>
      </c>
      <c r="R532" t="n">
        <v>0</v>
      </c>
      <c r="S532">
        <f>IFERROR(O532/N532,0)</f>
        <v/>
      </c>
    </row>
    <row r="533">
      <c r="A533">
        <f>Skills!A29</f>
        <v/>
      </c>
      <c r="B533">
        <f>Skills!B29</f>
        <v/>
      </c>
      <c r="C533">
        <f>Inputs!$B$3&gt;=120</f>
        <v/>
      </c>
      <c r="D533">
        <f>IF(Skills!C29=1,60+Inputs!$B$24+Inputs!$B$28,IF(Skills!C29=2,90+Inputs!$B$25+Inputs!$B$28,IF(Skills!C29=3,120+Inputs!$B$26+Inputs!$B$28,MAX(0,(Inputs!$B$3-100)*3)+Inputs!$B$27+Inputs!$B$28)))</f>
        <v/>
      </c>
      <c r="E533">
        <f>INDEX(FactorTable!$B$2:$Y$301, MATCH(ROUND(MIN(300,MAX(1,D533)),0), FactorTable!$A$2:$A$301,0), Skills!M29+1)</f>
        <v/>
      </c>
      <c r="F533">
        <f>IF(Skills!N29=TRUE,(Skills!L29/10)*(E533/1000),Skills!L29/10)+Skills!O29</f>
        <v/>
      </c>
      <c r="G533">
        <f>Calc!G29</f>
        <v/>
      </c>
      <c r="H533">
        <f>Calc!H29</f>
        <v/>
      </c>
      <c r="I533">
        <f>IF(Skills!AA29&lt;&gt;"",1+(Skills!AA29/10)*(U507/1000)/100,1)</f>
        <v/>
      </c>
      <c r="J533" t="inlineStr"/>
      <c r="K533" t="inlineStr"/>
      <c r="L533" t="inlineStr"/>
      <c r="M533" t="inlineStr"/>
      <c r="N533" t="inlineStr"/>
      <c r="O533" t="n">
        <v>0</v>
      </c>
      <c r="P533">
        <f>IF(B548=0,0,O533/B548)</f>
        <v/>
      </c>
      <c r="Q533" t="n">
        <v>0</v>
      </c>
      <c r="R533" t="n">
        <v>0</v>
      </c>
      <c r="S533">
        <f>IFERROR(O533/N533,0)</f>
        <v/>
      </c>
    </row>
    <row r="534">
      <c r="A534">
        <f>Skills!A30</f>
        <v/>
      </c>
      <c r="B534">
        <f>Skills!B30</f>
        <v/>
      </c>
      <c r="C534">
        <f>Inputs!$B$3&gt;=125</f>
        <v/>
      </c>
      <c r="D534">
        <f>IF(Skills!C30=1,60+Inputs!$B$24+Inputs!$B$28,IF(Skills!C30=2,90+Inputs!$B$25+Inputs!$B$28,IF(Skills!C30=3,120+Inputs!$B$26+Inputs!$B$28,MAX(0,(Inputs!$B$3-100)*3)+Inputs!$B$27+Inputs!$B$28)))</f>
        <v/>
      </c>
      <c r="E534">
        <f>INDEX(FactorTable!$B$2:$Y$301, MATCH(ROUND(MIN(300,MAX(1,D534)),0), FactorTable!$A$2:$A$301,0), Skills!M30+1)</f>
        <v/>
      </c>
      <c r="F534">
        <f>IF(Skills!N30=TRUE,(Skills!L30/10)*(E534/1000),Skills!L30/10)+Skills!O30</f>
        <v/>
      </c>
      <c r="G534">
        <f>Calc!G30</f>
        <v/>
      </c>
      <c r="H534">
        <f>Calc!H30</f>
        <v/>
      </c>
      <c r="I534">
        <f>IF(Skills!AA30&lt;&gt;"",1+(Skills!AA30/10)*(U507/1000)/100,1)</f>
        <v/>
      </c>
      <c r="J534" t="inlineStr"/>
      <c r="K534" t="inlineStr"/>
      <c r="L534" t="inlineStr"/>
      <c r="M534" t="inlineStr"/>
      <c r="N534" t="inlineStr"/>
      <c r="O534" t="n">
        <v>0</v>
      </c>
      <c r="P534">
        <f>IF(B548=0,0,O534/B548)</f>
        <v/>
      </c>
      <c r="Q534" t="n">
        <v>0</v>
      </c>
      <c r="R534" t="n">
        <v>0</v>
      </c>
      <c r="S534">
        <f>IFERROR(O534/N534,0)</f>
        <v/>
      </c>
    </row>
    <row r="535">
      <c r="A535">
        <f>Skills!A31</f>
        <v/>
      </c>
      <c r="B535">
        <f>Skills!B31</f>
        <v/>
      </c>
      <c r="C535">
        <f>Inputs!$B$3&gt;=107</f>
        <v/>
      </c>
      <c r="D535">
        <f>IF(Skills!C31=1,60+Inputs!$B$24+Inputs!$B$28,IF(Skills!C31=2,90+Inputs!$B$25+Inputs!$B$28,IF(Skills!C31=3,120+Inputs!$B$26+Inputs!$B$28,MAX(0,(Inputs!$B$3-100)*3)+Inputs!$B$27+Inputs!$B$28)))</f>
        <v/>
      </c>
      <c r="E535">
        <f>INDEX(FactorTable!$B$2:$Y$301, MATCH(ROUND(MIN(300,MAX(1,D535)),0), FactorTable!$A$2:$A$301,0), Skills!M31+1)</f>
        <v/>
      </c>
      <c r="F535">
        <f>IF(Skills!N31=TRUE,(Skills!L31/10)*(E535/1000),Skills!L31/10)+Skills!O31</f>
        <v/>
      </c>
      <c r="G535">
        <f>Calc!G31</f>
        <v/>
      </c>
      <c r="H535">
        <f>Calc!H31</f>
        <v/>
      </c>
      <c r="I535">
        <f>IF(Skills!AA31&lt;&gt;"",1+(Skills!AA31/10)*(U507/1000)/100,1)</f>
        <v/>
      </c>
      <c r="J535" t="inlineStr"/>
      <c r="K535" t="inlineStr"/>
      <c r="L535" t="inlineStr"/>
      <c r="M535" t="inlineStr"/>
      <c r="N535" t="inlineStr"/>
      <c r="O535" t="n">
        <v>0</v>
      </c>
      <c r="P535">
        <f>IF(B548=0,0,O535/B548)</f>
        <v/>
      </c>
      <c r="Q535" t="n">
        <v>0</v>
      </c>
      <c r="R535" t="n">
        <v>0</v>
      </c>
      <c r="S535">
        <f>IFERROR(O535/N535,0)</f>
        <v/>
      </c>
    </row>
    <row r="537">
      <c r="A537" t="inlineStr">
        <is>
          <t>Actions Per Second (pre-Adrenalin)</t>
        </is>
      </c>
      <c r="B537">
        <f>1+MIN(150,150*(1-(1-(Inputs!$B$10+((C526=TRUE)*(F526-Calc!F22)))/150)*(1-((C523=TRUE)*F523*IF(AND(Inputs!$B$4&lt;&gt;"pvp",Inputs!$B$35&gt;0),(((S523-1)*(Skills!Y19*(1+Inputs!$B$33/100))+MIN((Skills!Y19*(1+Inputs!$B$33/100)),MAX(0,Inputs!$B$35-((S523-1)*Skills!D19))))/Inputs!$B$35),IF(Inputs!$B$4="pvp",MIN((Skills!Y19*(1+Inputs!$B$33/100)),15)/15,(Skills!Y19*(1+Inputs!$B$33/100))/Skills!D19)))/150)))/100</f>
        <v/>
      </c>
    </row>
    <row r="538">
      <c r="A538" t="inlineStr">
        <is>
          <t>Alchemic Adrenaline Uptime</t>
        </is>
      </c>
      <c r="B538">
        <f>(Skills!Y6*(1+Inputs!$B$33/100))/((Skills!Y6*(1+Inputs!$B$33/100))+(5/B537))</f>
        <v/>
      </c>
    </row>
    <row r="539">
      <c r="A539" t="inlineStr">
        <is>
          <t>Attack Speed Buff Bonus %</t>
        </is>
      </c>
      <c r="B539">
        <f>((C523=TRUE)*F523*IF(AND(Inputs!$B$4&lt;&gt;"pvp",Inputs!$B$35&gt;0),(((S523-1)*(Skills!Y19*(1+Inputs!$B$33/100))+MIN((Skills!Y19*(1+Inputs!$B$33/100)),MAX(0,Inputs!$B$35-((S523-1)*Skills!D19))))/Inputs!$B$35),IF(Inputs!$B$4="pvp",MIN((Skills!Y19*(1+Inputs!$B$33/100)),15)/15,(Skills!Y19*(1+Inputs!$B$33/100))/Skills!D19)))+((C511=TRUE)*F511*B538)</f>
        <v/>
      </c>
    </row>
    <row r="540">
      <c r="A540" t="inlineStr">
        <is>
          <t>Actions Per Second (final)</t>
        </is>
      </c>
      <c r="B540">
        <f>1+MIN(150,150*(1-(1-(Inputs!$B$10+((C526=TRUE)*(F526-Calc!F22)))/150)*(1-B539/150)))/100</f>
        <v/>
      </c>
    </row>
    <row r="541">
      <c r="A541" t="inlineStr">
        <is>
          <t>Skill + Buff Cast Rate</t>
        </is>
      </c>
      <c r="B541">
        <f>IF(AND(Inputs!$B$4&lt;&gt;"pvp",Inputs!$B$35&gt;0),SUMPRODUCT((Skills!E2:E31=TRUE)*(C506:C535=TRUE)*R506:R535*Skills!F2:F31)/Inputs!$B$35,SUMPRODUCT((Skills!E2:E31=TRUE)*(C506:C535=TRUE)*Q506:Q535*Skills!F2:F31))</f>
        <v/>
      </c>
    </row>
    <row r="542">
      <c r="A542" t="inlineStr">
        <is>
          <t>Showdown Casts Per Second</t>
        </is>
      </c>
      <c r="B542">
        <f>MAX(0,B540-B541)</f>
        <v/>
      </c>
    </row>
    <row r="543">
      <c r="A543" t="inlineStr">
        <is>
          <t>Average Buff Multiplier</t>
        </is>
      </c>
      <c r="B543">
        <f>(1+(((C525=TRUE)*F525*IF(AND(Inputs!$B$4&lt;&gt;"pvp",Inputs!$B$35&gt;0),(((S525-1)*(Skills!Y21*(1+Inputs!$B$33/100))+MIN((Skills!Y21*(1+Inputs!$B$33/100)),MAX(0,Inputs!$B$35-((S525-1)*Skills!D21))))/Inputs!$B$35),IF(Inputs!$B$4="pvp",MIN((Skills!Y21*(1+Inputs!$B$33/100)),15)/15,(Skills!Y21*(1+Inputs!$B$33/100))/Skills!D21)))+((C532=TRUE)*(F532-Calc!F28))+((C522=TRUE)*(F522-Calc!F18)))/100)*(1+((C519=TRUE)*F519*IF(AND(Inputs!$B$4&lt;&gt;"pvp",Inputs!$B$35&gt;0),(((S519-1)*(Skills!Y15*(1+Inputs!$B$33/100))+MIN((Skills!Y15*(1+Inputs!$B$33/100)),MAX(0,Inputs!$B$35-((S519-1)*Skills!D15))))/Inputs!$B$35),IF(Inputs!$B$4="pvp",MIN((Skills!Y15*(1+Inputs!$B$33/100)),15)/15,(Skills!Y15*(1+Inputs!$B$33/100))/Skills!D15)))/100)*(1+((C510=TRUE)*F510*B538)/100)</f>
        <v/>
      </c>
    </row>
    <row r="544">
      <c r="A544" t="inlineStr">
        <is>
          <t>Global Crit Rate Bonus %</t>
        </is>
      </c>
      <c r="B544">
        <f>IF(Inputs!$B$3&gt;=47,8,0)+((C524=TRUE)*F524*IF(AND(Inputs!$B$4&lt;&gt;"pvp",Inputs!$B$35&gt;0),(((S524-1)*(Skills!Y20*(1+Inputs!$B$33/100))+MIN((Skills!Y20*(1+Inputs!$B$33/100)),MAX(0,Inputs!$B$35-((S524-1)*Skills!D20))))/Inputs!$B$35),IF(Inputs!$B$4="pvp",MIN((Skills!Y20*(1+Inputs!$B$33/100)),15)/15,(Skills!Y20*(1+Inputs!$B$33/100))/Skills!D20)))</f>
        <v/>
      </c>
    </row>
    <row r="545">
      <c r="A545" t="inlineStr">
        <is>
          <t>Global Monster Damage-Taken Bonus %</t>
        </is>
      </c>
      <c r="B545">
        <f>IF(Inputs!$B$3&gt;=82,15,0)+((C520=TRUE)*F520*IF(AND(Inputs!$B$4&lt;&gt;"pvp",Inputs!$B$35&gt;0),(((S520-1)*(Skills!Y16*(1+Inputs!$B$33/100))+MIN((Skills!Y16*(1+Inputs!$B$33/100)),MAX(0,Inputs!$B$35-((S520-1)*Skills!D16))))/Inputs!$B$35),IF(Inputs!$B$4="pvp",MIN((Skills!Y16*(1+Inputs!$B$33/100)),15)/15,(Skills!Y16*(1+Inputs!$B$33/100))/Skills!D16)))</f>
        <v/>
      </c>
    </row>
    <row r="546">
      <c r="A546" t="inlineStr">
        <is>
          <t>Shadow Partner Average Multiplier</t>
        </is>
      </c>
      <c r="B546">
        <f>1+((C515=TRUE)*F515*I515*Skills!J11/100)/100</f>
        <v/>
      </c>
    </row>
    <row r="547">
      <c r="A547" t="inlineStr">
        <is>
          <t>Global Critical Damage Bonus % (Frailty Curse Mastery Lv.111)</t>
        </is>
      </c>
      <c r="B547">
        <f>IF(Inputs!$B$3&gt;=111,30,0)*IF(AND(Inputs!$B$4&lt;&gt;"pvp",Inputs!$B$35&gt;0),(((S520-1)*(Skills!Y16*(1+Inputs!$B$33/100))+MIN((Skills!Y16*(1+Inputs!$B$33/100)),MAX(0,Inputs!$B$35-((S520-1)*Skills!D16))))/Inputs!$B$35),IF(Inputs!$B$4="pvp",MIN((Skills!Y16*(1+Inputs!$B$33/100)),15)/15,(Skills!Y16*(1+Inputs!$B$33/100))/Skills!D16))</f>
        <v/>
      </c>
    </row>
    <row r="548">
      <c r="A548" s="5" t="inlineStr">
        <is>
          <t>TOTAL DPS</t>
        </is>
      </c>
      <c r="B548" s="5">
        <f>SUM(O506:O535)</f>
        <v/>
      </c>
    </row>
    <row r="551">
      <c r="A551" s="5" t="inlineStr">
        <is>
          <t>Stat: CRIT_DAMAGE %</t>
        </is>
      </c>
    </row>
    <row r="552">
      <c r="A552" s="8" t="inlineStr">
        <is>
          <t>Key</t>
        </is>
      </c>
      <c r="B552" s="8" t="inlineStr">
        <is>
          <t>Name</t>
        </is>
      </c>
      <c r="C552" s="8" t="inlineStr">
        <is>
          <t>Unlocked</t>
        </is>
      </c>
      <c r="D552" s="8" t="inlineStr">
        <is>
          <t>InputLevel</t>
        </is>
      </c>
      <c r="E552" s="8" t="inlineStr">
        <is>
          <t>Factor</t>
        </is>
      </c>
      <c r="F552" s="8" t="inlineStr">
        <is>
          <t>CoefficientPercent</t>
        </is>
      </c>
      <c r="G552" s="8" t="inlineStr">
        <is>
          <t>EffectiveHits</t>
        </is>
      </c>
      <c r="H552" s="8" t="inlineStr">
        <is>
          <t>ProcProbability</t>
        </is>
      </c>
      <c r="I552" s="8" t="inlineStr">
        <is>
          <t>MapleHeroMultiplier</t>
        </is>
      </c>
      <c r="J552" s="8" t="inlineStr">
        <is>
          <t>BaseDamage</t>
        </is>
      </c>
      <c r="K552" s="8" t="inlineStr">
        <is>
          <t>BaseHitDamage</t>
        </is>
      </c>
      <c r="L552" s="8" t="inlineStr">
        <is>
          <t>NonCritAvg</t>
        </is>
      </c>
      <c r="M552" s="8" t="inlineStr">
        <is>
          <t>CritAvg</t>
        </is>
      </c>
      <c r="N552" s="8" t="inlineStr">
        <is>
          <t>ExpectedDamage(perHit)</t>
        </is>
      </c>
      <c r="O552" s="8" t="inlineStr">
        <is>
          <t>DPS</t>
        </is>
      </c>
      <c r="P552" s="8" t="inlineStr">
        <is>
          <t>% of Total</t>
        </is>
      </c>
      <c r="Q552" s="8" t="inlineStr">
        <is>
          <t>InvCooldown</t>
        </is>
      </c>
      <c r="R552" s="8" t="inlineStr">
        <is>
          <t>CastsInFight</t>
        </is>
      </c>
      <c r="S552" s="8" t="inlineStr">
        <is>
          <t>HitRate(perSec)</t>
        </is>
      </c>
      <c r="U552" t="inlineStr">
        <is>
          <t>helpers</t>
        </is>
      </c>
    </row>
    <row r="553">
      <c r="A553">
        <f>Skills!A2</f>
        <v/>
      </c>
      <c r="B553">
        <f>Skills!B2</f>
        <v/>
      </c>
      <c r="C553">
        <f>Inputs!$B$3&gt;=100</f>
        <v/>
      </c>
      <c r="D553" t="inlineStr"/>
      <c r="E553" t="inlineStr"/>
      <c r="F553">
        <f>U557+Skills!O2</f>
        <v/>
      </c>
      <c r="G553">
        <f>Calc!G2</f>
        <v/>
      </c>
      <c r="H553">
        <f>Calc!H2</f>
        <v/>
      </c>
      <c r="I553">
        <f>IF(Skills!AA2&lt;&gt;"",1+(Skills!AA2/10)*(U554/1000)/100,1)</f>
        <v/>
      </c>
      <c r="J553">
        <f>(Inputs!$B$5*(1+Inputs!$B$6/100))*(F553/100)</f>
        <v/>
      </c>
      <c r="K553">
        <f>J553*(1+((Inputs!$B$11*(1+Inputs!$B$12/100))*0.01+Inputs!$B$13*0.0025)/100)*(1+Inputs!$B$14/100)*(1+IF(Inputs!$B$4="pvp",0,(1-Summary!$B$55)*(Inputs!$B$19+((C578=TRUE)*(F578-Calc!F27))+Skills!P2+B592)+Summary!$B$55*(Inputs!$B$20+Skills!Q2+B592))/100)*(1+Inputs!$B$15/100)*(5000/(6000+Inputs!$B$7*(1-Inputs!$B$18/100)))*(1+(Inputs!$B$23+((C581=TRUE)*(F581-Calc!F30)))/100)*(1+Skills!R2/100)*(1+(IF(Skills!A2="SHOWDOWN",Inputs!$B$16+((C574=TRUE)*(F574-Calc!F23)),Inputs!$B$17+((C580=TRUE)*(F580-Calc!F29))))/100)*(((1+(((C572=TRUE)*F572*IF(AND(Inputs!$B$4&lt;&gt;"pvp",Inputs!$B$35&gt;0),(((S572-1)*(Skills!Y21*(1+Inputs!$B$33/100))+MIN((Skills!Y21*(1+Inputs!$B$33/100)),MAX(0,Inputs!$B$35-((S572-1)*Skills!D21))))/Inputs!$B$35),IF(Inputs!$B$4="pvp",MIN((Skills!Y21*(1+Inputs!$B$33/100)),15)/15,(Skills!Y21*(1+Inputs!$B$33/100))/Skills!D21)))+((C579=TRUE)*(F579-Calc!F28))+((C569=TRUE)*(F569-Calc!F18)))/100)*(1+((C566=TRUE)*F566*IF(AND(Inputs!$B$4&lt;&gt;"pvp",Inputs!$B$35&gt;0),(((S566-1)*(Skills!Y15*(1+Inputs!$B$33/100))+MIN((Skills!Y15*(1+Inputs!$B$33/100)),MAX(0,Inputs!$B$35-((S566-1)*Skills!D15))))/Inputs!$B$35),IF(Inputs!$B$4="pvp",MIN((Skills!Y15*(1+Inputs!$B$33/100)),15)/15,(Skills!Y15*(1+Inputs!$B$33/100))/Skills!D15)))/100)*(1+((C557=TRUE)*F557*B585)/100))*B593*I553)</f>
        <v/>
      </c>
      <c r="L553">
        <f>K553*(MIN(Inputs!$B$21+((C575=TRUE)*(F575-Calc!F24)),Inputs!$B$22)/100+Inputs!$B$22/100)/2</f>
        <v/>
      </c>
      <c r="M553">
        <f>L553*(1+((Inputs!$B$9+1)+((C577=TRUE)*(F577-Calc!F26))+B594)/100)</f>
        <v/>
      </c>
      <c r="N553">
        <f>L553*(1-MIN((Inputs!$B$8+((C576=TRUE)*(F576-Calc!F25))+B591),100)/100)+M553*(MIN((Inputs!$B$8+((C576=TRUE)*(F576-Calc!F25))+B591),100)/100)</f>
        <v/>
      </c>
      <c r="O553">
        <f>IF(C553,Skills!G2*N553*B589*IF(Inputs!$B$4="pvp",1,(1-Summary!$B$55)*(1)+Summary!$B$55*(MIN((6+Inputs!$B$32),Inputs!$B$37))),0)</f>
        <v/>
      </c>
      <c r="P553">
        <f>IF(B595=0,0,O553/B595)</f>
        <v/>
      </c>
      <c r="Q553" t="n">
        <v>0</v>
      </c>
      <c r="R553" t="n">
        <v>0</v>
      </c>
      <c r="S553">
        <f>IFERROR(O553/N553,0)</f>
        <v/>
      </c>
      <c r="U553">
        <f>MAX(0,(Inputs!$B$3-100)*3)+Inputs!$B$27+Inputs!$B$28</f>
        <v/>
      </c>
    </row>
    <row r="554">
      <c r="A554">
        <f>Skills!A3</f>
        <v/>
      </c>
      <c r="B554">
        <f>Skills!B3</f>
        <v/>
      </c>
      <c r="C554">
        <f>Inputs!$B$3&gt;=35</f>
        <v/>
      </c>
      <c r="D554">
        <f>IF(Skills!C3=1,60+Inputs!$B$24+Inputs!$B$28,IF(Skills!C3=2,90+Inputs!$B$25+Inputs!$B$28,IF(Skills!C3=3,120+Inputs!$B$26+Inputs!$B$28,MAX(0,(Inputs!$B$3-100)*3)+Inputs!$B$27+Inputs!$B$28)))</f>
        <v/>
      </c>
      <c r="E554">
        <f>INDEX(FactorTable!$B$2:$Y$301, MATCH(ROUND(MIN(300,MAX(1,D554)),0), FactorTable!$A$2:$A$301,0), Skills!M3+1)</f>
        <v/>
      </c>
      <c r="F554">
        <f>IF(Skills!N3=TRUE,(Skills!L3/10)*(E554/1000),Skills!L3/10)+Skills!O3</f>
        <v/>
      </c>
      <c r="G554">
        <f>Calc!G3</f>
        <v/>
      </c>
      <c r="H554">
        <f>Calc!H3</f>
        <v/>
      </c>
      <c r="I554">
        <f>IF(Skills!AA3&lt;&gt;"",1+(Skills!AA3/10)*(U554/1000)/100,1)</f>
        <v/>
      </c>
      <c r="J554">
        <f>(Inputs!$B$5*(1+Inputs!$B$6/100))*(F554/100)</f>
        <v/>
      </c>
      <c r="K554">
        <f>J554*(1+((Inputs!$B$11*(1+Inputs!$B$12/100))*0.01+Inputs!$B$13*0.0025)/100)*(1+Inputs!$B$14/100)*(1+IF(Inputs!$B$4="pvp",0,(1-Summary!$B$55)*(Inputs!$B$19+((C578=TRUE)*(F578-Calc!F27))+Skills!P3+B592)+Summary!$B$55*(Inputs!$B$20+Skills!Q3+B592))/100)*(1+Inputs!$B$15/100)*(5000/(6000+Inputs!$B$7*(1-Inputs!$B$18/100)))*(1+(Inputs!$B$23+((C581=TRUE)*(F581-Calc!F30)))/100)*(1+Skills!R3/100)*(1+(IF(Skills!A3="SHOWDOWN",Inputs!$B$16+((C574=TRUE)*(F574-Calc!F23)),Inputs!$B$17+((C580=TRUE)*(F580-Calc!F29))))/100)*(((1+(((C572=TRUE)*F572*IF(AND(Inputs!$B$4&lt;&gt;"pvp",Inputs!$B$35&gt;0),(((S572-1)*(Skills!Y21*(1+Inputs!$B$33/100))+MIN((Skills!Y21*(1+Inputs!$B$33/100)),MAX(0,Inputs!$B$35-((S572-1)*Skills!D21))))/Inputs!$B$35),IF(Inputs!$B$4="pvp",MIN((Skills!Y21*(1+Inputs!$B$33/100)),15)/15,(Skills!Y21*(1+Inputs!$B$33/100))/Skills!D21)))+((C579=TRUE)*(F579-Calc!F28))+((C569=TRUE)*(F569-Calc!F18)))/100)*(1+((C566=TRUE)*F566*IF(AND(Inputs!$B$4&lt;&gt;"pvp",Inputs!$B$35&gt;0),(((S566-1)*(Skills!Y15*(1+Inputs!$B$33/100))+MIN((Skills!Y15*(1+Inputs!$B$33/100)),MAX(0,Inputs!$B$35-((S566-1)*Skills!D15))))/Inputs!$B$35),IF(Inputs!$B$4="pvp",MIN((Skills!Y15*(1+Inputs!$B$33/100)),15)/15,(Skills!Y15*(1+Inputs!$B$33/100))/Skills!D15)))/100)*(1+((C557=TRUE)*F557*B585)/100))*B593*I554)</f>
        <v/>
      </c>
      <c r="L554">
        <f>K554*(MIN(Inputs!$B$21+((C575=TRUE)*(F575-Calc!F24)),Inputs!$B$22)/100+Inputs!$B$22/100)/2</f>
        <v/>
      </c>
      <c r="M554">
        <f>L554*(1+((Inputs!$B$9+1)+((C577=TRUE)*(F577-Calc!F26))+B594)/100)</f>
        <v/>
      </c>
      <c r="N554">
        <f>L554*(1-MIN((Inputs!$B$8+((C576=TRUE)*(F576-Calc!F25))+B591),100)/100)+M554*(MIN((Inputs!$B$8+((C576=TRUE)*(F576-Calc!F25))+B591),100)/100)</f>
        <v/>
      </c>
      <c r="O554">
        <f>IF(C554,H554*N554*IF(AND(Inputs!$B$4&lt;&gt;"pvp",Inputs!$B$35&gt;0),((Skills!G3*((R554-1)*IF(Skills!H3&gt;0,Skills!I3/Skills!H3,1)+IF(Skills!H3&gt;0,MIN(Skills!I3,MAX(0,Inputs!$B$35-((R554-1)*IF(Inputs!$B$4="pvp",15,MAX(0.1,Skills!D3-IF(Skills!E3=TRUE,Inputs!$B$31,0))))))/Skills!H3,1)))/Inputs!$B$35),G554*Q554)*IF(Inputs!$B$4="pvp",1,(1-Summary!$B$55)*(1)+Summary!$B$55*(MIN(Skills!W3,Inputs!$B$37))),0)</f>
        <v/>
      </c>
      <c r="P554">
        <f>IF(B595=0,0,O554/B595)</f>
        <v/>
      </c>
      <c r="Q554">
        <f>IFERROR(1/IF(Inputs!$B$4="pvp",15,MAX(0.1,Skills!D3-IF(Skills!E3=TRUE,Inputs!$B$31,0))),0)</f>
        <v/>
      </c>
      <c r="R554">
        <f>IF(AND(Inputs!$B$4&lt;&gt;"pvp",Inputs!$B$35&gt;0),(INT(Inputs!$B$35/IF(Inputs!$B$4="pvp",15,MAX(0.1,Skills!D3-IF(Skills!E3=TRUE,Inputs!$B$31,0))))+1),0)</f>
        <v/>
      </c>
      <c r="S554">
        <f>IFERROR(O554/N554,0)</f>
        <v/>
      </c>
      <c r="U554">
        <f>INDEX(FactorTable!$B$2:$Y$301, MATCH(ROUND(MIN(300,MAX(1,U553)),0), FactorTable!$A$2:$A$301,0), 24)</f>
        <v/>
      </c>
    </row>
    <row r="555">
      <c r="A555">
        <f>Skills!A4</f>
        <v/>
      </c>
      <c r="B555">
        <f>Skills!B4</f>
        <v/>
      </c>
      <c r="C555">
        <f>Inputs!$B$3&gt;=40</f>
        <v/>
      </c>
      <c r="D555">
        <f>IF(Skills!C4=1,60+Inputs!$B$24+Inputs!$B$28,IF(Skills!C4=2,90+Inputs!$B$25+Inputs!$B$28,IF(Skills!C4=3,120+Inputs!$B$26+Inputs!$B$28,MAX(0,(Inputs!$B$3-100)*3)+Inputs!$B$27+Inputs!$B$28)))</f>
        <v/>
      </c>
      <c r="E555">
        <f>INDEX(FactorTable!$B$2:$Y$301, MATCH(ROUND(MIN(300,MAX(1,D555)),0), FactorTable!$A$2:$A$301,0), Skills!M4+1)</f>
        <v/>
      </c>
      <c r="F555">
        <f>IF(Skills!N4=TRUE,(Skills!L4/10)*(E555/1000),Skills!L4/10)+Skills!O4</f>
        <v/>
      </c>
      <c r="G555">
        <f>Calc!G4</f>
        <v/>
      </c>
      <c r="H555">
        <f>Calc!H4</f>
        <v/>
      </c>
      <c r="I555">
        <f>IF(Skills!AA4&lt;&gt;"",1+(Skills!AA4/10)*(U554/1000)/100,1)</f>
        <v/>
      </c>
      <c r="J555">
        <f>(Inputs!$B$5*(1+Inputs!$B$6/100))*(F555/100)</f>
        <v/>
      </c>
      <c r="K555">
        <f>J555*(1+((Inputs!$B$11*(1+Inputs!$B$12/100))*0.01+Inputs!$B$13*0.0025)/100)*(1+Inputs!$B$14/100)*(1+IF(Inputs!$B$4="pvp",0,(1-Summary!$B$55)*(Inputs!$B$19+((C578=TRUE)*(F578-Calc!F27))+Skills!P4+B592)+Summary!$B$55*(Inputs!$B$20+Skills!Q4+B592))/100)*(1+Inputs!$B$15/100)*(5000/(6000+Inputs!$B$7*(1-Inputs!$B$18/100)))*(1+(Inputs!$B$23+((C581=TRUE)*(F581-Calc!F30)))/100)*(1+Skills!R4/100)*(1+(IF(Skills!A4="SHOWDOWN",Inputs!$B$16+((C574=TRUE)*(F574-Calc!F23)),Inputs!$B$17+((C580=TRUE)*(F580-Calc!F29))))/100)*(((1+(((C572=TRUE)*F572*IF(AND(Inputs!$B$4&lt;&gt;"pvp",Inputs!$B$35&gt;0),(((S572-1)*(Skills!Y21*(1+Inputs!$B$33/100))+MIN((Skills!Y21*(1+Inputs!$B$33/100)),MAX(0,Inputs!$B$35-((S572-1)*Skills!D21))))/Inputs!$B$35),IF(Inputs!$B$4="pvp",MIN((Skills!Y21*(1+Inputs!$B$33/100)),15)/15,(Skills!Y21*(1+Inputs!$B$33/100))/Skills!D21)))+((C579=TRUE)*(F579-Calc!F28))+((C569=TRUE)*(F569-Calc!F18)))/100)*(1+((C566=TRUE)*F566*IF(AND(Inputs!$B$4&lt;&gt;"pvp",Inputs!$B$35&gt;0),(((S566-1)*(Skills!Y15*(1+Inputs!$B$33/100))+MIN((Skills!Y15*(1+Inputs!$B$33/100)),MAX(0,Inputs!$B$35-((S566-1)*Skills!D15))))/Inputs!$B$35),IF(Inputs!$B$4="pvp",MIN((Skills!Y15*(1+Inputs!$B$33/100)),15)/15,(Skills!Y15*(1+Inputs!$B$33/100))/Skills!D15)))/100)*(1+((C557=TRUE)*F557*B585)/100))*B593*I555)</f>
        <v/>
      </c>
      <c r="L555">
        <f>K555*(MIN(Inputs!$B$21+((C575=TRUE)*(F575-Calc!F24)),Inputs!$B$22)/100+Inputs!$B$22/100)/2</f>
        <v/>
      </c>
      <c r="M555">
        <f>L555*(1+((Inputs!$B$9+1)+((C577=TRUE)*(F577-Calc!F26))+B594)/100)</f>
        <v/>
      </c>
      <c r="N555">
        <f>L555*(1-MIN((Inputs!$B$8+((C576=TRUE)*(F576-Calc!F25))+B591),100)/100)+M555*(MIN((Inputs!$B$8+((C576=TRUE)*(F576-Calc!F25))+B591),100)/100)</f>
        <v/>
      </c>
      <c r="O555">
        <f>IF(C555,H555*N555*IF(AND(Inputs!$B$4&lt;&gt;"pvp",Inputs!$B$35&gt;0),((Skills!G4*((R555-1)*IF(Skills!H4&gt;0,Skills!I4/Skills!H4,1)+IF(Skills!H4&gt;0,MIN(Skills!I4,MAX(0,Inputs!$B$35-((R555-1)*IF(Inputs!$B$4="pvp",15,MAX(0.1,Skills!D4-IF(Skills!E4=TRUE,Inputs!$B$31,0))))))/Skills!H4,1)))/Inputs!$B$35),G555*Q555)*IF(Inputs!$B$4="pvp",1,(1-Summary!$B$55)*(1)+Summary!$B$55*(MIN(Skills!W4,Inputs!$B$37))),0)</f>
        <v/>
      </c>
      <c r="P555">
        <f>IF(B595=0,0,O555/B595)</f>
        <v/>
      </c>
      <c r="Q555">
        <f>IFERROR(1/IF(Inputs!$B$4="pvp",15,MAX(0.1,Skills!D4-IF(Skills!E4=TRUE,Inputs!$B$31,0))),0)</f>
        <v/>
      </c>
      <c r="R555">
        <f>IF(AND(Inputs!$B$4&lt;&gt;"pvp",Inputs!$B$35&gt;0),(INT(Inputs!$B$35/IF(Inputs!$B$4="pvp",15,MAX(0.1,Skills!D4-IF(Skills!E4=TRUE,Inputs!$B$31,0))))+1),0)</f>
        <v/>
      </c>
      <c r="S555">
        <f>IFERROR(O555/N555,0)</f>
        <v/>
      </c>
      <c r="U555">
        <f>MAX(0,(Inputs!$B$3-100)*3)+Inputs!$B$27+Inputs!$B$28</f>
        <v/>
      </c>
    </row>
    <row r="556">
      <c r="A556">
        <f>Skills!A5</f>
        <v/>
      </c>
      <c r="B556">
        <f>Skills!B5</f>
        <v/>
      </c>
      <c r="C556">
        <f>Inputs!$B$3&gt;=63</f>
        <v/>
      </c>
      <c r="D556">
        <f>IF(Skills!C5=1,60+Inputs!$B$24+Inputs!$B$28,IF(Skills!C5=2,90+Inputs!$B$25+Inputs!$B$28,IF(Skills!C5=3,120+Inputs!$B$26+Inputs!$B$28,MAX(0,(Inputs!$B$3-100)*3)+Inputs!$B$27+Inputs!$B$28)))</f>
        <v/>
      </c>
      <c r="E556">
        <f>INDEX(FactorTable!$B$2:$Y$301, MATCH(ROUND(MIN(300,MAX(1,D556)),0), FactorTable!$A$2:$A$301,0), Skills!M5+1)</f>
        <v/>
      </c>
      <c r="F556">
        <f>IF(Skills!N5=TRUE,(Skills!L5/10)*(E556/1000),Skills!L5/10)+Skills!O5</f>
        <v/>
      </c>
      <c r="G556">
        <f>Calc!G5</f>
        <v/>
      </c>
      <c r="H556">
        <f>Calc!H5</f>
        <v/>
      </c>
      <c r="I556">
        <f>IF(Skills!AA5&lt;&gt;"",1+(Skills!AA5/10)*(U554/1000)/100,1)</f>
        <v/>
      </c>
      <c r="J556">
        <f>(Inputs!$B$5*(1+Inputs!$B$6/100))*(F556/100)</f>
        <v/>
      </c>
      <c r="K556">
        <f>J556*(1+((Inputs!$B$11*(1+Inputs!$B$12/100))*0.01+Inputs!$B$13*0.0025)/100)*(1+Inputs!$B$14/100)*(1+IF(Inputs!$B$4="pvp",0,(1-Summary!$B$55)*(Inputs!$B$19+((C578=TRUE)*(F578-Calc!F27))+Skills!P5+B592)+Summary!$B$55*(Inputs!$B$20+Skills!Q5+B592))/100)*(1+Inputs!$B$15/100)*(5000/(6000+Inputs!$B$7*(1-Inputs!$B$18/100)))*(1+(Inputs!$B$23+((C581=TRUE)*(F581-Calc!F30)))/100)*(1+Skills!R5/100)*(1+(IF(Skills!A5="SHOWDOWN",Inputs!$B$16+((C574=TRUE)*(F574-Calc!F23)),Inputs!$B$17+((C580=TRUE)*(F580-Calc!F29))))/100)*(((1+(((C572=TRUE)*F572*IF(AND(Inputs!$B$4&lt;&gt;"pvp",Inputs!$B$35&gt;0),(((S572-1)*(Skills!Y21*(1+Inputs!$B$33/100))+MIN((Skills!Y21*(1+Inputs!$B$33/100)),MAX(0,Inputs!$B$35-((S572-1)*Skills!D21))))/Inputs!$B$35),IF(Inputs!$B$4="pvp",MIN((Skills!Y21*(1+Inputs!$B$33/100)),15)/15,(Skills!Y21*(1+Inputs!$B$33/100))/Skills!D21)))+((C579=TRUE)*(F579-Calc!F28))+((C569=TRUE)*(F569-Calc!F18)))/100)*(1+((C566=TRUE)*F566*IF(AND(Inputs!$B$4&lt;&gt;"pvp",Inputs!$B$35&gt;0),(((S566-1)*(Skills!Y15*(1+Inputs!$B$33/100))+MIN((Skills!Y15*(1+Inputs!$B$33/100)),MAX(0,Inputs!$B$35-((S566-1)*Skills!D15))))/Inputs!$B$35),IF(Inputs!$B$4="pvp",MIN((Skills!Y15*(1+Inputs!$B$33/100)),15)/15,(Skills!Y15*(1+Inputs!$B$33/100))/Skills!D15)))/100)*(1+((C557=TRUE)*F557*B585)/100))*B593*I556)</f>
        <v/>
      </c>
      <c r="L556">
        <f>K556*(MIN(Inputs!$B$21+((C575=TRUE)*(F575-Calc!F24)),Inputs!$B$22)/100+Inputs!$B$22/100)/2</f>
        <v/>
      </c>
      <c r="M556">
        <f>L556*(1+((Inputs!$B$9+1)+((C577=TRUE)*(F577-Calc!F26))+B594)/100)</f>
        <v/>
      </c>
      <c r="N556">
        <f>L556*(1-MIN((Inputs!$B$8+((C576=TRUE)*(F576-Calc!F25))+B591),100)/100)+M556*(MIN((Inputs!$B$8+((C576=TRUE)*(F576-Calc!F25))+B591),100)/100)</f>
        <v/>
      </c>
      <c r="O556">
        <f>IF(C556,H556*N556*IF(AND(Inputs!$B$4&lt;&gt;"pvp",Inputs!$B$35&gt;0),((Skills!G5*((R556-1)*IF(Skills!H5&gt;0,Skills!I5/Skills!H5,1)+IF(Skills!H5&gt;0,MIN(Skills!I5,MAX(0,Inputs!$B$35-((R556-1)*IF(Inputs!$B$4="pvp",15,MAX(0.1,Skills!D5-IF(Skills!E5=TRUE,Inputs!$B$31,0))))))/Skills!H5,1)))/Inputs!$B$35),G556*Q556)*IF(Inputs!$B$4="pvp",1,(1-Summary!$B$55)*(1)+Summary!$B$55*(MIN(Skills!W5,Inputs!$B$37))),0)</f>
        <v/>
      </c>
      <c r="P556">
        <f>IF(B595=0,0,O556/B595)</f>
        <v/>
      </c>
      <c r="Q556">
        <f>IFERROR(1/IF(Inputs!$B$4="pvp",15,MAX(0.1,Skills!D5-IF(Skills!E5=TRUE,Inputs!$B$31,0))),0)</f>
        <v/>
      </c>
      <c r="R556">
        <f>IF(AND(Inputs!$B$4&lt;&gt;"pvp",Inputs!$B$35&gt;0),(INT(Inputs!$B$35/IF(Inputs!$B$4="pvp",15,MAX(0.1,Skills!D5-IF(Skills!E5=TRUE,Inputs!$B$31,0))))+1),0)</f>
        <v/>
      </c>
      <c r="S556">
        <f>IFERROR(O556/N556,0)</f>
        <v/>
      </c>
      <c r="U556">
        <f>INDEX(FactorTable!$B$2:$Y$301, MATCH(ROUND(MIN(300,MAX(1,U555)),0), FactorTable!$A$2:$A$301,0), 22)</f>
        <v/>
      </c>
    </row>
    <row r="557">
      <c r="A557">
        <f>Skills!A6</f>
        <v/>
      </c>
      <c r="B557">
        <f>Skills!B6</f>
        <v/>
      </c>
      <c r="C557">
        <f>Inputs!$B$3&gt;=66</f>
        <v/>
      </c>
      <c r="D557">
        <f>IF(Skills!C6=1,60+Inputs!$B$24+Inputs!$B$28,IF(Skills!C6=2,90+Inputs!$B$25+Inputs!$B$28,IF(Skills!C6=3,120+Inputs!$B$26+Inputs!$B$28,MAX(0,(Inputs!$B$3-100)*3)+Inputs!$B$27+Inputs!$B$28)))</f>
        <v/>
      </c>
      <c r="E557">
        <f>INDEX(FactorTable!$B$2:$Y$301, MATCH(ROUND(MIN(300,MAX(1,D557)),0), FactorTable!$A$2:$A$301,0), Skills!M6+1)</f>
        <v/>
      </c>
      <c r="F557">
        <f>IF(Skills!N6=TRUE,(Skills!L6/10)*(E557/1000),Skills!L6/10)+Skills!O6</f>
        <v/>
      </c>
      <c r="G557">
        <f>Calc!G6</f>
        <v/>
      </c>
      <c r="H557">
        <f>Calc!H6</f>
        <v/>
      </c>
      <c r="I557">
        <f>IF(Skills!AA6&lt;&gt;"",1+(Skills!AA6/10)*(U554/1000)/100,1)</f>
        <v/>
      </c>
      <c r="J557" t="inlineStr"/>
      <c r="K557" t="inlineStr"/>
      <c r="L557" t="inlineStr"/>
      <c r="M557" t="inlineStr"/>
      <c r="N557" t="inlineStr"/>
      <c r="O557" t="n">
        <v>0</v>
      </c>
      <c r="P557">
        <f>IF(B595=0,0,O557/B595)</f>
        <v/>
      </c>
      <c r="Q557" t="n">
        <v>0</v>
      </c>
      <c r="R557" t="n">
        <v>0</v>
      </c>
      <c r="S557">
        <f>IFERROR(O557/N557,0)</f>
        <v/>
      </c>
      <c r="U557">
        <f>290*U556/1000</f>
        <v/>
      </c>
    </row>
    <row r="558">
      <c r="A558">
        <f>Skills!A7</f>
        <v/>
      </c>
      <c r="B558">
        <f>Skills!B7</f>
        <v/>
      </c>
      <c r="C558">
        <f>Inputs!$B$3&gt;=66</f>
        <v/>
      </c>
      <c r="D558">
        <f>IF(Skills!C7=1,60+Inputs!$B$24+Inputs!$B$28,IF(Skills!C7=2,90+Inputs!$B$25+Inputs!$B$28,IF(Skills!C7=3,120+Inputs!$B$26+Inputs!$B$28,MAX(0,(Inputs!$B$3-100)*3)+Inputs!$B$27+Inputs!$B$28)))</f>
        <v/>
      </c>
      <c r="E558">
        <f>INDEX(FactorTable!$B$2:$Y$301, MATCH(ROUND(MIN(300,MAX(1,D558)),0), FactorTable!$A$2:$A$301,0), Skills!M7+1)</f>
        <v/>
      </c>
      <c r="F558">
        <f>IF(Skills!N7=TRUE,(Skills!L7/10)*(E558/1000),Skills!L7/10)+Skills!O7</f>
        <v/>
      </c>
      <c r="G558">
        <f>Calc!G7</f>
        <v/>
      </c>
      <c r="H558">
        <f>Calc!H7</f>
        <v/>
      </c>
      <c r="I558">
        <f>IF(Skills!AA7&lt;&gt;"",1+(Skills!AA7/10)*(U554/1000)/100,1)</f>
        <v/>
      </c>
      <c r="J558" t="inlineStr"/>
      <c r="K558" t="inlineStr"/>
      <c r="L558" t="inlineStr"/>
      <c r="M558" t="inlineStr"/>
      <c r="N558" t="inlineStr"/>
      <c r="O558" t="n">
        <v>0</v>
      </c>
      <c r="P558">
        <f>IF(B595=0,0,O558/B595)</f>
        <v/>
      </c>
      <c r="Q558" t="n">
        <v>0</v>
      </c>
      <c r="R558" t="n">
        <v>0</v>
      </c>
      <c r="S558">
        <f>IFERROR(O558/N558,0)</f>
        <v/>
      </c>
    </row>
    <row r="559">
      <c r="A559">
        <f>Skills!A8</f>
        <v/>
      </c>
      <c r="B559">
        <f>Skills!B8</f>
        <v/>
      </c>
      <c r="C559">
        <f>Inputs!$B$3&gt;=69</f>
        <v/>
      </c>
      <c r="D559">
        <f>IF(Skills!C8=1,60+Inputs!$B$24+Inputs!$B$28,IF(Skills!C8=2,90+Inputs!$B$25+Inputs!$B$28,IF(Skills!C8=3,120+Inputs!$B$26+Inputs!$B$28,MAX(0,(Inputs!$B$3-100)*3)+Inputs!$B$27+Inputs!$B$28)))</f>
        <v/>
      </c>
      <c r="E559">
        <f>INDEX(FactorTable!$B$2:$Y$301, MATCH(ROUND(MIN(300,MAX(1,D559)),0), FactorTable!$A$2:$A$301,0), Skills!M8+1)</f>
        <v/>
      </c>
      <c r="F559">
        <f>IF(Skills!N8=TRUE,(Skills!L8/10)*(E559/1000),Skills!L8/10)+Skills!O8</f>
        <v/>
      </c>
      <c r="G559">
        <f>Calc!G8</f>
        <v/>
      </c>
      <c r="H559">
        <f>Calc!H8</f>
        <v/>
      </c>
      <c r="I559">
        <f>IF(Skills!AA8&lt;&gt;"",1+(Skills!AA8/10)*(U554/1000)/100,1)</f>
        <v/>
      </c>
      <c r="J559">
        <f>(Inputs!$B$5*(1+Inputs!$B$6/100))*(F559/100)</f>
        <v/>
      </c>
      <c r="K559">
        <f>J559*(1+((Inputs!$B$11*(1+Inputs!$B$12/100))*0.01+Inputs!$B$13*0.0025)/100)*(1+Inputs!$B$14/100)*(1+IF(Inputs!$B$4="pvp",0,(1-Summary!$B$55)*(Inputs!$B$19+((C578=TRUE)*(F578-Calc!F27))+Skills!P8+B592)+Summary!$B$55*(Inputs!$B$20+Skills!Q8+B592))/100)*(1+Inputs!$B$15/100)*(5000/(6000+Inputs!$B$7*(1-Inputs!$B$18/100)))*(1+(Inputs!$B$23+((C581=TRUE)*(F581-Calc!F30)))/100)*(1+Skills!R8/100)*(1+(IF(Skills!A8="SHOWDOWN",Inputs!$B$16+((C574=TRUE)*(F574-Calc!F23)),Inputs!$B$17+((C580=TRUE)*(F580-Calc!F29))))/100)*(((1+(((C572=TRUE)*F572*IF(AND(Inputs!$B$4&lt;&gt;"pvp",Inputs!$B$35&gt;0),(((S572-1)*(Skills!Y21*(1+Inputs!$B$33/100))+MIN((Skills!Y21*(1+Inputs!$B$33/100)),MAX(0,Inputs!$B$35-((S572-1)*Skills!D21))))/Inputs!$B$35),IF(Inputs!$B$4="pvp",MIN((Skills!Y21*(1+Inputs!$B$33/100)),15)/15,(Skills!Y21*(1+Inputs!$B$33/100))/Skills!D21)))+((C579=TRUE)*(F579-Calc!F28))+((C569=TRUE)*(F569-Calc!F18)))/100)*(1+((C566=TRUE)*F566*IF(AND(Inputs!$B$4&lt;&gt;"pvp",Inputs!$B$35&gt;0),(((S566-1)*(Skills!Y15*(1+Inputs!$B$33/100))+MIN((Skills!Y15*(1+Inputs!$B$33/100)),MAX(0,Inputs!$B$35-((S566-1)*Skills!D15))))/Inputs!$B$35),IF(Inputs!$B$4="pvp",MIN((Skills!Y15*(1+Inputs!$B$33/100)),15)/15,(Skills!Y15*(1+Inputs!$B$33/100))/Skills!D15)))/100)*(1+((C557=TRUE)*F557*B585)/100))*B593*I559)</f>
        <v/>
      </c>
      <c r="L559">
        <f>K559*(MIN(Inputs!$B$21+((C575=TRUE)*(F575-Calc!F24)),Inputs!$B$22)/100+Inputs!$B$22/100)/2</f>
        <v/>
      </c>
      <c r="M559">
        <f>L559*(1+((Inputs!$B$9+1)+((C577=TRUE)*(F577-Calc!F26))+B594)/100)</f>
        <v/>
      </c>
      <c r="N559">
        <f>L559*(1-MIN((Inputs!$B$8+((C576=TRUE)*(F576-Calc!F25))+B591),100)/100)+M559*(MIN((Inputs!$B$8+((C576=TRUE)*(F576-Calc!F25))+B591),100)/100)</f>
        <v/>
      </c>
      <c r="O559">
        <f>IF(C559,H559*N559*IF(AND(Inputs!$B$4&lt;&gt;"pvp",Inputs!$B$35&gt;0),((Skills!G8*((R559-1)*IF(Skills!H8&gt;0,Skills!I8/Skills!H8,1)+IF(Skills!H8&gt;0,MIN(Skills!I8,MAX(0,Inputs!$B$35-((R559-1)*IF(Inputs!$B$4="pvp",15,MAX(0.1,Skills!D8-IF(Skills!E8=TRUE,Inputs!$B$31,0))))))/Skills!H8,1)))/Inputs!$B$35),G559*Q559)*IF(Inputs!$B$4="pvp",1,(1-Summary!$B$55)*(1)+Summary!$B$55*(MIN(Skills!W8,Inputs!$B$37))),0)</f>
        <v/>
      </c>
      <c r="P559">
        <f>IF(B595=0,0,O559/B595)</f>
        <v/>
      </c>
      <c r="Q559">
        <f>IFERROR(1/IF(Inputs!$B$4="pvp",15,MAX(0.1,Skills!D8-IF(Skills!E8=TRUE,Inputs!$B$31,0))),0)</f>
        <v/>
      </c>
      <c r="R559">
        <f>IF(AND(Inputs!$B$4&lt;&gt;"pvp",Inputs!$B$35&gt;0),(INT(Inputs!$B$35/IF(Inputs!$B$4="pvp",15,MAX(0.1,Skills!D8-IF(Skills!E8=TRUE,Inputs!$B$31,0))))+1),0)</f>
        <v/>
      </c>
      <c r="S559">
        <f>IFERROR(O559/N559,0)</f>
        <v/>
      </c>
    </row>
    <row r="560">
      <c r="A560">
        <f>Skills!A9</f>
        <v/>
      </c>
      <c r="B560">
        <f>Skills!B9</f>
        <v/>
      </c>
      <c r="C560">
        <f>Inputs!$B$3&gt;=72</f>
        <v/>
      </c>
      <c r="D560">
        <f>IF(Skills!C9=1,60+Inputs!$B$24+Inputs!$B$28,IF(Skills!C9=2,90+Inputs!$B$25+Inputs!$B$28,IF(Skills!C9=3,120+Inputs!$B$26+Inputs!$B$28,MAX(0,(Inputs!$B$3-100)*3)+Inputs!$B$27+Inputs!$B$28)))</f>
        <v/>
      </c>
      <c r="E560">
        <f>INDEX(FactorTable!$B$2:$Y$301, MATCH(ROUND(MIN(300,MAX(1,D560)),0), FactorTable!$A$2:$A$301,0), Skills!M9+1)</f>
        <v/>
      </c>
      <c r="F560">
        <f>IF(Skills!N9=TRUE,(Skills!L9/10)*(E560/1000),Skills!L9/10)+Skills!O9</f>
        <v/>
      </c>
      <c r="G560">
        <f>Calc!G9</f>
        <v/>
      </c>
      <c r="H560">
        <f>Calc!H9</f>
        <v/>
      </c>
      <c r="I560">
        <f>IF(Skills!AA9&lt;&gt;"",1+(Skills!AA9/10)*(U554/1000)/100,1)</f>
        <v/>
      </c>
      <c r="J560">
        <f>(Inputs!$B$5*(1+Inputs!$B$6/100))*(F560/100)</f>
        <v/>
      </c>
      <c r="K560">
        <f>J560*(1+((Inputs!$B$11*(1+Inputs!$B$12/100))*0.01+Inputs!$B$13*0.0025)/100)*(1+Inputs!$B$14/100)*(1+IF(Inputs!$B$4="pvp",0,(1-Summary!$B$55)*(Inputs!$B$19+((C578=TRUE)*(F578-Calc!F27))+Skills!P9+B592)+Summary!$B$55*(Inputs!$B$20+Skills!Q9+B592))/100)*(1+Inputs!$B$15/100)*(5000/(6000+Inputs!$B$7*(1-Inputs!$B$18/100)))*(1+(Inputs!$B$23+((C581=TRUE)*(F581-Calc!F30)))/100)*(1+Skills!R9/100)*(1+(IF(Skills!A9="SHOWDOWN",Inputs!$B$16+((C574=TRUE)*(F574-Calc!F23)),Inputs!$B$17+((C580=TRUE)*(F580-Calc!F29))))/100)*(((1+(((C572=TRUE)*F572*IF(AND(Inputs!$B$4&lt;&gt;"pvp",Inputs!$B$35&gt;0),(((S572-1)*(Skills!Y21*(1+Inputs!$B$33/100))+MIN((Skills!Y21*(1+Inputs!$B$33/100)),MAX(0,Inputs!$B$35-((S572-1)*Skills!D21))))/Inputs!$B$35),IF(Inputs!$B$4="pvp",MIN((Skills!Y21*(1+Inputs!$B$33/100)),15)/15,(Skills!Y21*(1+Inputs!$B$33/100))/Skills!D21)))+((C579=TRUE)*(F579-Calc!F28))+((C569=TRUE)*(F569-Calc!F18)))/100)*(1+((C566=TRUE)*F566*IF(AND(Inputs!$B$4&lt;&gt;"pvp",Inputs!$B$35&gt;0),(((S566-1)*(Skills!Y15*(1+Inputs!$B$33/100))+MIN((Skills!Y15*(1+Inputs!$B$33/100)),MAX(0,Inputs!$B$35-((S566-1)*Skills!D15))))/Inputs!$B$35),IF(Inputs!$B$4="pvp",MIN((Skills!Y15*(1+Inputs!$B$33/100)),15)/15,(Skills!Y15*(1+Inputs!$B$33/100))/Skills!D15)))/100)*(1+((C557=TRUE)*F557*B585)/100))*B593*I560)</f>
        <v/>
      </c>
      <c r="L560">
        <f>K560*(MIN(Inputs!$B$21+((C575=TRUE)*(F575-Calc!F24)),Inputs!$B$22)/100+Inputs!$B$22/100)/2</f>
        <v/>
      </c>
      <c r="M560">
        <f>L560*(1+((Inputs!$B$9+1)+((C577=TRUE)*(F577-Calc!F26))+B594)/100)</f>
        <v/>
      </c>
      <c r="N560">
        <f>L560*(1-MIN((Inputs!$B$8+((C576=TRUE)*(F576-Calc!F25))+B591),100)/100)+M560*(MIN((Inputs!$B$8+((C576=TRUE)*(F576-Calc!F25))+B591),100)/100)</f>
        <v/>
      </c>
      <c r="O560">
        <f>IF(C560,H560*N560*IF(AND(Inputs!$B$4&lt;&gt;"pvp",Inputs!$B$35&gt;0),((Skills!G9*((R560-1)*IF(Skills!H9&gt;0,Skills!I9/Skills!H9,1)+IF(Skills!H9&gt;0,MIN(Skills!I9,MAX(0,Inputs!$B$35-((R560-1)*IF(Inputs!$B$4="pvp",15,MAX(0.1,Skills!D9-IF(Skills!E9=TRUE,Inputs!$B$31,0))))))/Skills!H9,1)))/Inputs!$B$35),G560*Q560)*IF(Inputs!$B$4="pvp",1,(1-Summary!$B$55)*(1)+Summary!$B$55*(MIN(Skills!W9,Inputs!$B$37))),0)</f>
        <v/>
      </c>
      <c r="P560">
        <f>IF(B595=0,0,O560/B595)</f>
        <v/>
      </c>
      <c r="Q560">
        <f>IFERROR(1/IF(Inputs!$B$4="pvp",15,MAX(0.1,Skills!D9-IF(Skills!E9=TRUE,Inputs!$B$31,0))),0)</f>
        <v/>
      </c>
      <c r="R560">
        <f>IF(AND(Inputs!$B$4&lt;&gt;"pvp",Inputs!$B$35&gt;0),(INT(Inputs!$B$35/IF(Inputs!$B$4="pvp",15,MAX(0.1,Skills!D9-IF(Skills!E9=TRUE,Inputs!$B$31,0))))+1),0)</f>
        <v/>
      </c>
      <c r="S560">
        <f>IFERROR(O560/N560,0)</f>
        <v/>
      </c>
    </row>
    <row r="561">
      <c r="A561">
        <f>Skills!A10</f>
        <v/>
      </c>
      <c r="B561">
        <f>Skills!B10</f>
        <v/>
      </c>
      <c r="C561">
        <f>Inputs!$B$3&gt;=117</f>
        <v/>
      </c>
      <c r="D561">
        <f>IF(Skills!C10=1,60+Inputs!$B$24+Inputs!$B$28,IF(Skills!C10=2,90+Inputs!$B$25+Inputs!$B$28,IF(Skills!C10=3,120+Inputs!$B$26+Inputs!$B$28,MAX(0,(Inputs!$B$3-100)*3)+Inputs!$B$27+Inputs!$B$28)))</f>
        <v/>
      </c>
      <c r="E561">
        <f>INDEX(FactorTable!$B$2:$Y$301, MATCH(ROUND(MIN(300,MAX(1,D561)),0), FactorTable!$A$2:$A$301,0), Skills!M10+1)</f>
        <v/>
      </c>
      <c r="F561">
        <f>IF(Skills!N10=TRUE,(Skills!L10/10)*(E561/1000),Skills!L10/10)+Skills!O10</f>
        <v/>
      </c>
      <c r="G561">
        <f>Calc!G10</f>
        <v/>
      </c>
      <c r="H561">
        <f>Calc!H10</f>
        <v/>
      </c>
      <c r="I561">
        <f>IF(Skills!AA10&lt;&gt;"",1+(Skills!AA10/10)*(U554/1000)/100,1)</f>
        <v/>
      </c>
      <c r="J561">
        <f>(Inputs!$B$5*(1+Inputs!$B$6/100))*(F561/100)</f>
        <v/>
      </c>
      <c r="K561">
        <f>J561*(1+((Inputs!$B$11*(1+Inputs!$B$12/100))*0.01+Inputs!$B$13*0.0025)/100)*(1+Inputs!$B$14/100)*(1+IF(Inputs!$B$4="pvp",0,(1-Summary!$B$55)*(Inputs!$B$19+((C578=TRUE)*(F578-Calc!F27))+Skills!P10+B592)+Summary!$B$55*(Inputs!$B$20+Skills!Q10+B592))/100)*(1+Inputs!$B$15/100)*(5000/(6000+Inputs!$B$7*(1-Inputs!$B$18/100)))*(1+(Inputs!$B$23+((C581=TRUE)*(F581-Calc!F30)))/100)*(1+Skills!R10/100)*(1+(IF(Skills!A10="SHOWDOWN",Inputs!$B$16+((C574=TRUE)*(F574-Calc!F23)),Inputs!$B$17+((C580=TRUE)*(F580-Calc!F29))))/100)*(((1+(((C572=TRUE)*F572*IF(AND(Inputs!$B$4&lt;&gt;"pvp",Inputs!$B$35&gt;0),(((S572-1)*(Skills!Y21*(1+Inputs!$B$33/100))+MIN((Skills!Y21*(1+Inputs!$B$33/100)),MAX(0,Inputs!$B$35-((S572-1)*Skills!D21))))/Inputs!$B$35),IF(Inputs!$B$4="pvp",MIN((Skills!Y21*(1+Inputs!$B$33/100)),15)/15,(Skills!Y21*(1+Inputs!$B$33/100))/Skills!D21)))+((C579=TRUE)*(F579-Calc!F28))+((C569=TRUE)*(F569-Calc!F18)))/100)*(1+((C566=TRUE)*F566*IF(AND(Inputs!$B$4&lt;&gt;"pvp",Inputs!$B$35&gt;0),(((S566-1)*(Skills!Y15*(1+Inputs!$B$33/100))+MIN((Skills!Y15*(1+Inputs!$B$33/100)),MAX(0,Inputs!$B$35-((S566-1)*Skills!D15))))/Inputs!$B$35),IF(Inputs!$B$4="pvp",MIN((Skills!Y15*(1+Inputs!$B$33/100)),15)/15,(Skills!Y15*(1+Inputs!$B$33/100))/Skills!D15)))/100)*(1+((C557=TRUE)*F557*B585)/100))*B593*I561)</f>
        <v/>
      </c>
      <c r="L561">
        <f>K561*(MIN(Inputs!$B$21+((C575=TRUE)*(F575-Calc!F24)),Inputs!$B$22)/100+Inputs!$B$22/100)/2</f>
        <v/>
      </c>
      <c r="M561">
        <f>L561*(1+((Inputs!$B$9+1)+((C577=TRUE)*(F577-Calc!F26))+B594)/100)</f>
        <v/>
      </c>
      <c r="N561">
        <f>L561*(1-MIN((Inputs!$B$8+((C576=TRUE)*(F576-Calc!F25))+B591),100)/100)+M561*(MIN((Inputs!$B$8+((C576=TRUE)*(F576-Calc!F25))+B591),100)/100)</f>
        <v/>
      </c>
      <c r="O561">
        <f>IF(C561,0.2*SUMPRODUCT((Skills!Z2:Z31=TRUE)*(C553:C582=TRUE)*S553:S582)*N561,0)</f>
        <v/>
      </c>
      <c r="P561">
        <f>IF(B595=0,0,O561/B595)</f>
        <v/>
      </c>
      <c r="Q561" t="n">
        <v>0</v>
      </c>
      <c r="R561" t="n">
        <v>0</v>
      </c>
      <c r="S561" t="n">
        <v>0</v>
      </c>
    </row>
    <row r="562">
      <c r="A562">
        <f>Skills!A11</f>
        <v/>
      </c>
      <c r="B562">
        <f>Skills!B11</f>
        <v/>
      </c>
      <c r="C562">
        <f>Inputs!$B$3&gt;=60</f>
        <v/>
      </c>
      <c r="D562">
        <f>IF(Skills!C11=1,60+Inputs!$B$24+Inputs!$B$28,IF(Skills!C11=2,90+Inputs!$B$25+Inputs!$B$28,IF(Skills!C11=3,120+Inputs!$B$26+Inputs!$B$28,MAX(0,(Inputs!$B$3-100)*3)+Inputs!$B$27+Inputs!$B$28)))</f>
        <v/>
      </c>
      <c r="E562">
        <f>INDEX(FactorTable!$B$2:$Y$301, MATCH(ROUND(MIN(300,MAX(1,D562)),0), FactorTable!$A$2:$A$301,0), Skills!M11+1)</f>
        <v/>
      </c>
      <c r="F562">
        <f>IF(Skills!N11=TRUE,(Skills!L11/10)*(E562/1000),Skills!L11/10)+Skills!O11</f>
        <v/>
      </c>
      <c r="G562">
        <f>Calc!G11</f>
        <v/>
      </c>
      <c r="H562">
        <f>Calc!H11</f>
        <v/>
      </c>
      <c r="I562">
        <f>IF(Skills!AA11&lt;&gt;"",1+(Skills!AA11/10)*(U554/1000)/100,1)</f>
        <v/>
      </c>
      <c r="J562" t="inlineStr"/>
      <c r="K562" t="inlineStr"/>
      <c r="L562" t="inlineStr"/>
      <c r="M562" t="inlineStr"/>
      <c r="N562" t="inlineStr"/>
      <c r="O562" t="n">
        <v>0</v>
      </c>
      <c r="P562">
        <f>IF(B595=0,0,O562/B595)</f>
        <v/>
      </c>
      <c r="Q562" t="n">
        <v>0</v>
      </c>
      <c r="R562" t="n">
        <v>0</v>
      </c>
      <c r="S562">
        <f>IFERROR(O562/N562,0)</f>
        <v/>
      </c>
    </row>
    <row r="563">
      <c r="A563">
        <f>Skills!A12</f>
        <v/>
      </c>
      <c r="B563">
        <f>Skills!B12</f>
        <v/>
      </c>
      <c r="C563">
        <f>Inputs!$B$3&gt;=103</f>
        <v/>
      </c>
      <c r="D563">
        <f>IF(Skills!C12=1,60+Inputs!$B$24+Inputs!$B$28,IF(Skills!C12=2,90+Inputs!$B$25+Inputs!$B$28,IF(Skills!C12=3,120+Inputs!$B$26+Inputs!$B$28,MAX(0,(Inputs!$B$3-100)*3)+Inputs!$B$27+Inputs!$B$28)))</f>
        <v/>
      </c>
      <c r="E563">
        <f>INDEX(FactorTable!$B$2:$Y$301, MATCH(ROUND(MIN(300,MAX(1,D563)),0), FactorTable!$A$2:$A$301,0), Skills!M12+1)</f>
        <v/>
      </c>
      <c r="F563">
        <f>IF(Skills!N12=TRUE,(Skills!L12/10)*(E563/1000),Skills!L12/10)+Skills!O12</f>
        <v/>
      </c>
      <c r="G563">
        <f>Calc!G12</f>
        <v/>
      </c>
      <c r="H563">
        <f>Calc!H12</f>
        <v/>
      </c>
      <c r="I563">
        <f>IF(Skills!AA12&lt;&gt;"",1+(Skills!AA12/10)*(U554/1000)/100,1)</f>
        <v/>
      </c>
      <c r="J563">
        <f>(Inputs!$B$5*(1+Inputs!$B$6/100))*(F563/100)</f>
        <v/>
      </c>
      <c r="K563">
        <f>J563*(1+((Inputs!$B$11*(1+Inputs!$B$12/100))*0.01+Inputs!$B$13*0.0025)/100)*(1+Inputs!$B$14/100)*(1+IF(Inputs!$B$4="pvp",0,(1-Summary!$B$55)*(Inputs!$B$19+((C578=TRUE)*(F578-Calc!F27))+Skills!P12+B592)+Summary!$B$55*(Inputs!$B$20+Skills!Q12+B592))/100)*(1+Inputs!$B$15/100)*(5000/(6000+Inputs!$B$7*(1-Inputs!$B$18/100)))*(1+(Inputs!$B$23+((C581=TRUE)*(F581-Calc!F30)))/100)*(1+Skills!R12/100)*(1+(IF(Skills!A12="SHOWDOWN",Inputs!$B$16+((C574=TRUE)*(F574-Calc!F23)),Inputs!$B$17+((C580=TRUE)*(F580-Calc!F29))))/100)*(((1+(((C572=TRUE)*F572*IF(AND(Inputs!$B$4&lt;&gt;"pvp",Inputs!$B$35&gt;0),(((S572-1)*(Skills!Y21*(1+Inputs!$B$33/100))+MIN((Skills!Y21*(1+Inputs!$B$33/100)),MAX(0,Inputs!$B$35-((S572-1)*Skills!D21))))/Inputs!$B$35),IF(Inputs!$B$4="pvp",MIN((Skills!Y21*(1+Inputs!$B$33/100)),15)/15,(Skills!Y21*(1+Inputs!$B$33/100))/Skills!D21)))+((C579=TRUE)*(F579-Calc!F28))+((C569=TRUE)*(F569-Calc!F18)))/100)*(1+((C566=TRUE)*F566*IF(AND(Inputs!$B$4&lt;&gt;"pvp",Inputs!$B$35&gt;0),(((S566-1)*(Skills!Y15*(1+Inputs!$B$33/100))+MIN((Skills!Y15*(1+Inputs!$B$33/100)),MAX(0,Inputs!$B$35-((S566-1)*Skills!D15))))/Inputs!$B$35),IF(Inputs!$B$4="pvp",MIN((Skills!Y15*(1+Inputs!$B$33/100)),15)/15,(Skills!Y15*(1+Inputs!$B$33/100))/Skills!D15)))/100)*(1+((C557=TRUE)*F557*B585)/100))*B593*I563)</f>
        <v/>
      </c>
      <c r="L563">
        <f>K563*(MIN(Inputs!$B$21+((C575=TRUE)*(F575-Calc!F24)),Inputs!$B$22)/100+Inputs!$B$22/100)/2</f>
        <v/>
      </c>
      <c r="M563">
        <f>L563*(1+((Inputs!$B$9+1)+((C577=TRUE)*(F577-Calc!F26))+B594)/100)</f>
        <v/>
      </c>
      <c r="N563">
        <f>L563*(1-MIN((Inputs!$B$8+((C576=TRUE)*(F576-Calc!F25))+B591),100)/100)+M563*(MIN((Inputs!$B$8+((C576=TRUE)*(F576-Calc!F25))+B591),100)/100)</f>
        <v/>
      </c>
      <c r="O563">
        <f>IF(C563,H563*N563*IF(AND(Inputs!$B$4&lt;&gt;"pvp",Inputs!$B$35&gt;0),((Skills!G12*((R563-1)*IF(Skills!H12&gt;0,Skills!I12/Skills!H12,1)+IF(Skills!H12&gt;0,MIN(Skills!I12,MAX(0,Inputs!$B$35-((R563-1)*IF(Inputs!$B$4="pvp",15,MAX(0.1,Skills!D12-IF(Skills!E12=TRUE,Inputs!$B$31,0))))))/Skills!H12,1)))/Inputs!$B$35),G563*Q563)*IF(Inputs!$B$4="pvp",1,(1-Summary!$B$55)*(1)+Summary!$B$55*(MIN(Skills!W12,Inputs!$B$37))),0)</f>
        <v/>
      </c>
      <c r="P563">
        <f>IF(B595=0,0,O563/B595)</f>
        <v/>
      </c>
      <c r="Q563">
        <f>IFERROR(1/IF(Inputs!$B$4="pvp",15,MAX(0.1,Skills!D12-IF(Skills!E12=TRUE,Inputs!$B$31,0))),0)</f>
        <v/>
      </c>
      <c r="R563">
        <f>IF(AND(Inputs!$B$4&lt;&gt;"pvp",Inputs!$B$35&gt;0),(INT(Inputs!$B$35/IF(Inputs!$B$4="pvp",15,MAX(0.1,Skills!D12-IF(Skills!E12=TRUE,Inputs!$B$31,0))))+1),0)</f>
        <v/>
      </c>
      <c r="S563">
        <f>IFERROR(O563/N563,0)</f>
        <v/>
      </c>
    </row>
    <row r="564">
      <c r="A564">
        <f>Skills!A13</f>
        <v/>
      </c>
      <c r="B564">
        <f>Skills!B13</f>
        <v/>
      </c>
      <c r="C564">
        <f>Inputs!$B$3&gt;=105</f>
        <v/>
      </c>
      <c r="D564">
        <f>IF(Skills!C13=1,60+Inputs!$B$24+Inputs!$B$28,IF(Skills!C13=2,90+Inputs!$B$25+Inputs!$B$28,IF(Skills!C13=3,120+Inputs!$B$26+Inputs!$B$28,MAX(0,(Inputs!$B$3-100)*3)+Inputs!$B$27+Inputs!$B$28)))</f>
        <v/>
      </c>
      <c r="E564">
        <f>INDEX(FactorTable!$B$2:$Y$301, MATCH(ROUND(MIN(300,MAX(1,D564)),0), FactorTable!$A$2:$A$301,0), Skills!M13+1)</f>
        <v/>
      </c>
      <c r="F564">
        <f>IF(Skills!N13=TRUE,(Skills!L13/10)*(E564/1000),Skills!L13/10)+Skills!O13</f>
        <v/>
      </c>
      <c r="G564">
        <f>Calc!G13</f>
        <v/>
      </c>
      <c r="H564">
        <f>Calc!H13</f>
        <v/>
      </c>
      <c r="I564">
        <f>IF(Skills!AA13&lt;&gt;"",1+(Skills!AA13/10)*(U554/1000)/100,1)</f>
        <v/>
      </c>
      <c r="J564">
        <f>(Inputs!$B$5*(1+Inputs!$B$6/100))*(F564/100)</f>
        <v/>
      </c>
      <c r="K564">
        <f>J564*(1+((Inputs!$B$11*(1+Inputs!$B$12/100))*0.01+Inputs!$B$13*0.0025)/100)*(1+Inputs!$B$14/100)*(1+IF(Inputs!$B$4="pvp",0,(1-Summary!$B$55)*(Inputs!$B$19+((C578=TRUE)*(F578-Calc!F27))+Skills!P13+B592)+Summary!$B$55*(Inputs!$B$20+Skills!Q13+B592))/100)*(1+Inputs!$B$15/100)*(5000/(6000+Inputs!$B$7*(1-Inputs!$B$18/100)))*(1+(Inputs!$B$23+((C581=TRUE)*(F581-Calc!F30)))/100)*(1+Skills!R13/100)*(1+(IF(Skills!A13="SHOWDOWN",Inputs!$B$16+((C574=TRUE)*(F574-Calc!F23)),Inputs!$B$17+((C580=TRUE)*(F580-Calc!F29))))/100)*(((1+(((C572=TRUE)*F572*IF(AND(Inputs!$B$4&lt;&gt;"pvp",Inputs!$B$35&gt;0),(((S572-1)*(Skills!Y21*(1+Inputs!$B$33/100))+MIN((Skills!Y21*(1+Inputs!$B$33/100)),MAX(0,Inputs!$B$35-((S572-1)*Skills!D21))))/Inputs!$B$35),IF(Inputs!$B$4="pvp",MIN((Skills!Y21*(1+Inputs!$B$33/100)),15)/15,(Skills!Y21*(1+Inputs!$B$33/100))/Skills!D21)))+((C579=TRUE)*(F579-Calc!F28))+((C569=TRUE)*(F569-Calc!F18)))/100)*(1+((C566=TRUE)*F566*IF(AND(Inputs!$B$4&lt;&gt;"pvp",Inputs!$B$35&gt;0),(((S566-1)*(Skills!Y15*(1+Inputs!$B$33/100))+MIN((Skills!Y15*(1+Inputs!$B$33/100)),MAX(0,Inputs!$B$35-((S566-1)*Skills!D15))))/Inputs!$B$35),IF(Inputs!$B$4="pvp",MIN((Skills!Y15*(1+Inputs!$B$33/100)),15)/15,(Skills!Y15*(1+Inputs!$B$33/100))/Skills!D15)))/100)*(1+((C557=TRUE)*F557*B585)/100))*B593*I564)</f>
        <v/>
      </c>
      <c r="L564">
        <f>K564*(MIN(Inputs!$B$21+((C575=TRUE)*(F575-Calc!F24)),Inputs!$B$22)/100+Inputs!$B$22/100)/2</f>
        <v/>
      </c>
      <c r="M564">
        <f>L564*(1+((Inputs!$B$9+1)+((C577=TRUE)*(F577-Calc!F26))+B594)/100)</f>
        <v/>
      </c>
      <c r="N564">
        <f>L564*(1-MIN((Inputs!$B$8+((C576=TRUE)*(F576-Calc!F25))+B591),100)/100)+M564*(MIN((Inputs!$B$8+((C576=TRUE)*(F576-Calc!F25))+B591),100)/100)</f>
        <v/>
      </c>
      <c r="O564">
        <f>IF(C564,H564*N564*IF(AND(Inputs!$B$4&lt;&gt;"pvp",Inputs!$B$35&gt;0),((Skills!G13*((R564-1)*IF(Skills!H13&gt;0,Skills!I13/Skills!H13,1)+IF(Skills!H13&gt;0,MIN(Skills!I13,MAX(0,Inputs!$B$35-((R564-1)*IF(Inputs!$B$4="pvp",15,MAX(0.1,Skills!D13-IF(Skills!E13=TRUE,Inputs!$B$31,0))))))/Skills!H13,1)))/Inputs!$B$35),G564*Q564)*IF(Inputs!$B$4="pvp",1,(1-Summary!$B$55)*(1)+Summary!$B$55*(MIN(Skills!W13,Inputs!$B$37))),0)</f>
        <v/>
      </c>
      <c r="P564">
        <f>IF(B595=0,0,O564/B595)</f>
        <v/>
      </c>
      <c r="Q564">
        <f>IFERROR(1/IF(Inputs!$B$4="pvp",15,MAX(0.1,Skills!D13-IF(Skills!E13=TRUE,Inputs!$B$31,0))),0)</f>
        <v/>
      </c>
      <c r="R564">
        <f>IF(AND(Inputs!$B$4&lt;&gt;"pvp",Inputs!$B$35&gt;0),(INT(Inputs!$B$35/IF(Inputs!$B$4="pvp",15,MAX(0.1,Skills!D13-IF(Skills!E13=TRUE,Inputs!$B$31,0))))+1),0)</f>
        <v/>
      </c>
      <c r="S564">
        <f>IFERROR(O564/N564,0)</f>
        <v/>
      </c>
    </row>
    <row r="565">
      <c r="A565">
        <f>Skills!A14</f>
        <v/>
      </c>
      <c r="B565">
        <f>Skills!B14</f>
        <v/>
      </c>
      <c r="C565">
        <f>Inputs!$B$3&gt;=105</f>
        <v/>
      </c>
      <c r="D565">
        <f>IF(Skills!C14=1,60+Inputs!$B$24+Inputs!$B$28,IF(Skills!C14=2,90+Inputs!$B$25+Inputs!$B$28,IF(Skills!C14=3,120+Inputs!$B$26+Inputs!$B$28,MAX(0,(Inputs!$B$3-100)*3)+Inputs!$B$27+Inputs!$B$28)))</f>
        <v/>
      </c>
      <c r="E565">
        <f>INDEX(FactorTable!$B$2:$Y$301, MATCH(ROUND(MIN(300,MAX(1,D565)),0), FactorTable!$A$2:$A$301,0), Skills!M14+1)</f>
        <v/>
      </c>
      <c r="F565">
        <f>IF(Skills!N14=TRUE,(Skills!L14/10)*(E565/1000),Skills!L14/10)+Skills!O14</f>
        <v/>
      </c>
      <c r="G565">
        <f>Calc!G14</f>
        <v/>
      </c>
      <c r="H565">
        <f>Calc!H14</f>
        <v/>
      </c>
      <c r="I565">
        <f>IF(Skills!AA14&lt;&gt;"",1+(Skills!AA14/10)*(U554/1000)/100,1)</f>
        <v/>
      </c>
      <c r="J565">
        <f>(Inputs!$B$5*(1+Inputs!$B$6/100))*(F565/100)</f>
        <v/>
      </c>
      <c r="K565">
        <f>J565*(1+((Inputs!$B$11*(1+Inputs!$B$12/100))*0.01+Inputs!$B$13*0.0025)/100)*(1+Inputs!$B$14/100)*(1+IF(Inputs!$B$4="pvp",0,(1-Summary!$B$55)*(Inputs!$B$19+((C578=TRUE)*(F578-Calc!F27))+Skills!P14+B592)+Summary!$B$55*(Inputs!$B$20+Skills!Q14+B592))/100)*(1+Inputs!$B$15/100)*(5000/(6000+Inputs!$B$7*(1-Inputs!$B$18/100)))*(1+(Inputs!$B$23+((C581=TRUE)*(F581-Calc!F30)))/100)*(1+Skills!R14/100)*(1+(IF(Skills!A14="SHOWDOWN",Inputs!$B$16+((C574=TRUE)*(F574-Calc!F23)),Inputs!$B$17+((C580=TRUE)*(F580-Calc!F29))))/100)*(((1+(((C572=TRUE)*F572*IF(AND(Inputs!$B$4&lt;&gt;"pvp",Inputs!$B$35&gt;0),(((S572-1)*(Skills!Y21*(1+Inputs!$B$33/100))+MIN((Skills!Y21*(1+Inputs!$B$33/100)),MAX(0,Inputs!$B$35-((S572-1)*Skills!D21))))/Inputs!$B$35),IF(Inputs!$B$4="pvp",MIN((Skills!Y21*(1+Inputs!$B$33/100)),15)/15,(Skills!Y21*(1+Inputs!$B$33/100))/Skills!D21)))+((C579=TRUE)*(F579-Calc!F28))+((C569=TRUE)*(F569-Calc!F18)))/100)*(1+((C566=TRUE)*F566*IF(AND(Inputs!$B$4&lt;&gt;"pvp",Inputs!$B$35&gt;0),(((S566-1)*(Skills!Y15*(1+Inputs!$B$33/100))+MIN((Skills!Y15*(1+Inputs!$B$33/100)),MAX(0,Inputs!$B$35-((S566-1)*Skills!D15))))/Inputs!$B$35),IF(Inputs!$B$4="pvp",MIN((Skills!Y15*(1+Inputs!$B$33/100)),15)/15,(Skills!Y15*(1+Inputs!$B$33/100))/Skills!D15)))/100)*(1+((C557=TRUE)*F557*B585)/100))*B593*I565)</f>
        <v/>
      </c>
      <c r="L565">
        <f>K565*(MIN(Inputs!$B$21+((C575=TRUE)*(F575-Calc!F24)),Inputs!$B$22)/100+Inputs!$B$22/100)/2</f>
        <v/>
      </c>
      <c r="M565">
        <f>L565*(1+((Inputs!$B$9+1)+((C577=TRUE)*(F577-Calc!F26))+B594)/100)</f>
        <v/>
      </c>
      <c r="N565">
        <f>L565*(1-MIN((Inputs!$B$8+((C576=TRUE)*(F576-Calc!F25))+B591),100)/100)+M565*(MIN((Inputs!$B$8+((C576=TRUE)*(F576-Calc!F25))+B591),100)/100)</f>
        <v/>
      </c>
      <c r="O565">
        <f>IF(C565,H565*N565*IF(AND(Inputs!$B$4&lt;&gt;"pvp",Inputs!$B$35&gt;0),((Skills!G14*((R565-1)*IF(Skills!H14&gt;0,Skills!I14/Skills!H14,1)+IF(Skills!H14&gt;0,MIN(Skills!I14,MAX(0,Inputs!$B$35-((R565-1)*IF(Inputs!$B$4="pvp",15,MAX(0.1,Skills!D14-IF(Skills!E14=TRUE,Inputs!$B$31,0))))))/Skills!H14,1)))/Inputs!$B$35),G565*Q565)*IF(Inputs!$B$4="pvp",1,(1-Summary!$B$55)*(1)+Summary!$B$55*(MIN(Skills!W14,Inputs!$B$37))),0)</f>
        <v/>
      </c>
      <c r="P565">
        <f>IF(B595=0,0,O565/B595)</f>
        <v/>
      </c>
      <c r="Q565">
        <f>IFERROR(1/IF(Inputs!$B$4="pvp",15,MAX(0.1,Skills!D14-IF(Skills!E14=TRUE,Inputs!$B$31,0))),0)</f>
        <v/>
      </c>
      <c r="R565">
        <f>IF(AND(Inputs!$B$4&lt;&gt;"pvp",Inputs!$B$35&gt;0),(INT(Inputs!$B$35/IF(Inputs!$B$4="pvp",15,MAX(0.1,Skills!D14-IF(Skills!E14=TRUE,Inputs!$B$31,0))))+1),0)</f>
        <v/>
      </c>
      <c r="S565">
        <f>IFERROR(O565/N565,0)</f>
        <v/>
      </c>
    </row>
    <row r="566">
      <c r="A566">
        <f>Skills!A15</f>
        <v/>
      </c>
      <c r="B566">
        <f>Skills!B15</f>
        <v/>
      </c>
      <c r="C566">
        <f>Inputs!$B$3&gt;=110</f>
        <v/>
      </c>
      <c r="D566">
        <f>IF(Skills!C15=1,60+Inputs!$B$24+Inputs!$B$28,IF(Skills!C15=2,90+Inputs!$B$25+Inputs!$B$28,IF(Skills!C15=3,120+Inputs!$B$26+Inputs!$B$28,MAX(0,(Inputs!$B$3-100)*3)+Inputs!$B$27+Inputs!$B$28)))</f>
        <v/>
      </c>
      <c r="E566">
        <f>INDEX(FactorTable!$B$2:$Y$301, MATCH(ROUND(MIN(300,MAX(1,D566)),0), FactorTable!$A$2:$A$301,0), Skills!M15+1)</f>
        <v/>
      </c>
      <c r="F566">
        <f>IF(Skills!N15=TRUE,(Skills!L15/10)*(E566/1000),Skills!L15/10)+Skills!O15</f>
        <v/>
      </c>
      <c r="G566">
        <f>Calc!G15</f>
        <v/>
      </c>
      <c r="H566">
        <f>Calc!H15</f>
        <v/>
      </c>
      <c r="I566">
        <f>IF(Skills!AA15&lt;&gt;"",1+(Skills!AA15/10)*(U554/1000)/100,1)</f>
        <v/>
      </c>
      <c r="J566" t="inlineStr"/>
      <c r="K566" t="inlineStr"/>
      <c r="L566" t="inlineStr"/>
      <c r="M566" t="inlineStr"/>
      <c r="N566" t="inlineStr"/>
      <c r="O566" t="n">
        <v>0</v>
      </c>
      <c r="P566">
        <f>IF(B595=0,0,O566/B595)</f>
        <v/>
      </c>
      <c r="Q566">
        <f>IFERROR(1/IF(Inputs!$B$4="pvp",15,MAX(0.1,Skills!D15-IF(Skills!E15=TRUE,Inputs!$B$31,0))),0)</f>
        <v/>
      </c>
      <c r="R566">
        <f>IF(AND(Inputs!$B$4&lt;&gt;"pvp",Inputs!$B$35&gt;0),(INT(Inputs!$B$35/IF(Inputs!$B$4="pvp",15,MAX(0.1,Skills!D15-IF(Skills!E15=TRUE,Inputs!$B$31,0))))+1),0)</f>
        <v/>
      </c>
      <c r="S566">
        <f>IFERROR(O566/N566,0)</f>
        <v/>
      </c>
    </row>
    <row r="567">
      <c r="A567">
        <f>Skills!A16</f>
        <v/>
      </c>
      <c r="B567">
        <f>Skills!B16</f>
        <v/>
      </c>
      <c r="C567">
        <f>Inputs!$B$3&gt;=110</f>
        <v/>
      </c>
      <c r="D567">
        <f>IF(Skills!C16=1,60+Inputs!$B$24+Inputs!$B$28,IF(Skills!C16=2,90+Inputs!$B$25+Inputs!$B$28,IF(Skills!C16=3,120+Inputs!$B$26+Inputs!$B$28,MAX(0,(Inputs!$B$3-100)*3)+Inputs!$B$27+Inputs!$B$28)))</f>
        <v/>
      </c>
      <c r="E567">
        <f>INDEX(FactorTable!$B$2:$Y$301, MATCH(ROUND(MIN(300,MAX(1,D567)),0), FactorTable!$A$2:$A$301,0), Skills!M16+1)</f>
        <v/>
      </c>
      <c r="F567">
        <f>IF(Skills!N16=TRUE,(Skills!L16/10)*(E567/1000),Skills!L16/10)+Skills!O16</f>
        <v/>
      </c>
      <c r="G567">
        <f>Calc!G16</f>
        <v/>
      </c>
      <c r="H567">
        <f>Calc!H16</f>
        <v/>
      </c>
      <c r="I567">
        <f>IF(Skills!AA16&lt;&gt;"",1+(Skills!AA16/10)*(U554/1000)/100,1)</f>
        <v/>
      </c>
      <c r="J567" t="inlineStr"/>
      <c r="K567" t="inlineStr"/>
      <c r="L567" t="inlineStr"/>
      <c r="M567" t="inlineStr"/>
      <c r="N567" t="inlineStr"/>
      <c r="O567" t="n">
        <v>0</v>
      </c>
      <c r="P567">
        <f>IF(B595=0,0,O567/B595)</f>
        <v/>
      </c>
      <c r="Q567">
        <f>IFERROR(1/IF(Inputs!$B$4="pvp",15,MAX(0.1,Skills!D16-IF(Skills!E16=TRUE,Inputs!$B$31,0))),0)</f>
        <v/>
      </c>
      <c r="R567">
        <f>IF(AND(Inputs!$B$4&lt;&gt;"pvp",Inputs!$B$35&gt;0),(INT(Inputs!$B$35/IF(Inputs!$B$4="pvp",15,MAX(0.1,Skills!D16-IF(Skills!E16=TRUE,Inputs!$B$31,0))))+1),0)</f>
        <v/>
      </c>
      <c r="S567">
        <f>IFERROR(O567/N567,0)</f>
        <v/>
      </c>
    </row>
    <row r="568">
      <c r="A568">
        <f>Skills!A17</f>
        <v/>
      </c>
      <c r="B568">
        <f>Skills!B17</f>
        <v/>
      </c>
      <c r="C568">
        <f>Inputs!$B$3&gt;=115</f>
        <v/>
      </c>
      <c r="D568">
        <f>IF(Skills!C17=1,60+Inputs!$B$24+Inputs!$B$28,IF(Skills!C17=2,90+Inputs!$B$25+Inputs!$B$28,IF(Skills!C17=3,120+Inputs!$B$26+Inputs!$B$28,MAX(0,(Inputs!$B$3-100)*3)+Inputs!$B$27+Inputs!$B$28)))</f>
        <v/>
      </c>
      <c r="E568">
        <f>INDEX(FactorTable!$B$2:$Y$301, MATCH(ROUND(MIN(300,MAX(1,D568)),0), FactorTable!$A$2:$A$301,0), Skills!M17+1)</f>
        <v/>
      </c>
      <c r="F568">
        <f>IF(Skills!N17=TRUE,(Skills!L17/10)*(E568/1000),Skills!L17/10)+Skills!O17</f>
        <v/>
      </c>
      <c r="G568">
        <f>Calc!G17</f>
        <v/>
      </c>
      <c r="H568">
        <f>Calc!H17</f>
        <v/>
      </c>
      <c r="I568">
        <f>IF(Skills!AA17&lt;&gt;"",1+(Skills!AA17/10)*(U554/1000)/100,1)</f>
        <v/>
      </c>
      <c r="J568">
        <f>(Inputs!$B$5*(1+Inputs!$B$6/100))*(F568/100)</f>
        <v/>
      </c>
      <c r="K568">
        <f>J568*(1+((Inputs!$B$11*(1+Inputs!$B$12/100))*0.01+Inputs!$B$13*0.0025)/100)*(1+Inputs!$B$14/100)*(1+IF(Inputs!$B$4="pvp",0,(1-Summary!$B$55)*(Inputs!$B$19+((C578=TRUE)*(F578-Calc!F27))+Skills!P17+B592)+Summary!$B$55*(Inputs!$B$20+Skills!Q17+B592))/100)*(1+Inputs!$B$15/100)*(5000/(6000+Inputs!$B$7*(1-Inputs!$B$18/100)))*(1+(Inputs!$B$23+((C581=TRUE)*(F581-Calc!F30)))/100)*(1+Skills!R17/100)*(1+(IF(Skills!A17="SHOWDOWN",Inputs!$B$16+((C574=TRUE)*(F574-Calc!F23)),Inputs!$B$17+((C580=TRUE)*(F580-Calc!F29))))/100)*(((1+(((C572=TRUE)*F572*IF(AND(Inputs!$B$4&lt;&gt;"pvp",Inputs!$B$35&gt;0),(((S572-1)*(Skills!Y21*(1+Inputs!$B$33/100))+MIN((Skills!Y21*(1+Inputs!$B$33/100)),MAX(0,Inputs!$B$35-((S572-1)*Skills!D21))))/Inputs!$B$35),IF(Inputs!$B$4="pvp",MIN((Skills!Y21*(1+Inputs!$B$33/100)),15)/15,(Skills!Y21*(1+Inputs!$B$33/100))/Skills!D21)))+((C579=TRUE)*(F579-Calc!F28))+((C569=TRUE)*(F569-Calc!F18)))/100)*(1+((C566=TRUE)*F566*IF(AND(Inputs!$B$4&lt;&gt;"pvp",Inputs!$B$35&gt;0),(((S566-1)*(Skills!Y15*(1+Inputs!$B$33/100))+MIN((Skills!Y15*(1+Inputs!$B$33/100)),MAX(0,Inputs!$B$35-((S566-1)*Skills!D15))))/Inputs!$B$35),IF(Inputs!$B$4="pvp",MIN((Skills!Y15*(1+Inputs!$B$33/100)),15)/15,(Skills!Y15*(1+Inputs!$B$33/100))/Skills!D15)))/100)*(1+((C557=TRUE)*F557*B585)/100))*B593*I568)</f>
        <v/>
      </c>
      <c r="L568">
        <f>K568*(MIN(Inputs!$B$21+((C575=TRUE)*(F575-Calc!F24)),Inputs!$B$22)/100+Inputs!$B$22/100)/2</f>
        <v/>
      </c>
      <c r="M568">
        <f>L568*(1+((Inputs!$B$9+1)+((C577=TRUE)*(F577-Calc!F26))+B594)/100)</f>
        <v/>
      </c>
      <c r="N568">
        <f>L568*(1-MIN((Inputs!$B$8+((C576=TRUE)*(F576-Calc!F25))+B591),100)/100)+M568*(MIN((Inputs!$B$8+((C576=TRUE)*(F576-Calc!F25))+B591),100)/100)</f>
        <v/>
      </c>
      <c r="O568">
        <f>IF(C568,Inputs!$B$38*0.2*N568,0)</f>
        <v/>
      </c>
      <c r="P568">
        <f>IF(B595=0,0,O568/B595)</f>
        <v/>
      </c>
      <c r="Q568" t="n">
        <v>0</v>
      </c>
      <c r="R568" t="n">
        <v>0</v>
      </c>
      <c r="S568">
        <f>IFERROR(O568/N568,0)</f>
        <v/>
      </c>
    </row>
    <row r="569">
      <c r="A569">
        <f>Skills!A18</f>
        <v/>
      </c>
      <c r="B569">
        <f>Skills!B18</f>
        <v/>
      </c>
      <c r="C569">
        <f>Inputs!$B$3&gt;=115</f>
        <v/>
      </c>
      <c r="D569">
        <f>IF(Skills!C18=1,60+Inputs!$B$24+Inputs!$B$28,IF(Skills!C18=2,90+Inputs!$B$25+Inputs!$B$28,IF(Skills!C18=3,120+Inputs!$B$26+Inputs!$B$28,MAX(0,(Inputs!$B$3-100)*3)+Inputs!$B$27+Inputs!$B$28)))</f>
        <v/>
      </c>
      <c r="E569">
        <f>INDEX(FactorTable!$B$2:$Y$301, MATCH(ROUND(MIN(300,MAX(1,D569)),0), FactorTable!$A$2:$A$301,0), Skills!M18+1)</f>
        <v/>
      </c>
      <c r="F569">
        <f>IF(Skills!N18=TRUE,(Skills!L18/10)*(E569/1000),Skills!L18/10)+Skills!O18</f>
        <v/>
      </c>
      <c r="G569">
        <f>Calc!G18</f>
        <v/>
      </c>
      <c r="H569">
        <f>Calc!H18</f>
        <v/>
      </c>
      <c r="I569">
        <f>IF(Skills!AA18&lt;&gt;"",1+(Skills!AA18/10)*(U554/1000)/100,1)</f>
        <v/>
      </c>
      <c r="J569" t="inlineStr"/>
      <c r="K569" t="inlineStr"/>
      <c r="L569" t="inlineStr"/>
      <c r="M569" t="inlineStr"/>
      <c r="N569" t="inlineStr"/>
      <c r="O569" t="n">
        <v>0</v>
      </c>
      <c r="P569">
        <f>IF(B595=0,0,O569/B595)</f>
        <v/>
      </c>
      <c r="Q569" t="n">
        <v>0</v>
      </c>
      <c r="R569" t="n">
        <v>0</v>
      </c>
      <c r="S569">
        <f>IFERROR(O569/N569,0)</f>
        <v/>
      </c>
    </row>
    <row r="570">
      <c r="A570">
        <f>Skills!A19</f>
        <v/>
      </c>
      <c r="B570">
        <f>Skills!B19</f>
        <v/>
      </c>
      <c r="C570">
        <f>TRUE</f>
        <v/>
      </c>
      <c r="D570">
        <f>IF(Skills!C19=1,60+Inputs!$B$24+Inputs!$B$28,IF(Skills!C19=2,90+Inputs!$B$25+Inputs!$B$28,IF(Skills!C19=3,120+Inputs!$B$26+Inputs!$B$28,MAX(0,(Inputs!$B$3-100)*3)+Inputs!$B$27+Inputs!$B$28)))</f>
        <v/>
      </c>
      <c r="E570">
        <f>INDEX(FactorTable!$B$2:$Y$301, MATCH(ROUND(MIN(300,MAX(1,D570)),0), FactorTable!$A$2:$A$301,0), Skills!M19+1)</f>
        <v/>
      </c>
      <c r="F570">
        <f>IF(Skills!N19=TRUE,(Skills!L19/10)*(E570/1000),Skills!L19/10)+Skills!O19</f>
        <v/>
      </c>
      <c r="G570">
        <f>Calc!G19</f>
        <v/>
      </c>
      <c r="H570">
        <f>Calc!H19</f>
        <v/>
      </c>
      <c r="I570">
        <f>IF(Skills!AA19&lt;&gt;"",1+(Skills!AA19/10)*(U554/1000)/100,1)</f>
        <v/>
      </c>
      <c r="J570" t="inlineStr"/>
      <c r="K570" t="inlineStr"/>
      <c r="L570" t="inlineStr"/>
      <c r="M570" t="inlineStr"/>
      <c r="N570" t="inlineStr"/>
      <c r="O570" t="n">
        <v>0</v>
      </c>
      <c r="P570">
        <f>IF(B595=0,0,O570/B595)</f>
        <v/>
      </c>
      <c r="Q570">
        <f>IFERROR(1/IF(Inputs!$B$4="pvp",15,MAX(0.1,Skills!D19-IF(Skills!E19=TRUE,Inputs!$B$31,0))),0)</f>
        <v/>
      </c>
      <c r="R570">
        <f>IF(AND(Inputs!$B$4&lt;&gt;"pvp",Inputs!$B$35&gt;0),(INT(Inputs!$B$35/IF(Inputs!$B$4="pvp",15,MAX(0.1,Skills!D19-IF(Skills!E19=TRUE,Inputs!$B$31,0))))+1),0)</f>
        <v/>
      </c>
      <c r="S570">
        <f>IFERROR(O570/N570,0)</f>
        <v/>
      </c>
    </row>
    <row r="571">
      <c r="A571">
        <f>Skills!A20</f>
        <v/>
      </c>
      <c r="B571">
        <f>Skills!B20</f>
        <v/>
      </c>
      <c r="C571">
        <f>Inputs!$B$3&gt;=15</f>
        <v/>
      </c>
      <c r="D571">
        <f>IF(Skills!C20=1,60+Inputs!$B$24+Inputs!$B$28,IF(Skills!C20=2,90+Inputs!$B$25+Inputs!$B$28,IF(Skills!C20=3,120+Inputs!$B$26+Inputs!$B$28,MAX(0,(Inputs!$B$3-100)*3)+Inputs!$B$27+Inputs!$B$28)))</f>
        <v/>
      </c>
      <c r="E571">
        <f>INDEX(FactorTable!$B$2:$Y$301, MATCH(ROUND(MIN(300,MAX(1,D571)),0), FactorTable!$A$2:$A$301,0), Skills!M20+1)</f>
        <v/>
      </c>
      <c r="F571">
        <f>IF(Skills!N20=TRUE,(Skills!L20/10)*(E571/1000),Skills!L20/10)+Skills!O20</f>
        <v/>
      </c>
      <c r="G571">
        <f>Calc!G20</f>
        <v/>
      </c>
      <c r="H571">
        <f>Calc!H20</f>
        <v/>
      </c>
      <c r="I571">
        <f>IF(Skills!AA20&lt;&gt;"",1+(Skills!AA20/10)*(U554/1000)/100,1)</f>
        <v/>
      </c>
      <c r="J571" t="inlineStr"/>
      <c r="K571" t="inlineStr"/>
      <c r="L571" t="inlineStr"/>
      <c r="M571" t="inlineStr"/>
      <c r="N571" t="inlineStr"/>
      <c r="O571" t="n">
        <v>0</v>
      </c>
      <c r="P571">
        <f>IF(B595=0,0,O571/B595)</f>
        <v/>
      </c>
      <c r="Q571">
        <f>IFERROR(1/IF(Inputs!$B$4="pvp",15,MAX(0.1,Skills!D20-IF(Skills!E20=TRUE,Inputs!$B$31,0))),0)</f>
        <v/>
      </c>
      <c r="R571">
        <f>IF(AND(Inputs!$B$4&lt;&gt;"pvp",Inputs!$B$35&gt;0),(INT(Inputs!$B$35/IF(Inputs!$B$4="pvp",15,MAX(0.1,Skills!D20-IF(Skills!E20=TRUE,Inputs!$B$31,0))))+1),0)</f>
        <v/>
      </c>
      <c r="S571">
        <f>IFERROR(O571/N571,0)</f>
        <v/>
      </c>
    </row>
    <row r="572">
      <c r="A572">
        <f>Skills!A21</f>
        <v/>
      </c>
      <c r="B572">
        <f>Skills!B21</f>
        <v/>
      </c>
      <c r="C572">
        <f>Inputs!$B$3&gt;=15</f>
        <v/>
      </c>
      <c r="D572">
        <f>IF(Skills!C21=1,60+Inputs!$B$24+Inputs!$B$28,IF(Skills!C21=2,90+Inputs!$B$25+Inputs!$B$28,IF(Skills!C21=3,120+Inputs!$B$26+Inputs!$B$28,MAX(0,(Inputs!$B$3-100)*3)+Inputs!$B$27+Inputs!$B$28)))</f>
        <v/>
      </c>
      <c r="E572">
        <f>INDEX(FactorTable!$B$2:$Y$301, MATCH(ROUND(MIN(300,MAX(1,D572)),0), FactorTable!$A$2:$A$301,0), Skills!M21+1)</f>
        <v/>
      </c>
      <c r="F572">
        <f>IF(Skills!N21=TRUE,(Skills!L21/10)*(E572/1000),Skills!L21/10)+Skills!O21</f>
        <v/>
      </c>
      <c r="G572">
        <f>Calc!G21</f>
        <v/>
      </c>
      <c r="H572">
        <f>Calc!H21</f>
        <v/>
      </c>
      <c r="I572">
        <f>IF(Skills!AA21&lt;&gt;"",1+(Skills!AA21/10)*(U554/1000)/100,1)</f>
        <v/>
      </c>
      <c r="J572" t="inlineStr"/>
      <c r="K572" t="inlineStr"/>
      <c r="L572" t="inlineStr"/>
      <c r="M572" t="inlineStr"/>
      <c r="N572" t="inlineStr"/>
      <c r="O572" t="n">
        <v>0</v>
      </c>
      <c r="P572">
        <f>IF(B595=0,0,O572/B595)</f>
        <v/>
      </c>
      <c r="Q572">
        <f>IFERROR(1/IF(Inputs!$B$4="pvp",15,MAX(0.1,Skills!D21-IF(Skills!E21=TRUE,Inputs!$B$31,0))),0)</f>
        <v/>
      </c>
      <c r="R572">
        <f>IF(AND(Inputs!$B$4&lt;&gt;"pvp",Inputs!$B$35&gt;0),(INT(Inputs!$B$35/IF(Inputs!$B$4="pvp",15,MAX(0.1,Skills!D21-IF(Skills!E21=TRUE,Inputs!$B$31,0))))+1),0)</f>
        <v/>
      </c>
      <c r="S572">
        <f>IFERROR(O572/N572,0)</f>
        <v/>
      </c>
    </row>
    <row r="573">
      <c r="A573">
        <f>Skills!A22</f>
        <v/>
      </c>
      <c r="B573">
        <f>Skills!B22</f>
        <v/>
      </c>
      <c r="C573">
        <f>Inputs!$B$3&gt;=33</f>
        <v/>
      </c>
      <c r="D573">
        <f>IF(Skills!C22=1,60+Inputs!$B$24+Inputs!$B$28,IF(Skills!C22=2,90+Inputs!$B$25+Inputs!$B$28,IF(Skills!C22=3,120+Inputs!$B$26+Inputs!$B$28,MAX(0,(Inputs!$B$3-100)*3)+Inputs!$B$27+Inputs!$B$28)))</f>
        <v/>
      </c>
      <c r="E573">
        <f>INDEX(FactorTable!$B$2:$Y$301, MATCH(ROUND(MIN(300,MAX(1,D573)),0), FactorTable!$A$2:$A$301,0), Skills!M22+1)</f>
        <v/>
      </c>
      <c r="F573">
        <f>IF(Skills!N22=TRUE,(Skills!L22/10)*(E573/1000),Skills!L22/10)+Skills!O22</f>
        <v/>
      </c>
      <c r="G573">
        <f>Calc!G22</f>
        <v/>
      </c>
      <c r="H573">
        <f>Calc!H22</f>
        <v/>
      </c>
      <c r="I573">
        <f>IF(Skills!AA22&lt;&gt;"",1+(Skills!AA22/10)*(U554/1000)/100,1)</f>
        <v/>
      </c>
      <c r="J573" t="inlineStr"/>
      <c r="K573" t="inlineStr"/>
      <c r="L573" t="inlineStr"/>
      <c r="M573" t="inlineStr"/>
      <c r="N573" t="inlineStr"/>
      <c r="O573" t="n">
        <v>0</v>
      </c>
      <c r="P573">
        <f>IF(B595=0,0,O573/B595)</f>
        <v/>
      </c>
      <c r="Q573" t="n">
        <v>0</v>
      </c>
      <c r="R573" t="n">
        <v>0</v>
      </c>
      <c r="S573">
        <f>IFERROR(O573/N573,0)</f>
        <v/>
      </c>
    </row>
    <row r="574">
      <c r="A574">
        <f>Skills!A23</f>
        <v/>
      </c>
      <c r="B574">
        <f>Skills!B23</f>
        <v/>
      </c>
      <c r="C574">
        <f>Inputs!$B$3&gt;=38</f>
        <v/>
      </c>
      <c r="D574">
        <f>IF(Skills!C23=1,60+Inputs!$B$24+Inputs!$B$28,IF(Skills!C23=2,90+Inputs!$B$25+Inputs!$B$28,IF(Skills!C23=3,120+Inputs!$B$26+Inputs!$B$28,MAX(0,(Inputs!$B$3-100)*3)+Inputs!$B$27+Inputs!$B$28)))</f>
        <v/>
      </c>
      <c r="E574">
        <f>INDEX(FactorTable!$B$2:$Y$301, MATCH(ROUND(MIN(300,MAX(1,D574)),0), FactorTable!$A$2:$A$301,0), Skills!M23+1)</f>
        <v/>
      </c>
      <c r="F574">
        <f>IF(Skills!N23=TRUE,(Skills!L23/10)*(E574/1000),Skills!L23/10)+Skills!O23</f>
        <v/>
      </c>
      <c r="G574">
        <f>Calc!G23</f>
        <v/>
      </c>
      <c r="H574">
        <f>Calc!H23</f>
        <v/>
      </c>
      <c r="I574">
        <f>IF(Skills!AA23&lt;&gt;"",1+(Skills!AA23/10)*(U554/1000)/100,1)</f>
        <v/>
      </c>
      <c r="J574" t="inlineStr"/>
      <c r="K574" t="inlineStr"/>
      <c r="L574" t="inlineStr"/>
      <c r="M574" t="inlineStr"/>
      <c r="N574" t="inlineStr"/>
      <c r="O574" t="n">
        <v>0</v>
      </c>
      <c r="P574">
        <f>IF(B595=0,0,O574/B595)</f>
        <v/>
      </c>
      <c r="Q574" t="n">
        <v>0</v>
      </c>
      <c r="R574" t="n">
        <v>0</v>
      </c>
      <c r="S574">
        <f>IFERROR(O574/N574,0)</f>
        <v/>
      </c>
    </row>
    <row r="575">
      <c r="A575">
        <f>Skills!A24</f>
        <v/>
      </c>
      <c r="B575">
        <f>Skills!B24</f>
        <v/>
      </c>
      <c r="C575">
        <f>Inputs!$B$3&gt;=40</f>
        <v/>
      </c>
      <c r="D575">
        <f>IF(Skills!C24=1,60+Inputs!$B$24+Inputs!$B$28,IF(Skills!C24=2,90+Inputs!$B$25+Inputs!$B$28,IF(Skills!C24=3,120+Inputs!$B$26+Inputs!$B$28,MAX(0,(Inputs!$B$3-100)*3)+Inputs!$B$27+Inputs!$B$28)))</f>
        <v/>
      </c>
      <c r="E575">
        <f>INDEX(FactorTable!$B$2:$Y$301, MATCH(ROUND(MIN(300,MAX(1,D575)),0), FactorTable!$A$2:$A$301,0), Skills!M24+1)</f>
        <v/>
      </c>
      <c r="F575">
        <f>IF(Skills!N24=TRUE,(Skills!L24/10)*(E575/1000),Skills!L24/10)+Skills!O24</f>
        <v/>
      </c>
      <c r="G575">
        <f>Calc!G24</f>
        <v/>
      </c>
      <c r="H575">
        <f>Calc!H24</f>
        <v/>
      </c>
      <c r="I575">
        <f>IF(Skills!AA24&lt;&gt;"",1+(Skills!AA24/10)*(U554/1000)/100,1)</f>
        <v/>
      </c>
      <c r="J575" t="inlineStr"/>
      <c r="K575" t="inlineStr"/>
      <c r="L575" t="inlineStr"/>
      <c r="M575" t="inlineStr"/>
      <c r="N575" t="inlineStr"/>
      <c r="O575" t="n">
        <v>0</v>
      </c>
      <c r="P575">
        <f>IF(B595=0,0,O575/B595)</f>
        <v/>
      </c>
      <c r="Q575" t="n">
        <v>0</v>
      </c>
      <c r="R575" t="n">
        <v>0</v>
      </c>
      <c r="S575">
        <f>IFERROR(O575/N575,0)</f>
        <v/>
      </c>
    </row>
    <row r="576">
      <c r="A576">
        <f>Skills!A25</f>
        <v/>
      </c>
      <c r="B576">
        <f>Skills!B25</f>
        <v/>
      </c>
      <c r="C576">
        <f>Inputs!$B$3&gt;=45</f>
        <v/>
      </c>
      <c r="D576">
        <f>IF(Skills!C25=1,60+Inputs!$B$24+Inputs!$B$28,IF(Skills!C25=2,90+Inputs!$B$25+Inputs!$B$28,IF(Skills!C25=3,120+Inputs!$B$26+Inputs!$B$28,MAX(0,(Inputs!$B$3-100)*3)+Inputs!$B$27+Inputs!$B$28)))</f>
        <v/>
      </c>
      <c r="E576">
        <f>INDEX(FactorTable!$B$2:$Y$301, MATCH(ROUND(MIN(300,MAX(1,D576)),0), FactorTable!$A$2:$A$301,0), Skills!M25+1)</f>
        <v/>
      </c>
      <c r="F576">
        <f>IF(Skills!N25=TRUE,(Skills!L25/10)*(E576/1000),Skills!L25/10)+Skills!O25</f>
        <v/>
      </c>
      <c r="G576">
        <f>Calc!G25</f>
        <v/>
      </c>
      <c r="H576">
        <f>Calc!H25</f>
        <v/>
      </c>
      <c r="I576">
        <f>IF(Skills!AA25&lt;&gt;"",1+(Skills!AA25/10)*(U554/1000)/100,1)</f>
        <v/>
      </c>
      <c r="J576" t="inlineStr"/>
      <c r="K576" t="inlineStr"/>
      <c r="L576" t="inlineStr"/>
      <c r="M576" t="inlineStr"/>
      <c r="N576" t="inlineStr"/>
      <c r="O576" t="n">
        <v>0</v>
      </c>
      <c r="P576">
        <f>IF(B595=0,0,O576/B595)</f>
        <v/>
      </c>
      <c r="Q576" t="n">
        <v>0</v>
      </c>
      <c r="R576" t="n">
        <v>0</v>
      </c>
      <c r="S576">
        <f>IFERROR(O576/N576,0)</f>
        <v/>
      </c>
    </row>
    <row r="577">
      <c r="A577">
        <f>Skills!A26</f>
        <v/>
      </c>
      <c r="B577">
        <f>Skills!B26</f>
        <v/>
      </c>
      <c r="C577">
        <f>Inputs!$B$3&gt;=45</f>
        <v/>
      </c>
      <c r="D577">
        <f>IF(Skills!C26=1,60+Inputs!$B$24+Inputs!$B$28,IF(Skills!C26=2,90+Inputs!$B$25+Inputs!$B$28,IF(Skills!C26=3,120+Inputs!$B$26+Inputs!$B$28,MAX(0,(Inputs!$B$3-100)*3)+Inputs!$B$27+Inputs!$B$28)))</f>
        <v/>
      </c>
      <c r="E577">
        <f>INDEX(FactorTable!$B$2:$Y$301, MATCH(ROUND(MIN(300,MAX(1,D577)),0), FactorTable!$A$2:$A$301,0), Skills!M26+1)</f>
        <v/>
      </c>
      <c r="F577">
        <f>IF(Skills!N26=TRUE,(Skills!L26/10)*(E577/1000),Skills!L26/10)+Skills!O26</f>
        <v/>
      </c>
      <c r="G577">
        <f>Calc!G26</f>
        <v/>
      </c>
      <c r="H577">
        <f>Calc!H26</f>
        <v/>
      </c>
      <c r="I577">
        <f>IF(Skills!AA26&lt;&gt;"",1+(Skills!AA26/10)*(U554/1000)/100,1)</f>
        <v/>
      </c>
      <c r="J577" t="inlineStr"/>
      <c r="K577" t="inlineStr"/>
      <c r="L577" t="inlineStr"/>
      <c r="M577" t="inlineStr"/>
      <c r="N577" t="inlineStr"/>
      <c r="O577" t="n">
        <v>0</v>
      </c>
      <c r="P577">
        <f>IF(B595=0,0,O577/B595)</f>
        <v/>
      </c>
      <c r="Q577" t="n">
        <v>0</v>
      </c>
      <c r="R577" t="n">
        <v>0</v>
      </c>
      <c r="S577">
        <f>IFERROR(O577/N577,0)</f>
        <v/>
      </c>
    </row>
    <row r="578">
      <c r="A578">
        <f>Skills!A27</f>
        <v/>
      </c>
      <c r="B578">
        <f>Skills!B27</f>
        <v/>
      </c>
      <c r="C578">
        <f>Inputs!$B$3&gt;=72</f>
        <v/>
      </c>
      <c r="D578">
        <f>IF(Skills!C27=1,60+Inputs!$B$24+Inputs!$B$28,IF(Skills!C27=2,90+Inputs!$B$25+Inputs!$B$28,IF(Skills!C27=3,120+Inputs!$B$26+Inputs!$B$28,MAX(0,(Inputs!$B$3-100)*3)+Inputs!$B$27+Inputs!$B$28)))</f>
        <v/>
      </c>
      <c r="E578">
        <f>INDEX(FactorTable!$B$2:$Y$301, MATCH(ROUND(MIN(300,MAX(1,D578)),0), FactorTable!$A$2:$A$301,0), Skills!M27+1)</f>
        <v/>
      </c>
      <c r="F578">
        <f>IF(Skills!N27=TRUE,(Skills!L27/10)*(E578/1000),Skills!L27/10)+Skills!O27</f>
        <v/>
      </c>
      <c r="G578">
        <f>Calc!G27</f>
        <v/>
      </c>
      <c r="H578">
        <f>Calc!H27</f>
        <v/>
      </c>
      <c r="I578">
        <f>IF(Skills!AA27&lt;&gt;"",1+(Skills!AA27/10)*(U554/1000)/100,1)</f>
        <v/>
      </c>
      <c r="J578" t="inlineStr"/>
      <c r="K578" t="inlineStr"/>
      <c r="L578" t="inlineStr"/>
      <c r="M578" t="inlineStr"/>
      <c r="N578" t="inlineStr"/>
      <c r="O578" t="n">
        <v>0</v>
      </c>
      <c r="P578">
        <f>IF(B595=0,0,O578/B595)</f>
        <v/>
      </c>
      <c r="Q578" t="n">
        <v>0</v>
      </c>
      <c r="R578" t="n">
        <v>0</v>
      </c>
      <c r="S578">
        <f>IFERROR(O578/N578,0)</f>
        <v/>
      </c>
    </row>
    <row r="579">
      <c r="A579">
        <f>Skills!A28</f>
        <v/>
      </c>
      <c r="B579">
        <f>Skills!B28</f>
        <v/>
      </c>
      <c r="C579">
        <f>Inputs!$B$3&gt;=75</f>
        <v/>
      </c>
      <c r="D579">
        <f>IF(Skills!C28=1,60+Inputs!$B$24+Inputs!$B$28,IF(Skills!C28=2,90+Inputs!$B$25+Inputs!$B$28,IF(Skills!C28=3,120+Inputs!$B$26+Inputs!$B$28,MAX(0,(Inputs!$B$3-100)*3)+Inputs!$B$27+Inputs!$B$28)))</f>
        <v/>
      </c>
      <c r="E579">
        <f>INDEX(FactorTable!$B$2:$Y$301, MATCH(ROUND(MIN(300,MAX(1,D579)),0), FactorTable!$A$2:$A$301,0), Skills!M28+1)</f>
        <v/>
      </c>
      <c r="F579">
        <f>IF(Skills!N28=TRUE,(Skills!L28/10)*(E579/1000),Skills!L28/10)+Skills!O28</f>
        <v/>
      </c>
      <c r="G579">
        <f>Calc!G28</f>
        <v/>
      </c>
      <c r="H579">
        <f>Calc!H28</f>
        <v/>
      </c>
      <c r="I579">
        <f>IF(Skills!AA28&lt;&gt;"",1+(Skills!AA28/10)*(U554/1000)/100,1)</f>
        <v/>
      </c>
      <c r="J579" t="inlineStr"/>
      <c r="K579" t="inlineStr"/>
      <c r="L579" t="inlineStr"/>
      <c r="M579" t="inlineStr"/>
      <c r="N579" t="inlineStr"/>
      <c r="O579" t="n">
        <v>0</v>
      </c>
      <c r="P579">
        <f>IF(B595=0,0,O579/B595)</f>
        <v/>
      </c>
      <c r="Q579" t="n">
        <v>0</v>
      </c>
      <c r="R579" t="n">
        <v>0</v>
      </c>
      <c r="S579">
        <f>IFERROR(O579/N579,0)</f>
        <v/>
      </c>
    </row>
    <row r="580">
      <c r="A580">
        <f>Skills!A29</f>
        <v/>
      </c>
      <c r="B580">
        <f>Skills!B29</f>
        <v/>
      </c>
      <c r="C580">
        <f>Inputs!$B$3&gt;=120</f>
        <v/>
      </c>
      <c r="D580">
        <f>IF(Skills!C29=1,60+Inputs!$B$24+Inputs!$B$28,IF(Skills!C29=2,90+Inputs!$B$25+Inputs!$B$28,IF(Skills!C29=3,120+Inputs!$B$26+Inputs!$B$28,MAX(0,(Inputs!$B$3-100)*3)+Inputs!$B$27+Inputs!$B$28)))</f>
        <v/>
      </c>
      <c r="E580">
        <f>INDEX(FactorTable!$B$2:$Y$301, MATCH(ROUND(MIN(300,MAX(1,D580)),0), FactorTable!$A$2:$A$301,0), Skills!M29+1)</f>
        <v/>
      </c>
      <c r="F580">
        <f>IF(Skills!N29=TRUE,(Skills!L29/10)*(E580/1000),Skills!L29/10)+Skills!O29</f>
        <v/>
      </c>
      <c r="G580">
        <f>Calc!G29</f>
        <v/>
      </c>
      <c r="H580">
        <f>Calc!H29</f>
        <v/>
      </c>
      <c r="I580">
        <f>IF(Skills!AA29&lt;&gt;"",1+(Skills!AA29/10)*(U554/1000)/100,1)</f>
        <v/>
      </c>
      <c r="J580" t="inlineStr"/>
      <c r="K580" t="inlineStr"/>
      <c r="L580" t="inlineStr"/>
      <c r="M580" t="inlineStr"/>
      <c r="N580" t="inlineStr"/>
      <c r="O580" t="n">
        <v>0</v>
      </c>
      <c r="P580">
        <f>IF(B595=0,0,O580/B595)</f>
        <v/>
      </c>
      <c r="Q580" t="n">
        <v>0</v>
      </c>
      <c r="R580" t="n">
        <v>0</v>
      </c>
      <c r="S580">
        <f>IFERROR(O580/N580,0)</f>
        <v/>
      </c>
    </row>
    <row r="581">
      <c r="A581">
        <f>Skills!A30</f>
        <v/>
      </c>
      <c r="B581">
        <f>Skills!B30</f>
        <v/>
      </c>
      <c r="C581">
        <f>Inputs!$B$3&gt;=125</f>
        <v/>
      </c>
      <c r="D581">
        <f>IF(Skills!C30=1,60+Inputs!$B$24+Inputs!$B$28,IF(Skills!C30=2,90+Inputs!$B$25+Inputs!$B$28,IF(Skills!C30=3,120+Inputs!$B$26+Inputs!$B$28,MAX(0,(Inputs!$B$3-100)*3)+Inputs!$B$27+Inputs!$B$28)))</f>
        <v/>
      </c>
      <c r="E581">
        <f>INDEX(FactorTable!$B$2:$Y$301, MATCH(ROUND(MIN(300,MAX(1,D581)),0), FactorTable!$A$2:$A$301,0), Skills!M30+1)</f>
        <v/>
      </c>
      <c r="F581">
        <f>IF(Skills!N30=TRUE,(Skills!L30/10)*(E581/1000),Skills!L30/10)+Skills!O30</f>
        <v/>
      </c>
      <c r="G581">
        <f>Calc!G30</f>
        <v/>
      </c>
      <c r="H581">
        <f>Calc!H30</f>
        <v/>
      </c>
      <c r="I581">
        <f>IF(Skills!AA30&lt;&gt;"",1+(Skills!AA30/10)*(U554/1000)/100,1)</f>
        <v/>
      </c>
      <c r="J581" t="inlineStr"/>
      <c r="K581" t="inlineStr"/>
      <c r="L581" t="inlineStr"/>
      <c r="M581" t="inlineStr"/>
      <c r="N581" t="inlineStr"/>
      <c r="O581" t="n">
        <v>0</v>
      </c>
      <c r="P581">
        <f>IF(B595=0,0,O581/B595)</f>
        <v/>
      </c>
      <c r="Q581" t="n">
        <v>0</v>
      </c>
      <c r="R581" t="n">
        <v>0</v>
      </c>
      <c r="S581">
        <f>IFERROR(O581/N581,0)</f>
        <v/>
      </c>
    </row>
    <row r="582">
      <c r="A582">
        <f>Skills!A31</f>
        <v/>
      </c>
      <c r="B582">
        <f>Skills!B31</f>
        <v/>
      </c>
      <c r="C582">
        <f>Inputs!$B$3&gt;=107</f>
        <v/>
      </c>
      <c r="D582">
        <f>IF(Skills!C31=1,60+Inputs!$B$24+Inputs!$B$28,IF(Skills!C31=2,90+Inputs!$B$25+Inputs!$B$28,IF(Skills!C31=3,120+Inputs!$B$26+Inputs!$B$28,MAX(0,(Inputs!$B$3-100)*3)+Inputs!$B$27+Inputs!$B$28)))</f>
        <v/>
      </c>
      <c r="E582">
        <f>INDEX(FactorTable!$B$2:$Y$301, MATCH(ROUND(MIN(300,MAX(1,D582)),0), FactorTable!$A$2:$A$301,0), Skills!M31+1)</f>
        <v/>
      </c>
      <c r="F582">
        <f>IF(Skills!N31=TRUE,(Skills!L31/10)*(E582/1000),Skills!L31/10)+Skills!O31</f>
        <v/>
      </c>
      <c r="G582">
        <f>Calc!G31</f>
        <v/>
      </c>
      <c r="H582">
        <f>Calc!H31</f>
        <v/>
      </c>
      <c r="I582">
        <f>IF(Skills!AA31&lt;&gt;"",1+(Skills!AA31/10)*(U554/1000)/100,1)</f>
        <v/>
      </c>
      <c r="J582" t="inlineStr"/>
      <c r="K582" t="inlineStr"/>
      <c r="L582" t="inlineStr"/>
      <c r="M582" t="inlineStr"/>
      <c r="N582" t="inlineStr"/>
      <c r="O582" t="n">
        <v>0</v>
      </c>
      <c r="P582">
        <f>IF(B595=0,0,O582/B595)</f>
        <v/>
      </c>
      <c r="Q582" t="n">
        <v>0</v>
      </c>
      <c r="R582" t="n">
        <v>0</v>
      </c>
      <c r="S582">
        <f>IFERROR(O582/N582,0)</f>
        <v/>
      </c>
    </row>
    <row r="584">
      <c r="A584" t="inlineStr">
        <is>
          <t>Actions Per Second (pre-Adrenalin)</t>
        </is>
      </c>
      <c r="B584">
        <f>1+MIN(150,150*(1-(1-(Inputs!$B$10+((C573=TRUE)*(F573-Calc!F22)))/150)*(1-((C570=TRUE)*F570*IF(AND(Inputs!$B$4&lt;&gt;"pvp",Inputs!$B$35&gt;0),(((S570-1)*(Skills!Y19*(1+Inputs!$B$33/100))+MIN((Skills!Y19*(1+Inputs!$B$33/100)),MAX(0,Inputs!$B$35-((S570-1)*Skills!D19))))/Inputs!$B$35),IF(Inputs!$B$4="pvp",MIN((Skills!Y19*(1+Inputs!$B$33/100)),15)/15,(Skills!Y19*(1+Inputs!$B$33/100))/Skills!D19)))/150)))/100</f>
        <v/>
      </c>
    </row>
    <row r="585">
      <c r="A585" t="inlineStr">
        <is>
          <t>Alchemic Adrenaline Uptime</t>
        </is>
      </c>
      <c r="B585">
        <f>(Skills!Y6*(1+Inputs!$B$33/100))/((Skills!Y6*(1+Inputs!$B$33/100))+(5/B584))</f>
        <v/>
      </c>
    </row>
    <row r="586">
      <c r="A586" t="inlineStr">
        <is>
          <t>Attack Speed Buff Bonus %</t>
        </is>
      </c>
      <c r="B586">
        <f>((C570=TRUE)*F570*IF(AND(Inputs!$B$4&lt;&gt;"pvp",Inputs!$B$35&gt;0),(((S570-1)*(Skills!Y19*(1+Inputs!$B$33/100))+MIN((Skills!Y19*(1+Inputs!$B$33/100)),MAX(0,Inputs!$B$35-((S570-1)*Skills!D19))))/Inputs!$B$35),IF(Inputs!$B$4="pvp",MIN((Skills!Y19*(1+Inputs!$B$33/100)),15)/15,(Skills!Y19*(1+Inputs!$B$33/100))/Skills!D19)))+((C558=TRUE)*F558*B585)</f>
        <v/>
      </c>
    </row>
    <row r="587">
      <c r="A587" t="inlineStr">
        <is>
          <t>Actions Per Second (final)</t>
        </is>
      </c>
      <c r="B587">
        <f>1+MIN(150,150*(1-(1-(Inputs!$B$10+((C573=TRUE)*(F573-Calc!F22)))/150)*(1-B586/150)))/100</f>
        <v/>
      </c>
    </row>
    <row r="588">
      <c r="A588" t="inlineStr">
        <is>
          <t>Skill + Buff Cast Rate</t>
        </is>
      </c>
      <c r="B588">
        <f>IF(AND(Inputs!$B$4&lt;&gt;"pvp",Inputs!$B$35&gt;0),SUMPRODUCT((Skills!E2:E31=TRUE)*(C553:C582=TRUE)*R553:R582*Skills!F2:F31)/Inputs!$B$35,SUMPRODUCT((Skills!E2:E31=TRUE)*(C553:C582=TRUE)*Q553:Q582*Skills!F2:F31))</f>
        <v/>
      </c>
    </row>
    <row r="589">
      <c r="A589" t="inlineStr">
        <is>
          <t>Showdown Casts Per Second</t>
        </is>
      </c>
      <c r="B589">
        <f>MAX(0,B587-B588)</f>
        <v/>
      </c>
    </row>
    <row r="590">
      <c r="A590" t="inlineStr">
        <is>
          <t>Average Buff Multiplier</t>
        </is>
      </c>
      <c r="B590">
        <f>(1+(((C572=TRUE)*F572*IF(AND(Inputs!$B$4&lt;&gt;"pvp",Inputs!$B$35&gt;0),(((S572-1)*(Skills!Y21*(1+Inputs!$B$33/100))+MIN((Skills!Y21*(1+Inputs!$B$33/100)),MAX(0,Inputs!$B$35-((S572-1)*Skills!D21))))/Inputs!$B$35),IF(Inputs!$B$4="pvp",MIN((Skills!Y21*(1+Inputs!$B$33/100)),15)/15,(Skills!Y21*(1+Inputs!$B$33/100))/Skills!D21)))+((C579=TRUE)*(F579-Calc!F28))+((C569=TRUE)*(F569-Calc!F18)))/100)*(1+((C566=TRUE)*F566*IF(AND(Inputs!$B$4&lt;&gt;"pvp",Inputs!$B$35&gt;0),(((S566-1)*(Skills!Y15*(1+Inputs!$B$33/100))+MIN((Skills!Y15*(1+Inputs!$B$33/100)),MAX(0,Inputs!$B$35-((S566-1)*Skills!D15))))/Inputs!$B$35),IF(Inputs!$B$4="pvp",MIN((Skills!Y15*(1+Inputs!$B$33/100)),15)/15,(Skills!Y15*(1+Inputs!$B$33/100))/Skills!D15)))/100)*(1+((C557=TRUE)*F557*B585)/100)</f>
        <v/>
      </c>
    </row>
    <row r="591">
      <c r="A591" t="inlineStr">
        <is>
          <t>Global Crit Rate Bonus %</t>
        </is>
      </c>
      <c r="B591">
        <f>IF(Inputs!$B$3&gt;=47,8,0)+((C571=TRUE)*F571*IF(AND(Inputs!$B$4&lt;&gt;"pvp",Inputs!$B$35&gt;0),(((S571-1)*(Skills!Y20*(1+Inputs!$B$33/100))+MIN((Skills!Y20*(1+Inputs!$B$33/100)),MAX(0,Inputs!$B$35-((S571-1)*Skills!D20))))/Inputs!$B$35),IF(Inputs!$B$4="pvp",MIN((Skills!Y20*(1+Inputs!$B$33/100)),15)/15,(Skills!Y20*(1+Inputs!$B$33/100))/Skills!D20)))</f>
        <v/>
      </c>
    </row>
    <row r="592">
      <c r="A592" t="inlineStr">
        <is>
          <t>Global Monster Damage-Taken Bonus %</t>
        </is>
      </c>
      <c r="B592">
        <f>IF(Inputs!$B$3&gt;=82,15,0)+((C567=TRUE)*F567*IF(AND(Inputs!$B$4&lt;&gt;"pvp",Inputs!$B$35&gt;0),(((S567-1)*(Skills!Y16*(1+Inputs!$B$33/100))+MIN((Skills!Y16*(1+Inputs!$B$33/100)),MAX(0,Inputs!$B$35-((S567-1)*Skills!D16))))/Inputs!$B$35),IF(Inputs!$B$4="pvp",MIN((Skills!Y16*(1+Inputs!$B$33/100)),15)/15,(Skills!Y16*(1+Inputs!$B$33/100))/Skills!D16)))</f>
        <v/>
      </c>
    </row>
    <row r="593">
      <c r="A593" t="inlineStr">
        <is>
          <t>Shadow Partner Average Multiplier</t>
        </is>
      </c>
      <c r="B593">
        <f>1+((C562=TRUE)*F562*I562*Skills!J11/100)/100</f>
        <v/>
      </c>
    </row>
    <row r="594">
      <c r="A594" t="inlineStr">
        <is>
          <t>Global Critical Damage Bonus % (Frailty Curse Mastery Lv.111)</t>
        </is>
      </c>
      <c r="B594">
        <f>IF(Inputs!$B$3&gt;=111,30,0)*IF(AND(Inputs!$B$4&lt;&gt;"pvp",Inputs!$B$35&gt;0),(((S567-1)*(Skills!Y16*(1+Inputs!$B$33/100))+MIN((Skills!Y16*(1+Inputs!$B$33/100)),MAX(0,Inputs!$B$35-((S567-1)*Skills!D16))))/Inputs!$B$35),IF(Inputs!$B$4="pvp",MIN((Skills!Y16*(1+Inputs!$B$33/100)),15)/15,(Skills!Y16*(1+Inputs!$B$33/100))/Skills!D16))</f>
        <v/>
      </c>
    </row>
    <row r="595">
      <c r="A595" s="5" t="inlineStr">
        <is>
          <t>TOTAL DPS</t>
        </is>
      </c>
      <c r="B595" s="5">
        <f>SUM(O553:O582)</f>
        <v/>
      </c>
    </row>
    <row r="598">
      <c r="A598" s="5" t="inlineStr">
        <is>
          <t>Stat: ATTACK_SPEED % (diminishing returns, factor 150)</t>
        </is>
      </c>
    </row>
    <row r="599">
      <c r="A599" s="8" t="inlineStr">
        <is>
          <t>Key</t>
        </is>
      </c>
      <c r="B599" s="8" t="inlineStr">
        <is>
          <t>Name</t>
        </is>
      </c>
      <c r="C599" s="8" t="inlineStr">
        <is>
          <t>Unlocked</t>
        </is>
      </c>
      <c r="D599" s="8" t="inlineStr">
        <is>
          <t>InputLevel</t>
        </is>
      </c>
      <c r="E599" s="8" t="inlineStr">
        <is>
          <t>Factor</t>
        </is>
      </c>
      <c r="F599" s="8" t="inlineStr">
        <is>
          <t>CoefficientPercent</t>
        </is>
      </c>
      <c r="G599" s="8" t="inlineStr">
        <is>
          <t>EffectiveHits</t>
        </is>
      </c>
      <c r="H599" s="8" t="inlineStr">
        <is>
          <t>ProcProbability</t>
        </is>
      </c>
      <c r="I599" s="8" t="inlineStr">
        <is>
          <t>MapleHeroMultiplier</t>
        </is>
      </c>
      <c r="J599" s="8" t="inlineStr">
        <is>
          <t>BaseDamage</t>
        </is>
      </c>
      <c r="K599" s="8" t="inlineStr">
        <is>
          <t>BaseHitDamage</t>
        </is>
      </c>
      <c r="L599" s="8" t="inlineStr">
        <is>
          <t>NonCritAvg</t>
        </is>
      </c>
      <c r="M599" s="8" t="inlineStr">
        <is>
          <t>CritAvg</t>
        </is>
      </c>
      <c r="N599" s="8" t="inlineStr">
        <is>
          <t>ExpectedDamage(perHit)</t>
        </is>
      </c>
      <c r="O599" s="8" t="inlineStr">
        <is>
          <t>DPS</t>
        </is>
      </c>
      <c r="P599" s="8" t="inlineStr">
        <is>
          <t>% of Total</t>
        </is>
      </c>
      <c r="Q599" s="8" t="inlineStr">
        <is>
          <t>InvCooldown</t>
        </is>
      </c>
      <c r="R599" s="8" t="inlineStr">
        <is>
          <t>CastsInFight</t>
        </is>
      </c>
      <c r="S599" s="8" t="inlineStr">
        <is>
          <t>HitRate(perSec)</t>
        </is>
      </c>
      <c r="U599" t="inlineStr">
        <is>
          <t>helpers</t>
        </is>
      </c>
    </row>
    <row r="600">
      <c r="A600">
        <f>Skills!A2</f>
        <v/>
      </c>
      <c r="B600">
        <f>Skills!B2</f>
        <v/>
      </c>
      <c r="C600">
        <f>Inputs!$B$3&gt;=100</f>
        <v/>
      </c>
      <c r="D600" t="inlineStr"/>
      <c r="E600" t="inlineStr"/>
      <c r="F600">
        <f>U604+Skills!O2</f>
        <v/>
      </c>
      <c r="G600">
        <f>Calc!G2</f>
        <v/>
      </c>
      <c r="H600">
        <f>Calc!H2</f>
        <v/>
      </c>
      <c r="I600">
        <f>IF(Skills!AA2&lt;&gt;"",1+(Skills!AA2/10)*(U601/1000)/100,1)</f>
        <v/>
      </c>
      <c r="J600">
        <f>(Inputs!$B$5*(1+Inputs!$B$6/100))*(F600/100)</f>
        <v/>
      </c>
      <c r="K600">
        <f>J600*(1+((Inputs!$B$11*(1+Inputs!$B$12/100))*0.01+Inputs!$B$13*0.0025)/100)*(1+Inputs!$B$14/100)*(1+IF(Inputs!$B$4="pvp",0,(1-Summary!$B$55)*(Inputs!$B$19+((C625=TRUE)*(F625-Calc!F27))+Skills!P2+B639)+Summary!$B$55*(Inputs!$B$20+Skills!Q2+B639))/100)*(1+Inputs!$B$15/100)*(5000/(6000+Inputs!$B$7*(1-Inputs!$B$18/100)))*(1+(Inputs!$B$23+((C628=TRUE)*(F628-Calc!F30)))/100)*(1+Skills!R2/100)*(1+(IF(Skills!A2="SHOWDOWN",Inputs!$B$16+((C621=TRUE)*(F621-Calc!F23)),Inputs!$B$17+((C627=TRUE)*(F627-Calc!F29))))/100)*(((1+(((C619=TRUE)*F619*IF(AND(Inputs!$B$4&lt;&gt;"pvp",Inputs!$B$35&gt;0),(((S619-1)*(Skills!Y21*(1+Inputs!$B$33/100))+MIN((Skills!Y21*(1+Inputs!$B$33/100)),MAX(0,Inputs!$B$35-((S619-1)*Skills!D21))))/Inputs!$B$35),IF(Inputs!$B$4="pvp",MIN((Skills!Y21*(1+Inputs!$B$33/100)),15)/15,(Skills!Y21*(1+Inputs!$B$33/100))/Skills!D21)))+((C626=TRUE)*(F626-Calc!F28))+((C616=TRUE)*(F616-Calc!F18)))/100)*(1+((C613=TRUE)*F613*IF(AND(Inputs!$B$4&lt;&gt;"pvp",Inputs!$B$35&gt;0),(((S613-1)*(Skills!Y15*(1+Inputs!$B$33/100))+MIN((Skills!Y15*(1+Inputs!$B$33/100)),MAX(0,Inputs!$B$35-((S613-1)*Skills!D15))))/Inputs!$B$35),IF(Inputs!$B$4="pvp",MIN((Skills!Y15*(1+Inputs!$B$33/100)),15)/15,(Skills!Y15*(1+Inputs!$B$33/100))/Skills!D15)))/100)*(1+((C604=TRUE)*F604*B632)/100))*B640*I600)</f>
        <v/>
      </c>
      <c r="L600">
        <f>K600*(MIN(Inputs!$B$21+((C622=TRUE)*(F622-Calc!F24)),Inputs!$B$22)/100+Inputs!$B$22/100)/2</f>
        <v/>
      </c>
      <c r="M600">
        <f>L600*(1+(Inputs!$B$9+((C624=TRUE)*(F624-Calc!F26))+B641)/100)</f>
        <v/>
      </c>
      <c r="N600">
        <f>L600*(1-MIN((Inputs!$B$8+((C623=TRUE)*(F623-Calc!F25))+B638),100)/100)+M600*(MIN((Inputs!$B$8+((C623=TRUE)*(F623-Calc!F25))+B638),100)/100)</f>
        <v/>
      </c>
      <c r="O600">
        <f>IF(C600,Skills!G2*N600*B636*IF(Inputs!$B$4="pvp",1,(1-Summary!$B$55)*(1)+Summary!$B$55*(MIN((6+Inputs!$B$32),Inputs!$B$37))),0)</f>
        <v/>
      </c>
      <c r="P600">
        <f>IF(B642=0,0,O600/B642)</f>
        <v/>
      </c>
      <c r="Q600" t="n">
        <v>0</v>
      </c>
      <c r="R600" t="n">
        <v>0</v>
      </c>
      <c r="S600">
        <f>IFERROR(O600/N600,0)</f>
        <v/>
      </c>
      <c r="U600">
        <f>MAX(0,(Inputs!$B$3-100)*3)+Inputs!$B$27+Inputs!$B$28</f>
        <v/>
      </c>
    </row>
    <row r="601">
      <c r="A601">
        <f>Skills!A3</f>
        <v/>
      </c>
      <c r="B601">
        <f>Skills!B3</f>
        <v/>
      </c>
      <c r="C601">
        <f>Inputs!$B$3&gt;=35</f>
        <v/>
      </c>
      <c r="D601">
        <f>IF(Skills!C3=1,60+Inputs!$B$24+Inputs!$B$28,IF(Skills!C3=2,90+Inputs!$B$25+Inputs!$B$28,IF(Skills!C3=3,120+Inputs!$B$26+Inputs!$B$28,MAX(0,(Inputs!$B$3-100)*3)+Inputs!$B$27+Inputs!$B$28)))</f>
        <v/>
      </c>
      <c r="E601">
        <f>INDEX(FactorTable!$B$2:$Y$301, MATCH(ROUND(MIN(300,MAX(1,D601)),0), FactorTable!$A$2:$A$301,0), Skills!M3+1)</f>
        <v/>
      </c>
      <c r="F601">
        <f>IF(Skills!N3=TRUE,(Skills!L3/10)*(E601/1000),Skills!L3/10)+Skills!O3</f>
        <v/>
      </c>
      <c r="G601">
        <f>Calc!G3</f>
        <v/>
      </c>
      <c r="H601">
        <f>Calc!H3</f>
        <v/>
      </c>
      <c r="I601">
        <f>IF(Skills!AA3&lt;&gt;"",1+(Skills!AA3/10)*(U601/1000)/100,1)</f>
        <v/>
      </c>
      <c r="J601">
        <f>(Inputs!$B$5*(1+Inputs!$B$6/100))*(F601/100)</f>
        <v/>
      </c>
      <c r="K601">
        <f>J601*(1+((Inputs!$B$11*(1+Inputs!$B$12/100))*0.01+Inputs!$B$13*0.0025)/100)*(1+Inputs!$B$14/100)*(1+IF(Inputs!$B$4="pvp",0,(1-Summary!$B$55)*(Inputs!$B$19+((C625=TRUE)*(F625-Calc!F27))+Skills!P3+B639)+Summary!$B$55*(Inputs!$B$20+Skills!Q3+B639))/100)*(1+Inputs!$B$15/100)*(5000/(6000+Inputs!$B$7*(1-Inputs!$B$18/100)))*(1+(Inputs!$B$23+((C628=TRUE)*(F628-Calc!F30)))/100)*(1+Skills!R3/100)*(1+(IF(Skills!A3="SHOWDOWN",Inputs!$B$16+((C621=TRUE)*(F621-Calc!F23)),Inputs!$B$17+((C627=TRUE)*(F627-Calc!F29))))/100)*(((1+(((C619=TRUE)*F619*IF(AND(Inputs!$B$4&lt;&gt;"pvp",Inputs!$B$35&gt;0),(((S619-1)*(Skills!Y21*(1+Inputs!$B$33/100))+MIN((Skills!Y21*(1+Inputs!$B$33/100)),MAX(0,Inputs!$B$35-((S619-1)*Skills!D21))))/Inputs!$B$35),IF(Inputs!$B$4="pvp",MIN((Skills!Y21*(1+Inputs!$B$33/100)),15)/15,(Skills!Y21*(1+Inputs!$B$33/100))/Skills!D21)))+((C626=TRUE)*(F626-Calc!F28))+((C616=TRUE)*(F616-Calc!F18)))/100)*(1+((C613=TRUE)*F613*IF(AND(Inputs!$B$4&lt;&gt;"pvp",Inputs!$B$35&gt;0),(((S613-1)*(Skills!Y15*(1+Inputs!$B$33/100))+MIN((Skills!Y15*(1+Inputs!$B$33/100)),MAX(0,Inputs!$B$35-((S613-1)*Skills!D15))))/Inputs!$B$35),IF(Inputs!$B$4="pvp",MIN((Skills!Y15*(1+Inputs!$B$33/100)),15)/15,(Skills!Y15*(1+Inputs!$B$33/100))/Skills!D15)))/100)*(1+((C604=TRUE)*F604*B632)/100))*B640*I601)</f>
        <v/>
      </c>
      <c r="L601">
        <f>K601*(MIN(Inputs!$B$21+((C622=TRUE)*(F622-Calc!F24)),Inputs!$B$22)/100+Inputs!$B$22/100)/2</f>
        <v/>
      </c>
      <c r="M601">
        <f>L601*(1+(Inputs!$B$9+((C624=TRUE)*(F624-Calc!F26))+B641)/100)</f>
        <v/>
      </c>
      <c r="N601">
        <f>L601*(1-MIN((Inputs!$B$8+((C623=TRUE)*(F623-Calc!F25))+B638),100)/100)+M601*(MIN((Inputs!$B$8+((C623=TRUE)*(F623-Calc!F25))+B638),100)/100)</f>
        <v/>
      </c>
      <c r="O601">
        <f>IF(C601,H601*N601*IF(AND(Inputs!$B$4&lt;&gt;"pvp",Inputs!$B$35&gt;0),((Skills!G3*((R601-1)*IF(Skills!H3&gt;0,Skills!I3/Skills!H3,1)+IF(Skills!H3&gt;0,MIN(Skills!I3,MAX(0,Inputs!$B$35-((R601-1)*IF(Inputs!$B$4="pvp",15,MAX(0.1,Skills!D3-IF(Skills!E3=TRUE,Inputs!$B$31,0))))))/Skills!H3,1)))/Inputs!$B$35),G601*Q601)*IF(Inputs!$B$4="pvp",1,(1-Summary!$B$55)*(1)+Summary!$B$55*(MIN(Skills!W3,Inputs!$B$37))),0)</f>
        <v/>
      </c>
      <c r="P601">
        <f>IF(B642=0,0,O601/B642)</f>
        <v/>
      </c>
      <c r="Q601">
        <f>IFERROR(1/IF(Inputs!$B$4="pvp",15,MAX(0.1,Skills!D3-IF(Skills!E3=TRUE,Inputs!$B$31,0))),0)</f>
        <v/>
      </c>
      <c r="R601">
        <f>IF(AND(Inputs!$B$4&lt;&gt;"pvp",Inputs!$B$35&gt;0),(INT(Inputs!$B$35/IF(Inputs!$B$4="pvp",15,MAX(0.1,Skills!D3-IF(Skills!E3=TRUE,Inputs!$B$31,0))))+1),0)</f>
        <v/>
      </c>
      <c r="S601">
        <f>IFERROR(O601/N601,0)</f>
        <v/>
      </c>
      <c r="U601">
        <f>INDEX(FactorTable!$B$2:$Y$301, MATCH(ROUND(MIN(300,MAX(1,U600)),0), FactorTable!$A$2:$A$301,0), 24)</f>
        <v/>
      </c>
    </row>
    <row r="602">
      <c r="A602">
        <f>Skills!A4</f>
        <v/>
      </c>
      <c r="B602">
        <f>Skills!B4</f>
        <v/>
      </c>
      <c r="C602">
        <f>Inputs!$B$3&gt;=40</f>
        <v/>
      </c>
      <c r="D602">
        <f>IF(Skills!C4=1,60+Inputs!$B$24+Inputs!$B$28,IF(Skills!C4=2,90+Inputs!$B$25+Inputs!$B$28,IF(Skills!C4=3,120+Inputs!$B$26+Inputs!$B$28,MAX(0,(Inputs!$B$3-100)*3)+Inputs!$B$27+Inputs!$B$28)))</f>
        <v/>
      </c>
      <c r="E602">
        <f>INDEX(FactorTable!$B$2:$Y$301, MATCH(ROUND(MIN(300,MAX(1,D602)),0), FactorTable!$A$2:$A$301,0), Skills!M4+1)</f>
        <v/>
      </c>
      <c r="F602">
        <f>IF(Skills!N4=TRUE,(Skills!L4/10)*(E602/1000),Skills!L4/10)+Skills!O4</f>
        <v/>
      </c>
      <c r="G602">
        <f>Calc!G4</f>
        <v/>
      </c>
      <c r="H602">
        <f>Calc!H4</f>
        <v/>
      </c>
      <c r="I602">
        <f>IF(Skills!AA4&lt;&gt;"",1+(Skills!AA4/10)*(U601/1000)/100,1)</f>
        <v/>
      </c>
      <c r="J602">
        <f>(Inputs!$B$5*(1+Inputs!$B$6/100))*(F602/100)</f>
        <v/>
      </c>
      <c r="K602">
        <f>J602*(1+((Inputs!$B$11*(1+Inputs!$B$12/100))*0.01+Inputs!$B$13*0.0025)/100)*(1+Inputs!$B$14/100)*(1+IF(Inputs!$B$4="pvp",0,(1-Summary!$B$55)*(Inputs!$B$19+((C625=TRUE)*(F625-Calc!F27))+Skills!P4+B639)+Summary!$B$55*(Inputs!$B$20+Skills!Q4+B639))/100)*(1+Inputs!$B$15/100)*(5000/(6000+Inputs!$B$7*(1-Inputs!$B$18/100)))*(1+(Inputs!$B$23+((C628=TRUE)*(F628-Calc!F30)))/100)*(1+Skills!R4/100)*(1+(IF(Skills!A4="SHOWDOWN",Inputs!$B$16+((C621=TRUE)*(F621-Calc!F23)),Inputs!$B$17+((C627=TRUE)*(F627-Calc!F29))))/100)*(((1+(((C619=TRUE)*F619*IF(AND(Inputs!$B$4&lt;&gt;"pvp",Inputs!$B$35&gt;0),(((S619-1)*(Skills!Y21*(1+Inputs!$B$33/100))+MIN((Skills!Y21*(1+Inputs!$B$33/100)),MAX(0,Inputs!$B$35-((S619-1)*Skills!D21))))/Inputs!$B$35),IF(Inputs!$B$4="pvp",MIN((Skills!Y21*(1+Inputs!$B$33/100)),15)/15,(Skills!Y21*(1+Inputs!$B$33/100))/Skills!D21)))+((C626=TRUE)*(F626-Calc!F28))+((C616=TRUE)*(F616-Calc!F18)))/100)*(1+((C613=TRUE)*F613*IF(AND(Inputs!$B$4&lt;&gt;"pvp",Inputs!$B$35&gt;0),(((S613-1)*(Skills!Y15*(1+Inputs!$B$33/100))+MIN((Skills!Y15*(1+Inputs!$B$33/100)),MAX(0,Inputs!$B$35-((S613-1)*Skills!D15))))/Inputs!$B$35),IF(Inputs!$B$4="pvp",MIN((Skills!Y15*(1+Inputs!$B$33/100)),15)/15,(Skills!Y15*(1+Inputs!$B$33/100))/Skills!D15)))/100)*(1+((C604=TRUE)*F604*B632)/100))*B640*I602)</f>
        <v/>
      </c>
      <c r="L602">
        <f>K602*(MIN(Inputs!$B$21+((C622=TRUE)*(F622-Calc!F24)),Inputs!$B$22)/100+Inputs!$B$22/100)/2</f>
        <v/>
      </c>
      <c r="M602">
        <f>L602*(1+(Inputs!$B$9+((C624=TRUE)*(F624-Calc!F26))+B641)/100)</f>
        <v/>
      </c>
      <c r="N602">
        <f>L602*(1-MIN((Inputs!$B$8+((C623=TRUE)*(F623-Calc!F25))+B638),100)/100)+M602*(MIN((Inputs!$B$8+((C623=TRUE)*(F623-Calc!F25))+B638),100)/100)</f>
        <v/>
      </c>
      <c r="O602">
        <f>IF(C602,H602*N602*IF(AND(Inputs!$B$4&lt;&gt;"pvp",Inputs!$B$35&gt;0),((Skills!G4*((R602-1)*IF(Skills!H4&gt;0,Skills!I4/Skills!H4,1)+IF(Skills!H4&gt;0,MIN(Skills!I4,MAX(0,Inputs!$B$35-((R602-1)*IF(Inputs!$B$4="pvp",15,MAX(0.1,Skills!D4-IF(Skills!E4=TRUE,Inputs!$B$31,0))))))/Skills!H4,1)))/Inputs!$B$35),G602*Q602)*IF(Inputs!$B$4="pvp",1,(1-Summary!$B$55)*(1)+Summary!$B$55*(MIN(Skills!W4,Inputs!$B$37))),0)</f>
        <v/>
      </c>
      <c r="P602">
        <f>IF(B642=0,0,O602/B642)</f>
        <v/>
      </c>
      <c r="Q602">
        <f>IFERROR(1/IF(Inputs!$B$4="pvp",15,MAX(0.1,Skills!D4-IF(Skills!E4=TRUE,Inputs!$B$31,0))),0)</f>
        <v/>
      </c>
      <c r="R602">
        <f>IF(AND(Inputs!$B$4&lt;&gt;"pvp",Inputs!$B$35&gt;0),(INT(Inputs!$B$35/IF(Inputs!$B$4="pvp",15,MAX(0.1,Skills!D4-IF(Skills!E4=TRUE,Inputs!$B$31,0))))+1),0)</f>
        <v/>
      </c>
      <c r="S602">
        <f>IFERROR(O602/N602,0)</f>
        <v/>
      </c>
      <c r="U602">
        <f>MAX(0,(Inputs!$B$3-100)*3)+Inputs!$B$27+Inputs!$B$28</f>
        <v/>
      </c>
    </row>
    <row r="603">
      <c r="A603">
        <f>Skills!A5</f>
        <v/>
      </c>
      <c r="B603">
        <f>Skills!B5</f>
        <v/>
      </c>
      <c r="C603">
        <f>Inputs!$B$3&gt;=63</f>
        <v/>
      </c>
      <c r="D603">
        <f>IF(Skills!C5=1,60+Inputs!$B$24+Inputs!$B$28,IF(Skills!C5=2,90+Inputs!$B$25+Inputs!$B$28,IF(Skills!C5=3,120+Inputs!$B$26+Inputs!$B$28,MAX(0,(Inputs!$B$3-100)*3)+Inputs!$B$27+Inputs!$B$28)))</f>
        <v/>
      </c>
      <c r="E603">
        <f>INDEX(FactorTable!$B$2:$Y$301, MATCH(ROUND(MIN(300,MAX(1,D603)),0), FactorTable!$A$2:$A$301,0), Skills!M5+1)</f>
        <v/>
      </c>
      <c r="F603">
        <f>IF(Skills!N5=TRUE,(Skills!L5/10)*(E603/1000),Skills!L5/10)+Skills!O5</f>
        <v/>
      </c>
      <c r="G603">
        <f>Calc!G5</f>
        <v/>
      </c>
      <c r="H603">
        <f>Calc!H5</f>
        <v/>
      </c>
      <c r="I603">
        <f>IF(Skills!AA5&lt;&gt;"",1+(Skills!AA5/10)*(U601/1000)/100,1)</f>
        <v/>
      </c>
      <c r="J603">
        <f>(Inputs!$B$5*(1+Inputs!$B$6/100))*(F603/100)</f>
        <v/>
      </c>
      <c r="K603">
        <f>J603*(1+((Inputs!$B$11*(1+Inputs!$B$12/100))*0.01+Inputs!$B$13*0.0025)/100)*(1+Inputs!$B$14/100)*(1+IF(Inputs!$B$4="pvp",0,(1-Summary!$B$55)*(Inputs!$B$19+((C625=TRUE)*(F625-Calc!F27))+Skills!P5+B639)+Summary!$B$55*(Inputs!$B$20+Skills!Q5+B639))/100)*(1+Inputs!$B$15/100)*(5000/(6000+Inputs!$B$7*(1-Inputs!$B$18/100)))*(1+(Inputs!$B$23+((C628=TRUE)*(F628-Calc!F30)))/100)*(1+Skills!R5/100)*(1+(IF(Skills!A5="SHOWDOWN",Inputs!$B$16+((C621=TRUE)*(F621-Calc!F23)),Inputs!$B$17+((C627=TRUE)*(F627-Calc!F29))))/100)*(((1+(((C619=TRUE)*F619*IF(AND(Inputs!$B$4&lt;&gt;"pvp",Inputs!$B$35&gt;0),(((S619-1)*(Skills!Y21*(1+Inputs!$B$33/100))+MIN((Skills!Y21*(1+Inputs!$B$33/100)),MAX(0,Inputs!$B$35-((S619-1)*Skills!D21))))/Inputs!$B$35),IF(Inputs!$B$4="pvp",MIN((Skills!Y21*(1+Inputs!$B$33/100)),15)/15,(Skills!Y21*(1+Inputs!$B$33/100))/Skills!D21)))+((C626=TRUE)*(F626-Calc!F28))+((C616=TRUE)*(F616-Calc!F18)))/100)*(1+((C613=TRUE)*F613*IF(AND(Inputs!$B$4&lt;&gt;"pvp",Inputs!$B$35&gt;0),(((S613-1)*(Skills!Y15*(1+Inputs!$B$33/100))+MIN((Skills!Y15*(1+Inputs!$B$33/100)),MAX(0,Inputs!$B$35-((S613-1)*Skills!D15))))/Inputs!$B$35),IF(Inputs!$B$4="pvp",MIN((Skills!Y15*(1+Inputs!$B$33/100)),15)/15,(Skills!Y15*(1+Inputs!$B$33/100))/Skills!D15)))/100)*(1+((C604=TRUE)*F604*B632)/100))*B640*I603)</f>
        <v/>
      </c>
      <c r="L603">
        <f>K603*(MIN(Inputs!$B$21+((C622=TRUE)*(F622-Calc!F24)),Inputs!$B$22)/100+Inputs!$B$22/100)/2</f>
        <v/>
      </c>
      <c r="M603">
        <f>L603*(1+(Inputs!$B$9+((C624=TRUE)*(F624-Calc!F26))+B641)/100)</f>
        <v/>
      </c>
      <c r="N603">
        <f>L603*(1-MIN((Inputs!$B$8+((C623=TRUE)*(F623-Calc!F25))+B638),100)/100)+M603*(MIN((Inputs!$B$8+((C623=TRUE)*(F623-Calc!F25))+B638),100)/100)</f>
        <v/>
      </c>
      <c r="O603">
        <f>IF(C603,H603*N603*IF(AND(Inputs!$B$4&lt;&gt;"pvp",Inputs!$B$35&gt;0),((Skills!G5*((R603-1)*IF(Skills!H5&gt;0,Skills!I5/Skills!H5,1)+IF(Skills!H5&gt;0,MIN(Skills!I5,MAX(0,Inputs!$B$35-((R603-1)*IF(Inputs!$B$4="pvp",15,MAX(0.1,Skills!D5-IF(Skills!E5=TRUE,Inputs!$B$31,0))))))/Skills!H5,1)))/Inputs!$B$35),G603*Q603)*IF(Inputs!$B$4="pvp",1,(1-Summary!$B$55)*(1)+Summary!$B$55*(MIN(Skills!W5,Inputs!$B$37))),0)</f>
        <v/>
      </c>
      <c r="P603">
        <f>IF(B642=0,0,O603/B642)</f>
        <v/>
      </c>
      <c r="Q603">
        <f>IFERROR(1/IF(Inputs!$B$4="pvp",15,MAX(0.1,Skills!D5-IF(Skills!E5=TRUE,Inputs!$B$31,0))),0)</f>
        <v/>
      </c>
      <c r="R603">
        <f>IF(AND(Inputs!$B$4&lt;&gt;"pvp",Inputs!$B$35&gt;0),(INT(Inputs!$B$35/IF(Inputs!$B$4="pvp",15,MAX(0.1,Skills!D5-IF(Skills!E5=TRUE,Inputs!$B$31,0))))+1),0)</f>
        <v/>
      </c>
      <c r="S603">
        <f>IFERROR(O603/N603,0)</f>
        <v/>
      </c>
      <c r="U603">
        <f>INDEX(FactorTable!$B$2:$Y$301, MATCH(ROUND(MIN(300,MAX(1,U602)),0), FactorTable!$A$2:$A$301,0), 22)</f>
        <v/>
      </c>
    </row>
    <row r="604">
      <c r="A604">
        <f>Skills!A6</f>
        <v/>
      </c>
      <c r="B604">
        <f>Skills!B6</f>
        <v/>
      </c>
      <c r="C604">
        <f>Inputs!$B$3&gt;=66</f>
        <v/>
      </c>
      <c r="D604">
        <f>IF(Skills!C6=1,60+Inputs!$B$24+Inputs!$B$28,IF(Skills!C6=2,90+Inputs!$B$25+Inputs!$B$28,IF(Skills!C6=3,120+Inputs!$B$26+Inputs!$B$28,MAX(0,(Inputs!$B$3-100)*3)+Inputs!$B$27+Inputs!$B$28)))</f>
        <v/>
      </c>
      <c r="E604">
        <f>INDEX(FactorTable!$B$2:$Y$301, MATCH(ROUND(MIN(300,MAX(1,D604)),0), FactorTable!$A$2:$A$301,0), Skills!M6+1)</f>
        <v/>
      </c>
      <c r="F604">
        <f>IF(Skills!N6=TRUE,(Skills!L6/10)*(E604/1000),Skills!L6/10)+Skills!O6</f>
        <v/>
      </c>
      <c r="G604">
        <f>Calc!G6</f>
        <v/>
      </c>
      <c r="H604">
        <f>Calc!H6</f>
        <v/>
      </c>
      <c r="I604">
        <f>IF(Skills!AA6&lt;&gt;"",1+(Skills!AA6/10)*(U601/1000)/100,1)</f>
        <v/>
      </c>
      <c r="J604" t="inlineStr"/>
      <c r="K604" t="inlineStr"/>
      <c r="L604" t="inlineStr"/>
      <c r="M604" t="inlineStr"/>
      <c r="N604" t="inlineStr"/>
      <c r="O604" t="n">
        <v>0</v>
      </c>
      <c r="P604">
        <f>IF(B642=0,0,O604/B642)</f>
        <v/>
      </c>
      <c r="Q604" t="n">
        <v>0</v>
      </c>
      <c r="R604" t="n">
        <v>0</v>
      </c>
      <c r="S604">
        <f>IFERROR(O604/N604,0)</f>
        <v/>
      </c>
      <c r="U604">
        <f>290*U603/1000</f>
        <v/>
      </c>
    </row>
    <row r="605">
      <c r="A605">
        <f>Skills!A7</f>
        <v/>
      </c>
      <c r="B605">
        <f>Skills!B7</f>
        <v/>
      </c>
      <c r="C605">
        <f>Inputs!$B$3&gt;=66</f>
        <v/>
      </c>
      <c r="D605">
        <f>IF(Skills!C7=1,60+Inputs!$B$24+Inputs!$B$28,IF(Skills!C7=2,90+Inputs!$B$25+Inputs!$B$28,IF(Skills!C7=3,120+Inputs!$B$26+Inputs!$B$28,MAX(0,(Inputs!$B$3-100)*3)+Inputs!$B$27+Inputs!$B$28)))</f>
        <v/>
      </c>
      <c r="E605">
        <f>INDEX(FactorTable!$B$2:$Y$301, MATCH(ROUND(MIN(300,MAX(1,D605)),0), FactorTable!$A$2:$A$301,0), Skills!M7+1)</f>
        <v/>
      </c>
      <c r="F605">
        <f>IF(Skills!N7=TRUE,(Skills!L7/10)*(E605/1000),Skills!L7/10)+Skills!O7</f>
        <v/>
      </c>
      <c r="G605">
        <f>Calc!G7</f>
        <v/>
      </c>
      <c r="H605">
        <f>Calc!H7</f>
        <v/>
      </c>
      <c r="I605">
        <f>IF(Skills!AA7&lt;&gt;"",1+(Skills!AA7/10)*(U601/1000)/100,1)</f>
        <v/>
      </c>
      <c r="J605" t="inlineStr"/>
      <c r="K605" t="inlineStr"/>
      <c r="L605" t="inlineStr"/>
      <c r="M605" t="inlineStr"/>
      <c r="N605" t="inlineStr"/>
      <c r="O605" t="n">
        <v>0</v>
      </c>
      <c r="P605">
        <f>IF(B642=0,0,O605/B642)</f>
        <v/>
      </c>
      <c r="Q605" t="n">
        <v>0</v>
      </c>
      <c r="R605" t="n">
        <v>0</v>
      </c>
      <c r="S605">
        <f>IFERROR(O605/N605,0)</f>
        <v/>
      </c>
    </row>
    <row r="606">
      <c r="A606">
        <f>Skills!A8</f>
        <v/>
      </c>
      <c r="B606">
        <f>Skills!B8</f>
        <v/>
      </c>
      <c r="C606">
        <f>Inputs!$B$3&gt;=69</f>
        <v/>
      </c>
      <c r="D606">
        <f>IF(Skills!C8=1,60+Inputs!$B$24+Inputs!$B$28,IF(Skills!C8=2,90+Inputs!$B$25+Inputs!$B$28,IF(Skills!C8=3,120+Inputs!$B$26+Inputs!$B$28,MAX(0,(Inputs!$B$3-100)*3)+Inputs!$B$27+Inputs!$B$28)))</f>
        <v/>
      </c>
      <c r="E606">
        <f>INDEX(FactorTable!$B$2:$Y$301, MATCH(ROUND(MIN(300,MAX(1,D606)),0), FactorTable!$A$2:$A$301,0), Skills!M8+1)</f>
        <v/>
      </c>
      <c r="F606">
        <f>IF(Skills!N8=TRUE,(Skills!L8/10)*(E606/1000),Skills!L8/10)+Skills!O8</f>
        <v/>
      </c>
      <c r="G606">
        <f>Calc!G8</f>
        <v/>
      </c>
      <c r="H606">
        <f>Calc!H8</f>
        <v/>
      </c>
      <c r="I606">
        <f>IF(Skills!AA8&lt;&gt;"",1+(Skills!AA8/10)*(U601/1000)/100,1)</f>
        <v/>
      </c>
      <c r="J606">
        <f>(Inputs!$B$5*(1+Inputs!$B$6/100))*(F606/100)</f>
        <v/>
      </c>
      <c r="K606">
        <f>J606*(1+((Inputs!$B$11*(1+Inputs!$B$12/100))*0.01+Inputs!$B$13*0.0025)/100)*(1+Inputs!$B$14/100)*(1+IF(Inputs!$B$4="pvp",0,(1-Summary!$B$55)*(Inputs!$B$19+((C625=TRUE)*(F625-Calc!F27))+Skills!P8+B639)+Summary!$B$55*(Inputs!$B$20+Skills!Q8+B639))/100)*(1+Inputs!$B$15/100)*(5000/(6000+Inputs!$B$7*(1-Inputs!$B$18/100)))*(1+(Inputs!$B$23+((C628=TRUE)*(F628-Calc!F30)))/100)*(1+Skills!R8/100)*(1+(IF(Skills!A8="SHOWDOWN",Inputs!$B$16+((C621=TRUE)*(F621-Calc!F23)),Inputs!$B$17+((C627=TRUE)*(F627-Calc!F29))))/100)*(((1+(((C619=TRUE)*F619*IF(AND(Inputs!$B$4&lt;&gt;"pvp",Inputs!$B$35&gt;0),(((S619-1)*(Skills!Y21*(1+Inputs!$B$33/100))+MIN((Skills!Y21*(1+Inputs!$B$33/100)),MAX(0,Inputs!$B$35-((S619-1)*Skills!D21))))/Inputs!$B$35),IF(Inputs!$B$4="pvp",MIN((Skills!Y21*(1+Inputs!$B$33/100)),15)/15,(Skills!Y21*(1+Inputs!$B$33/100))/Skills!D21)))+((C626=TRUE)*(F626-Calc!F28))+((C616=TRUE)*(F616-Calc!F18)))/100)*(1+((C613=TRUE)*F613*IF(AND(Inputs!$B$4&lt;&gt;"pvp",Inputs!$B$35&gt;0),(((S613-1)*(Skills!Y15*(1+Inputs!$B$33/100))+MIN((Skills!Y15*(1+Inputs!$B$33/100)),MAX(0,Inputs!$B$35-((S613-1)*Skills!D15))))/Inputs!$B$35),IF(Inputs!$B$4="pvp",MIN((Skills!Y15*(1+Inputs!$B$33/100)),15)/15,(Skills!Y15*(1+Inputs!$B$33/100))/Skills!D15)))/100)*(1+((C604=TRUE)*F604*B632)/100))*B640*I606)</f>
        <v/>
      </c>
      <c r="L606">
        <f>K606*(MIN(Inputs!$B$21+((C622=TRUE)*(F622-Calc!F24)),Inputs!$B$22)/100+Inputs!$B$22/100)/2</f>
        <v/>
      </c>
      <c r="M606">
        <f>L606*(1+(Inputs!$B$9+((C624=TRUE)*(F624-Calc!F26))+B641)/100)</f>
        <v/>
      </c>
      <c r="N606">
        <f>L606*(1-MIN((Inputs!$B$8+((C623=TRUE)*(F623-Calc!F25))+B638),100)/100)+M606*(MIN((Inputs!$B$8+((C623=TRUE)*(F623-Calc!F25))+B638),100)/100)</f>
        <v/>
      </c>
      <c r="O606">
        <f>IF(C606,H606*N606*IF(AND(Inputs!$B$4&lt;&gt;"pvp",Inputs!$B$35&gt;0),((Skills!G8*((R606-1)*IF(Skills!H8&gt;0,Skills!I8/Skills!H8,1)+IF(Skills!H8&gt;0,MIN(Skills!I8,MAX(0,Inputs!$B$35-((R606-1)*IF(Inputs!$B$4="pvp",15,MAX(0.1,Skills!D8-IF(Skills!E8=TRUE,Inputs!$B$31,0))))))/Skills!H8,1)))/Inputs!$B$35),G606*Q606)*IF(Inputs!$B$4="pvp",1,(1-Summary!$B$55)*(1)+Summary!$B$55*(MIN(Skills!W8,Inputs!$B$37))),0)</f>
        <v/>
      </c>
      <c r="P606">
        <f>IF(B642=0,0,O606/B642)</f>
        <v/>
      </c>
      <c r="Q606">
        <f>IFERROR(1/IF(Inputs!$B$4="pvp",15,MAX(0.1,Skills!D8-IF(Skills!E8=TRUE,Inputs!$B$31,0))),0)</f>
        <v/>
      </c>
      <c r="R606">
        <f>IF(AND(Inputs!$B$4&lt;&gt;"pvp",Inputs!$B$35&gt;0),(INT(Inputs!$B$35/IF(Inputs!$B$4="pvp",15,MAX(0.1,Skills!D8-IF(Skills!E8=TRUE,Inputs!$B$31,0))))+1),0)</f>
        <v/>
      </c>
      <c r="S606">
        <f>IFERROR(O606/N606,0)</f>
        <v/>
      </c>
    </row>
    <row r="607">
      <c r="A607">
        <f>Skills!A9</f>
        <v/>
      </c>
      <c r="B607">
        <f>Skills!B9</f>
        <v/>
      </c>
      <c r="C607">
        <f>Inputs!$B$3&gt;=72</f>
        <v/>
      </c>
      <c r="D607">
        <f>IF(Skills!C9=1,60+Inputs!$B$24+Inputs!$B$28,IF(Skills!C9=2,90+Inputs!$B$25+Inputs!$B$28,IF(Skills!C9=3,120+Inputs!$B$26+Inputs!$B$28,MAX(0,(Inputs!$B$3-100)*3)+Inputs!$B$27+Inputs!$B$28)))</f>
        <v/>
      </c>
      <c r="E607">
        <f>INDEX(FactorTable!$B$2:$Y$301, MATCH(ROUND(MIN(300,MAX(1,D607)),0), FactorTable!$A$2:$A$301,0), Skills!M9+1)</f>
        <v/>
      </c>
      <c r="F607">
        <f>IF(Skills!N9=TRUE,(Skills!L9/10)*(E607/1000),Skills!L9/10)+Skills!O9</f>
        <v/>
      </c>
      <c r="G607">
        <f>Calc!G9</f>
        <v/>
      </c>
      <c r="H607">
        <f>Calc!H9</f>
        <v/>
      </c>
      <c r="I607">
        <f>IF(Skills!AA9&lt;&gt;"",1+(Skills!AA9/10)*(U601/1000)/100,1)</f>
        <v/>
      </c>
      <c r="J607">
        <f>(Inputs!$B$5*(1+Inputs!$B$6/100))*(F607/100)</f>
        <v/>
      </c>
      <c r="K607">
        <f>J607*(1+((Inputs!$B$11*(1+Inputs!$B$12/100))*0.01+Inputs!$B$13*0.0025)/100)*(1+Inputs!$B$14/100)*(1+IF(Inputs!$B$4="pvp",0,(1-Summary!$B$55)*(Inputs!$B$19+((C625=TRUE)*(F625-Calc!F27))+Skills!P9+B639)+Summary!$B$55*(Inputs!$B$20+Skills!Q9+B639))/100)*(1+Inputs!$B$15/100)*(5000/(6000+Inputs!$B$7*(1-Inputs!$B$18/100)))*(1+(Inputs!$B$23+((C628=TRUE)*(F628-Calc!F30)))/100)*(1+Skills!R9/100)*(1+(IF(Skills!A9="SHOWDOWN",Inputs!$B$16+((C621=TRUE)*(F621-Calc!F23)),Inputs!$B$17+((C627=TRUE)*(F627-Calc!F29))))/100)*(((1+(((C619=TRUE)*F619*IF(AND(Inputs!$B$4&lt;&gt;"pvp",Inputs!$B$35&gt;0),(((S619-1)*(Skills!Y21*(1+Inputs!$B$33/100))+MIN((Skills!Y21*(1+Inputs!$B$33/100)),MAX(0,Inputs!$B$35-((S619-1)*Skills!D21))))/Inputs!$B$35),IF(Inputs!$B$4="pvp",MIN((Skills!Y21*(1+Inputs!$B$33/100)),15)/15,(Skills!Y21*(1+Inputs!$B$33/100))/Skills!D21)))+((C626=TRUE)*(F626-Calc!F28))+((C616=TRUE)*(F616-Calc!F18)))/100)*(1+((C613=TRUE)*F613*IF(AND(Inputs!$B$4&lt;&gt;"pvp",Inputs!$B$35&gt;0),(((S613-1)*(Skills!Y15*(1+Inputs!$B$33/100))+MIN((Skills!Y15*(1+Inputs!$B$33/100)),MAX(0,Inputs!$B$35-((S613-1)*Skills!D15))))/Inputs!$B$35),IF(Inputs!$B$4="pvp",MIN((Skills!Y15*(1+Inputs!$B$33/100)),15)/15,(Skills!Y15*(1+Inputs!$B$33/100))/Skills!D15)))/100)*(1+((C604=TRUE)*F604*B632)/100))*B640*I607)</f>
        <v/>
      </c>
      <c r="L607">
        <f>K607*(MIN(Inputs!$B$21+((C622=TRUE)*(F622-Calc!F24)),Inputs!$B$22)/100+Inputs!$B$22/100)/2</f>
        <v/>
      </c>
      <c r="M607">
        <f>L607*(1+(Inputs!$B$9+((C624=TRUE)*(F624-Calc!F26))+B641)/100)</f>
        <v/>
      </c>
      <c r="N607">
        <f>L607*(1-MIN((Inputs!$B$8+((C623=TRUE)*(F623-Calc!F25))+B638),100)/100)+M607*(MIN((Inputs!$B$8+((C623=TRUE)*(F623-Calc!F25))+B638),100)/100)</f>
        <v/>
      </c>
      <c r="O607">
        <f>IF(C607,H607*N607*IF(AND(Inputs!$B$4&lt;&gt;"pvp",Inputs!$B$35&gt;0),((Skills!G9*((R607-1)*IF(Skills!H9&gt;0,Skills!I9/Skills!H9,1)+IF(Skills!H9&gt;0,MIN(Skills!I9,MAX(0,Inputs!$B$35-((R607-1)*IF(Inputs!$B$4="pvp",15,MAX(0.1,Skills!D9-IF(Skills!E9=TRUE,Inputs!$B$31,0))))))/Skills!H9,1)))/Inputs!$B$35),G607*Q607)*IF(Inputs!$B$4="pvp",1,(1-Summary!$B$55)*(1)+Summary!$B$55*(MIN(Skills!W9,Inputs!$B$37))),0)</f>
        <v/>
      </c>
      <c r="P607">
        <f>IF(B642=0,0,O607/B642)</f>
        <v/>
      </c>
      <c r="Q607">
        <f>IFERROR(1/IF(Inputs!$B$4="pvp",15,MAX(0.1,Skills!D9-IF(Skills!E9=TRUE,Inputs!$B$31,0))),0)</f>
        <v/>
      </c>
      <c r="R607">
        <f>IF(AND(Inputs!$B$4&lt;&gt;"pvp",Inputs!$B$35&gt;0),(INT(Inputs!$B$35/IF(Inputs!$B$4="pvp",15,MAX(0.1,Skills!D9-IF(Skills!E9=TRUE,Inputs!$B$31,0))))+1),0)</f>
        <v/>
      </c>
      <c r="S607">
        <f>IFERROR(O607/N607,0)</f>
        <v/>
      </c>
    </row>
    <row r="608">
      <c r="A608">
        <f>Skills!A10</f>
        <v/>
      </c>
      <c r="B608">
        <f>Skills!B10</f>
        <v/>
      </c>
      <c r="C608">
        <f>Inputs!$B$3&gt;=117</f>
        <v/>
      </c>
      <c r="D608">
        <f>IF(Skills!C10=1,60+Inputs!$B$24+Inputs!$B$28,IF(Skills!C10=2,90+Inputs!$B$25+Inputs!$B$28,IF(Skills!C10=3,120+Inputs!$B$26+Inputs!$B$28,MAX(0,(Inputs!$B$3-100)*3)+Inputs!$B$27+Inputs!$B$28)))</f>
        <v/>
      </c>
      <c r="E608">
        <f>INDEX(FactorTable!$B$2:$Y$301, MATCH(ROUND(MIN(300,MAX(1,D608)),0), FactorTable!$A$2:$A$301,0), Skills!M10+1)</f>
        <v/>
      </c>
      <c r="F608">
        <f>IF(Skills!N10=TRUE,(Skills!L10/10)*(E608/1000),Skills!L10/10)+Skills!O10</f>
        <v/>
      </c>
      <c r="G608">
        <f>Calc!G10</f>
        <v/>
      </c>
      <c r="H608">
        <f>Calc!H10</f>
        <v/>
      </c>
      <c r="I608">
        <f>IF(Skills!AA10&lt;&gt;"",1+(Skills!AA10/10)*(U601/1000)/100,1)</f>
        <v/>
      </c>
      <c r="J608">
        <f>(Inputs!$B$5*(1+Inputs!$B$6/100))*(F608/100)</f>
        <v/>
      </c>
      <c r="K608">
        <f>J608*(1+((Inputs!$B$11*(1+Inputs!$B$12/100))*0.01+Inputs!$B$13*0.0025)/100)*(1+Inputs!$B$14/100)*(1+IF(Inputs!$B$4="pvp",0,(1-Summary!$B$55)*(Inputs!$B$19+((C625=TRUE)*(F625-Calc!F27))+Skills!P10+B639)+Summary!$B$55*(Inputs!$B$20+Skills!Q10+B639))/100)*(1+Inputs!$B$15/100)*(5000/(6000+Inputs!$B$7*(1-Inputs!$B$18/100)))*(1+(Inputs!$B$23+((C628=TRUE)*(F628-Calc!F30)))/100)*(1+Skills!R10/100)*(1+(IF(Skills!A10="SHOWDOWN",Inputs!$B$16+((C621=TRUE)*(F621-Calc!F23)),Inputs!$B$17+((C627=TRUE)*(F627-Calc!F29))))/100)*(((1+(((C619=TRUE)*F619*IF(AND(Inputs!$B$4&lt;&gt;"pvp",Inputs!$B$35&gt;0),(((S619-1)*(Skills!Y21*(1+Inputs!$B$33/100))+MIN((Skills!Y21*(1+Inputs!$B$33/100)),MAX(0,Inputs!$B$35-((S619-1)*Skills!D21))))/Inputs!$B$35),IF(Inputs!$B$4="pvp",MIN((Skills!Y21*(1+Inputs!$B$33/100)),15)/15,(Skills!Y21*(1+Inputs!$B$33/100))/Skills!D21)))+((C626=TRUE)*(F626-Calc!F28))+((C616=TRUE)*(F616-Calc!F18)))/100)*(1+((C613=TRUE)*F613*IF(AND(Inputs!$B$4&lt;&gt;"pvp",Inputs!$B$35&gt;0),(((S613-1)*(Skills!Y15*(1+Inputs!$B$33/100))+MIN((Skills!Y15*(1+Inputs!$B$33/100)),MAX(0,Inputs!$B$35-((S613-1)*Skills!D15))))/Inputs!$B$35),IF(Inputs!$B$4="pvp",MIN((Skills!Y15*(1+Inputs!$B$33/100)),15)/15,(Skills!Y15*(1+Inputs!$B$33/100))/Skills!D15)))/100)*(1+((C604=TRUE)*F604*B632)/100))*B640*I608)</f>
        <v/>
      </c>
      <c r="L608">
        <f>K608*(MIN(Inputs!$B$21+((C622=TRUE)*(F622-Calc!F24)),Inputs!$B$22)/100+Inputs!$B$22/100)/2</f>
        <v/>
      </c>
      <c r="M608">
        <f>L608*(1+(Inputs!$B$9+((C624=TRUE)*(F624-Calc!F26))+B641)/100)</f>
        <v/>
      </c>
      <c r="N608">
        <f>L608*(1-MIN((Inputs!$B$8+((C623=TRUE)*(F623-Calc!F25))+B638),100)/100)+M608*(MIN((Inputs!$B$8+((C623=TRUE)*(F623-Calc!F25))+B638),100)/100)</f>
        <v/>
      </c>
      <c r="O608">
        <f>IF(C608,0.2*SUMPRODUCT((Skills!Z2:Z31=TRUE)*(C600:C629=TRUE)*S600:S629)*N608,0)</f>
        <v/>
      </c>
      <c r="P608">
        <f>IF(B642=0,0,O608/B642)</f>
        <v/>
      </c>
      <c r="Q608" t="n">
        <v>0</v>
      </c>
      <c r="R608" t="n">
        <v>0</v>
      </c>
      <c r="S608" t="n">
        <v>0</v>
      </c>
    </row>
    <row r="609">
      <c r="A609">
        <f>Skills!A11</f>
        <v/>
      </c>
      <c r="B609">
        <f>Skills!B11</f>
        <v/>
      </c>
      <c r="C609">
        <f>Inputs!$B$3&gt;=60</f>
        <v/>
      </c>
      <c r="D609">
        <f>IF(Skills!C11=1,60+Inputs!$B$24+Inputs!$B$28,IF(Skills!C11=2,90+Inputs!$B$25+Inputs!$B$28,IF(Skills!C11=3,120+Inputs!$B$26+Inputs!$B$28,MAX(0,(Inputs!$B$3-100)*3)+Inputs!$B$27+Inputs!$B$28)))</f>
        <v/>
      </c>
      <c r="E609">
        <f>INDEX(FactorTable!$B$2:$Y$301, MATCH(ROUND(MIN(300,MAX(1,D609)),0), FactorTable!$A$2:$A$301,0), Skills!M11+1)</f>
        <v/>
      </c>
      <c r="F609">
        <f>IF(Skills!N11=TRUE,(Skills!L11/10)*(E609/1000),Skills!L11/10)+Skills!O11</f>
        <v/>
      </c>
      <c r="G609">
        <f>Calc!G11</f>
        <v/>
      </c>
      <c r="H609">
        <f>Calc!H11</f>
        <v/>
      </c>
      <c r="I609">
        <f>IF(Skills!AA11&lt;&gt;"",1+(Skills!AA11/10)*(U601/1000)/100,1)</f>
        <v/>
      </c>
      <c r="J609" t="inlineStr"/>
      <c r="K609" t="inlineStr"/>
      <c r="L609" t="inlineStr"/>
      <c r="M609" t="inlineStr"/>
      <c r="N609" t="inlineStr"/>
      <c r="O609" t="n">
        <v>0</v>
      </c>
      <c r="P609">
        <f>IF(B642=0,0,O609/B642)</f>
        <v/>
      </c>
      <c r="Q609" t="n">
        <v>0</v>
      </c>
      <c r="R609" t="n">
        <v>0</v>
      </c>
      <c r="S609">
        <f>IFERROR(O609/N609,0)</f>
        <v/>
      </c>
    </row>
    <row r="610">
      <c r="A610">
        <f>Skills!A12</f>
        <v/>
      </c>
      <c r="B610">
        <f>Skills!B12</f>
        <v/>
      </c>
      <c r="C610">
        <f>Inputs!$B$3&gt;=103</f>
        <v/>
      </c>
      <c r="D610">
        <f>IF(Skills!C12=1,60+Inputs!$B$24+Inputs!$B$28,IF(Skills!C12=2,90+Inputs!$B$25+Inputs!$B$28,IF(Skills!C12=3,120+Inputs!$B$26+Inputs!$B$28,MAX(0,(Inputs!$B$3-100)*3)+Inputs!$B$27+Inputs!$B$28)))</f>
        <v/>
      </c>
      <c r="E610">
        <f>INDEX(FactorTable!$B$2:$Y$301, MATCH(ROUND(MIN(300,MAX(1,D610)),0), FactorTable!$A$2:$A$301,0), Skills!M12+1)</f>
        <v/>
      </c>
      <c r="F610">
        <f>IF(Skills!N12=TRUE,(Skills!L12/10)*(E610/1000),Skills!L12/10)+Skills!O12</f>
        <v/>
      </c>
      <c r="G610">
        <f>Calc!G12</f>
        <v/>
      </c>
      <c r="H610">
        <f>Calc!H12</f>
        <v/>
      </c>
      <c r="I610">
        <f>IF(Skills!AA12&lt;&gt;"",1+(Skills!AA12/10)*(U601/1000)/100,1)</f>
        <v/>
      </c>
      <c r="J610">
        <f>(Inputs!$B$5*(1+Inputs!$B$6/100))*(F610/100)</f>
        <v/>
      </c>
      <c r="K610">
        <f>J610*(1+((Inputs!$B$11*(1+Inputs!$B$12/100))*0.01+Inputs!$B$13*0.0025)/100)*(1+Inputs!$B$14/100)*(1+IF(Inputs!$B$4="pvp",0,(1-Summary!$B$55)*(Inputs!$B$19+((C625=TRUE)*(F625-Calc!F27))+Skills!P12+B639)+Summary!$B$55*(Inputs!$B$20+Skills!Q12+B639))/100)*(1+Inputs!$B$15/100)*(5000/(6000+Inputs!$B$7*(1-Inputs!$B$18/100)))*(1+(Inputs!$B$23+((C628=TRUE)*(F628-Calc!F30)))/100)*(1+Skills!R12/100)*(1+(IF(Skills!A12="SHOWDOWN",Inputs!$B$16+((C621=TRUE)*(F621-Calc!F23)),Inputs!$B$17+((C627=TRUE)*(F627-Calc!F29))))/100)*(((1+(((C619=TRUE)*F619*IF(AND(Inputs!$B$4&lt;&gt;"pvp",Inputs!$B$35&gt;0),(((S619-1)*(Skills!Y21*(1+Inputs!$B$33/100))+MIN((Skills!Y21*(1+Inputs!$B$33/100)),MAX(0,Inputs!$B$35-((S619-1)*Skills!D21))))/Inputs!$B$35),IF(Inputs!$B$4="pvp",MIN((Skills!Y21*(1+Inputs!$B$33/100)),15)/15,(Skills!Y21*(1+Inputs!$B$33/100))/Skills!D21)))+((C626=TRUE)*(F626-Calc!F28))+((C616=TRUE)*(F616-Calc!F18)))/100)*(1+((C613=TRUE)*F613*IF(AND(Inputs!$B$4&lt;&gt;"pvp",Inputs!$B$35&gt;0),(((S613-1)*(Skills!Y15*(1+Inputs!$B$33/100))+MIN((Skills!Y15*(1+Inputs!$B$33/100)),MAX(0,Inputs!$B$35-((S613-1)*Skills!D15))))/Inputs!$B$35),IF(Inputs!$B$4="pvp",MIN((Skills!Y15*(1+Inputs!$B$33/100)),15)/15,(Skills!Y15*(1+Inputs!$B$33/100))/Skills!D15)))/100)*(1+((C604=TRUE)*F604*B632)/100))*B640*I610)</f>
        <v/>
      </c>
      <c r="L610">
        <f>K610*(MIN(Inputs!$B$21+((C622=TRUE)*(F622-Calc!F24)),Inputs!$B$22)/100+Inputs!$B$22/100)/2</f>
        <v/>
      </c>
      <c r="M610">
        <f>L610*(1+(Inputs!$B$9+((C624=TRUE)*(F624-Calc!F26))+B641)/100)</f>
        <v/>
      </c>
      <c r="N610">
        <f>L610*(1-MIN((Inputs!$B$8+((C623=TRUE)*(F623-Calc!F25))+B638),100)/100)+M610*(MIN((Inputs!$B$8+((C623=TRUE)*(F623-Calc!F25))+B638),100)/100)</f>
        <v/>
      </c>
      <c r="O610">
        <f>IF(C610,H610*N610*IF(AND(Inputs!$B$4&lt;&gt;"pvp",Inputs!$B$35&gt;0),((Skills!G12*((R610-1)*IF(Skills!H12&gt;0,Skills!I12/Skills!H12,1)+IF(Skills!H12&gt;0,MIN(Skills!I12,MAX(0,Inputs!$B$35-((R610-1)*IF(Inputs!$B$4="pvp",15,MAX(0.1,Skills!D12-IF(Skills!E12=TRUE,Inputs!$B$31,0))))))/Skills!H12,1)))/Inputs!$B$35),G610*Q610)*IF(Inputs!$B$4="pvp",1,(1-Summary!$B$55)*(1)+Summary!$B$55*(MIN(Skills!W12,Inputs!$B$37))),0)</f>
        <v/>
      </c>
      <c r="P610">
        <f>IF(B642=0,0,O610/B642)</f>
        <v/>
      </c>
      <c r="Q610">
        <f>IFERROR(1/IF(Inputs!$B$4="pvp",15,MAX(0.1,Skills!D12-IF(Skills!E12=TRUE,Inputs!$B$31,0))),0)</f>
        <v/>
      </c>
      <c r="R610">
        <f>IF(AND(Inputs!$B$4&lt;&gt;"pvp",Inputs!$B$35&gt;0),(INT(Inputs!$B$35/IF(Inputs!$B$4="pvp",15,MAX(0.1,Skills!D12-IF(Skills!E12=TRUE,Inputs!$B$31,0))))+1),0)</f>
        <v/>
      </c>
      <c r="S610">
        <f>IFERROR(O610/N610,0)</f>
        <v/>
      </c>
    </row>
    <row r="611">
      <c r="A611">
        <f>Skills!A13</f>
        <v/>
      </c>
      <c r="B611">
        <f>Skills!B13</f>
        <v/>
      </c>
      <c r="C611">
        <f>Inputs!$B$3&gt;=105</f>
        <v/>
      </c>
      <c r="D611">
        <f>IF(Skills!C13=1,60+Inputs!$B$24+Inputs!$B$28,IF(Skills!C13=2,90+Inputs!$B$25+Inputs!$B$28,IF(Skills!C13=3,120+Inputs!$B$26+Inputs!$B$28,MAX(0,(Inputs!$B$3-100)*3)+Inputs!$B$27+Inputs!$B$28)))</f>
        <v/>
      </c>
      <c r="E611">
        <f>INDEX(FactorTable!$B$2:$Y$301, MATCH(ROUND(MIN(300,MAX(1,D611)),0), FactorTable!$A$2:$A$301,0), Skills!M13+1)</f>
        <v/>
      </c>
      <c r="F611">
        <f>IF(Skills!N13=TRUE,(Skills!L13/10)*(E611/1000),Skills!L13/10)+Skills!O13</f>
        <v/>
      </c>
      <c r="G611">
        <f>Calc!G13</f>
        <v/>
      </c>
      <c r="H611">
        <f>Calc!H13</f>
        <v/>
      </c>
      <c r="I611">
        <f>IF(Skills!AA13&lt;&gt;"",1+(Skills!AA13/10)*(U601/1000)/100,1)</f>
        <v/>
      </c>
      <c r="J611">
        <f>(Inputs!$B$5*(1+Inputs!$B$6/100))*(F611/100)</f>
        <v/>
      </c>
      <c r="K611">
        <f>J611*(1+((Inputs!$B$11*(1+Inputs!$B$12/100))*0.01+Inputs!$B$13*0.0025)/100)*(1+Inputs!$B$14/100)*(1+IF(Inputs!$B$4="pvp",0,(1-Summary!$B$55)*(Inputs!$B$19+((C625=TRUE)*(F625-Calc!F27))+Skills!P13+B639)+Summary!$B$55*(Inputs!$B$20+Skills!Q13+B639))/100)*(1+Inputs!$B$15/100)*(5000/(6000+Inputs!$B$7*(1-Inputs!$B$18/100)))*(1+(Inputs!$B$23+((C628=TRUE)*(F628-Calc!F30)))/100)*(1+Skills!R13/100)*(1+(IF(Skills!A13="SHOWDOWN",Inputs!$B$16+((C621=TRUE)*(F621-Calc!F23)),Inputs!$B$17+((C627=TRUE)*(F627-Calc!F29))))/100)*(((1+(((C619=TRUE)*F619*IF(AND(Inputs!$B$4&lt;&gt;"pvp",Inputs!$B$35&gt;0),(((S619-1)*(Skills!Y21*(1+Inputs!$B$33/100))+MIN((Skills!Y21*(1+Inputs!$B$33/100)),MAX(0,Inputs!$B$35-((S619-1)*Skills!D21))))/Inputs!$B$35),IF(Inputs!$B$4="pvp",MIN((Skills!Y21*(1+Inputs!$B$33/100)),15)/15,(Skills!Y21*(1+Inputs!$B$33/100))/Skills!D21)))+((C626=TRUE)*(F626-Calc!F28))+((C616=TRUE)*(F616-Calc!F18)))/100)*(1+((C613=TRUE)*F613*IF(AND(Inputs!$B$4&lt;&gt;"pvp",Inputs!$B$35&gt;0),(((S613-1)*(Skills!Y15*(1+Inputs!$B$33/100))+MIN((Skills!Y15*(1+Inputs!$B$33/100)),MAX(0,Inputs!$B$35-((S613-1)*Skills!D15))))/Inputs!$B$35),IF(Inputs!$B$4="pvp",MIN((Skills!Y15*(1+Inputs!$B$33/100)),15)/15,(Skills!Y15*(1+Inputs!$B$33/100))/Skills!D15)))/100)*(1+((C604=TRUE)*F604*B632)/100))*B640*I611)</f>
        <v/>
      </c>
      <c r="L611">
        <f>K611*(MIN(Inputs!$B$21+((C622=TRUE)*(F622-Calc!F24)),Inputs!$B$22)/100+Inputs!$B$22/100)/2</f>
        <v/>
      </c>
      <c r="M611">
        <f>L611*(1+(Inputs!$B$9+((C624=TRUE)*(F624-Calc!F26))+B641)/100)</f>
        <v/>
      </c>
      <c r="N611">
        <f>L611*(1-MIN((Inputs!$B$8+((C623=TRUE)*(F623-Calc!F25))+B638),100)/100)+M611*(MIN((Inputs!$B$8+((C623=TRUE)*(F623-Calc!F25))+B638),100)/100)</f>
        <v/>
      </c>
      <c r="O611">
        <f>IF(C611,H611*N611*IF(AND(Inputs!$B$4&lt;&gt;"pvp",Inputs!$B$35&gt;0),((Skills!G13*((R611-1)*IF(Skills!H13&gt;0,Skills!I13/Skills!H13,1)+IF(Skills!H13&gt;0,MIN(Skills!I13,MAX(0,Inputs!$B$35-((R611-1)*IF(Inputs!$B$4="pvp",15,MAX(0.1,Skills!D13-IF(Skills!E13=TRUE,Inputs!$B$31,0))))))/Skills!H13,1)))/Inputs!$B$35),G611*Q611)*IF(Inputs!$B$4="pvp",1,(1-Summary!$B$55)*(1)+Summary!$B$55*(MIN(Skills!W13,Inputs!$B$37))),0)</f>
        <v/>
      </c>
      <c r="P611">
        <f>IF(B642=0,0,O611/B642)</f>
        <v/>
      </c>
      <c r="Q611">
        <f>IFERROR(1/IF(Inputs!$B$4="pvp",15,MAX(0.1,Skills!D13-IF(Skills!E13=TRUE,Inputs!$B$31,0))),0)</f>
        <v/>
      </c>
      <c r="R611">
        <f>IF(AND(Inputs!$B$4&lt;&gt;"pvp",Inputs!$B$35&gt;0),(INT(Inputs!$B$35/IF(Inputs!$B$4="pvp",15,MAX(0.1,Skills!D13-IF(Skills!E13=TRUE,Inputs!$B$31,0))))+1),0)</f>
        <v/>
      </c>
      <c r="S611">
        <f>IFERROR(O611/N611,0)</f>
        <v/>
      </c>
    </row>
    <row r="612">
      <c r="A612">
        <f>Skills!A14</f>
        <v/>
      </c>
      <c r="B612">
        <f>Skills!B14</f>
        <v/>
      </c>
      <c r="C612">
        <f>Inputs!$B$3&gt;=105</f>
        <v/>
      </c>
      <c r="D612">
        <f>IF(Skills!C14=1,60+Inputs!$B$24+Inputs!$B$28,IF(Skills!C14=2,90+Inputs!$B$25+Inputs!$B$28,IF(Skills!C14=3,120+Inputs!$B$26+Inputs!$B$28,MAX(0,(Inputs!$B$3-100)*3)+Inputs!$B$27+Inputs!$B$28)))</f>
        <v/>
      </c>
      <c r="E612">
        <f>INDEX(FactorTable!$B$2:$Y$301, MATCH(ROUND(MIN(300,MAX(1,D612)),0), FactorTable!$A$2:$A$301,0), Skills!M14+1)</f>
        <v/>
      </c>
      <c r="F612">
        <f>IF(Skills!N14=TRUE,(Skills!L14/10)*(E612/1000),Skills!L14/10)+Skills!O14</f>
        <v/>
      </c>
      <c r="G612">
        <f>Calc!G14</f>
        <v/>
      </c>
      <c r="H612">
        <f>Calc!H14</f>
        <v/>
      </c>
      <c r="I612">
        <f>IF(Skills!AA14&lt;&gt;"",1+(Skills!AA14/10)*(U601/1000)/100,1)</f>
        <v/>
      </c>
      <c r="J612">
        <f>(Inputs!$B$5*(1+Inputs!$B$6/100))*(F612/100)</f>
        <v/>
      </c>
      <c r="K612">
        <f>J612*(1+((Inputs!$B$11*(1+Inputs!$B$12/100))*0.01+Inputs!$B$13*0.0025)/100)*(1+Inputs!$B$14/100)*(1+IF(Inputs!$B$4="pvp",0,(1-Summary!$B$55)*(Inputs!$B$19+((C625=TRUE)*(F625-Calc!F27))+Skills!P14+B639)+Summary!$B$55*(Inputs!$B$20+Skills!Q14+B639))/100)*(1+Inputs!$B$15/100)*(5000/(6000+Inputs!$B$7*(1-Inputs!$B$18/100)))*(1+(Inputs!$B$23+((C628=TRUE)*(F628-Calc!F30)))/100)*(1+Skills!R14/100)*(1+(IF(Skills!A14="SHOWDOWN",Inputs!$B$16+((C621=TRUE)*(F621-Calc!F23)),Inputs!$B$17+((C627=TRUE)*(F627-Calc!F29))))/100)*(((1+(((C619=TRUE)*F619*IF(AND(Inputs!$B$4&lt;&gt;"pvp",Inputs!$B$35&gt;0),(((S619-1)*(Skills!Y21*(1+Inputs!$B$33/100))+MIN((Skills!Y21*(1+Inputs!$B$33/100)),MAX(0,Inputs!$B$35-((S619-1)*Skills!D21))))/Inputs!$B$35),IF(Inputs!$B$4="pvp",MIN((Skills!Y21*(1+Inputs!$B$33/100)),15)/15,(Skills!Y21*(1+Inputs!$B$33/100))/Skills!D21)))+((C626=TRUE)*(F626-Calc!F28))+((C616=TRUE)*(F616-Calc!F18)))/100)*(1+((C613=TRUE)*F613*IF(AND(Inputs!$B$4&lt;&gt;"pvp",Inputs!$B$35&gt;0),(((S613-1)*(Skills!Y15*(1+Inputs!$B$33/100))+MIN((Skills!Y15*(1+Inputs!$B$33/100)),MAX(0,Inputs!$B$35-((S613-1)*Skills!D15))))/Inputs!$B$35),IF(Inputs!$B$4="pvp",MIN((Skills!Y15*(1+Inputs!$B$33/100)),15)/15,(Skills!Y15*(1+Inputs!$B$33/100))/Skills!D15)))/100)*(1+((C604=TRUE)*F604*B632)/100))*B640*I612)</f>
        <v/>
      </c>
      <c r="L612">
        <f>K612*(MIN(Inputs!$B$21+((C622=TRUE)*(F622-Calc!F24)),Inputs!$B$22)/100+Inputs!$B$22/100)/2</f>
        <v/>
      </c>
      <c r="M612">
        <f>L612*(1+(Inputs!$B$9+((C624=TRUE)*(F624-Calc!F26))+B641)/100)</f>
        <v/>
      </c>
      <c r="N612">
        <f>L612*(1-MIN((Inputs!$B$8+((C623=TRUE)*(F623-Calc!F25))+B638),100)/100)+M612*(MIN((Inputs!$B$8+((C623=TRUE)*(F623-Calc!F25))+B638),100)/100)</f>
        <v/>
      </c>
      <c r="O612">
        <f>IF(C612,H612*N612*IF(AND(Inputs!$B$4&lt;&gt;"pvp",Inputs!$B$35&gt;0),((Skills!G14*((R612-1)*IF(Skills!H14&gt;0,Skills!I14/Skills!H14,1)+IF(Skills!H14&gt;0,MIN(Skills!I14,MAX(0,Inputs!$B$35-((R612-1)*IF(Inputs!$B$4="pvp",15,MAX(0.1,Skills!D14-IF(Skills!E14=TRUE,Inputs!$B$31,0))))))/Skills!H14,1)))/Inputs!$B$35),G612*Q612)*IF(Inputs!$B$4="pvp",1,(1-Summary!$B$55)*(1)+Summary!$B$55*(MIN(Skills!W14,Inputs!$B$37))),0)</f>
        <v/>
      </c>
      <c r="P612">
        <f>IF(B642=0,0,O612/B642)</f>
        <v/>
      </c>
      <c r="Q612">
        <f>IFERROR(1/IF(Inputs!$B$4="pvp",15,MAX(0.1,Skills!D14-IF(Skills!E14=TRUE,Inputs!$B$31,0))),0)</f>
        <v/>
      </c>
      <c r="R612">
        <f>IF(AND(Inputs!$B$4&lt;&gt;"pvp",Inputs!$B$35&gt;0),(INT(Inputs!$B$35/IF(Inputs!$B$4="pvp",15,MAX(0.1,Skills!D14-IF(Skills!E14=TRUE,Inputs!$B$31,0))))+1),0)</f>
        <v/>
      </c>
      <c r="S612">
        <f>IFERROR(O612/N612,0)</f>
        <v/>
      </c>
    </row>
    <row r="613">
      <c r="A613">
        <f>Skills!A15</f>
        <v/>
      </c>
      <c r="B613">
        <f>Skills!B15</f>
        <v/>
      </c>
      <c r="C613">
        <f>Inputs!$B$3&gt;=110</f>
        <v/>
      </c>
      <c r="D613">
        <f>IF(Skills!C15=1,60+Inputs!$B$24+Inputs!$B$28,IF(Skills!C15=2,90+Inputs!$B$25+Inputs!$B$28,IF(Skills!C15=3,120+Inputs!$B$26+Inputs!$B$28,MAX(0,(Inputs!$B$3-100)*3)+Inputs!$B$27+Inputs!$B$28)))</f>
        <v/>
      </c>
      <c r="E613">
        <f>INDEX(FactorTable!$B$2:$Y$301, MATCH(ROUND(MIN(300,MAX(1,D613)),0), FactorTable!$A$2:$A$301,0), Skills!M15+1)</f>
        <v/>
      </c>
      <c r="F613">
        <f>IF(Skills!N15=TRUE,(Skills!L15/10)*(E613/1000),Skills!L15/10)+Skills!O15</f>
        <v/>
      </c>
      <c r="G613">
        <f>Calc!G15</f>
        <v/>
      </c>
      <c r="H613">
        <f>Calc!H15</f>
        <v/>
      </c>
      <c r="I613">
        <f>IF(Skills!AA15&lt;&gt;"",1+(Skills!AA15/10)*(U601/1000)/100,1)</f>
        <v/>
      </c>
      <c r="J613" t="inlineStr"/>
      <c r="K613" t="inlineStr"/>
      <c r="L613" t="inlineStr"/>
      <c r="M613" t="inlineStr"/>
      <c r="N613" t="inlineStr"/>
      <c r="O613" t="n">
        <v>0</v>
      </c>
      <c r="P613">
        <f>IF(B642=0,0,O613/B642)</f>
        <v/>
      </c>
      <c r="Q613">
        <f>IFERROR(1/IF(Inputs!$B$4="pvp",15,MAX(0.1,Skills!D15-IF(Skills!E15=TRUE,Inputs!$B$31,0))),0)</f>
        <v/>
      </c>
      <c r="R613">
        <f>IF(AND(Inputs!$B$4&lt;&gt;"pvp",Inputs!$B$35&gt;0),(INT(Inputs!$B$35/IF(Inputs!$B$4="pvp",15,MAX(0.1,Skills!D15-IF(Skills!E15=TRUE,Inputs!$B$31,0))))+1),0)</f>
        <v/>
      </c>
      <c r="S613">
        <f>IFERROR(O613/N613,0)</f>
        <v/>
      </c>
    </row>
    <row r="614">
      <c r="A614">
        <f>Skills!A16</f>
        <v/>
      </c>
      <c r="B614">
        <f>Skills!B16</f>
        <v/>
      </c>
      <c r="C614">
        <f>Inputs!$B$3&gt;=110</f>
        <v/>
      </c>
      <c r="D614">
        <f>IF(Skills!C16=1,60+Inputs!$B$24+Inputs!$B$28,IF(Skills!C16=2,90+Inputs!$B$25+Inputs!$B$28,IF(Skills!C16=3,120+Inputs!$B$26+Inputs!$B$28,MAX(0,(Inputs!$B$3-100)*3)+Inputs!$B$27+Inputs!$B$28)))</f>
        <v/>
      </c>
      <c r="E614">
        <f>INDEX(FactorTable!$B$2:$Y$301, MATCH(ROUND(MIN(300,MAX(1,D614)),0), FactorTable!$A$2:$A$301,0), Skills!M16+1)</f>
        <v/>
      </c>
      <c r="F614">
        <f>IF(Skills!N16=TRUE,(Skills!L16/10)*(E614/1000),Skills!L16/10)+Skills!O16</f>
        <v/>
      </c>
      <c r="G614">
        <f>Calc!G16</f>
        <v/>
      </c>
      <c r="H614">
        <f>Calc!H16</f>
        <v/>
      </c>
      <c r="I614">
        <f>IF(Skills!AA16&lt;&gt;"",1+(Skills!AA16/10)*(U601/1000)/100,1)</f>
        <v/>
      </c>
      <c r="J614" t="inlineStr"/>
      <c r="K614" t="inlineStr"/>
      <c r="L614" t="inlineStr"/>
      <c r="M614" t="inlineStr"/>
      <c r="N614" t="inlineStr"/>
      <c r="O614" t="n">
        <v>0</v>
      </c>
      <c r="P614">
        <f>IF(B642=0,0,O614/B642)</f>
        <v/>
      </c>
      <c r="Q614">
        <f>IFERROR(1/IF(Inputs!$B$4="pvp",15,MAX(0.1,Skills!D16-IF(Skills!E16=TRUE,Inputs!$B$31,0))),0)</f>
        <v/>
      </c>
      <c r="R614">
        <f>IF(AND(Inputs!$B$4&lt;&gt;"pvp",Inputs!$B$35&gt;0),(INT(Inputs!$B$35/IF(Inputs!$B$4="pvp",15,MAX(0.1,Skills!D16-IF(Skills!E16=TRUE,Inputs!$B$31,0))))+1),0)</f>
        <v/>
      </c>
      <c r="S614">
        <f>IFERROR(O614/N614,0)</f>
        <v/>
      </c>
    </row>
    <row r="615">
      <c r="A615">
        <f>Skills!A17</f>
        <v/>
      </c>
      <c r="B615">
        <f>Skills!B17</f>
        <v/>
      </c>
      <c r="C615">
        <f>Inputs!$B$3&gt;=115</f>
        <v/>
      </c>
      <c r="D615">
        <f>IF(Skills!C17=1,60+Inputs!$B$24+Inputs!$B$28,IF(Skills!C17=2,90+Inputs!$B$25+Inputs!$B$28,IF(Skills!C17=3,120+Inputs!$B$26+Inputs!$B$28,MAX(0,(Inputs!$B$3-100)*3)+Inputs!$B$27+Inputs!$B$28)))</f>
        <v/>
      </c>
      <c r="E615">
        <f>INDEX(FactorTable!$B$2:$Y$301, MATCH(ROUND(MIN(300,MAX(1,D615)),0), FactorTable!$A$2:$A$301,0), Skills!M17+1)</f>
        <v/>
      </c>
      <c r="F615">
        <f>IF(Skills!N17=TRUE,(Skills!L17/10)*(E615/1000),Skills!L17/10)+Skills!O17</f>
        <v/>
      </c>
      <c r="G615">
        <f>Calc!G17</f>
        <v/>
      </c>
      <c r="H615">
        <f>Calc!H17</f>
        <v/>
      </c>
      <c r="I615">
        <f>IF(Skills!AA17&lt;&gt;"",1+(Skills!AA17/10)*(U601/1000)/100,1)</f>
        <v/>
      </c>
      <c r="J615">
        <f>(Inputs!$B$5*(1+Inputs!$B$6/100))*(F615/100)</f>
        <v/>
      </c>
      <c r="K615">
        <f>J615*(1+((Inputs!$B$11*(1+Inputs!$B$12/100))*0.01+Inputs!$B$13*0.0025)/100)*(1+Inputs!$B$14/100)*(1+IF(Inputs!$B$4="pvp",0,(1-Summary!$B$55)*(Inputs!$B$19+((C625=TRUE)*(F625-Calc!F27))+Skills!P17+B639)+Summary!$B$55*(Inputs!$B$20+Skills!Q17+B639))/100)*(1+Inputs!$B$15/100)*(5000/(6000+Inputs!$B$7*(1-Inputs!$B$18/100)))*(1+(Inputs!$B$23+((C628=TRUE)*(F628-Calc!F30)))/100)*(1+Skills!R17/100)*(1+(IF(Skills!A17="SHOWDOWN",Inputs!$B$16+((C621=TRUE)*(F621-Calc!F23)),Inputs!$B$17+((C627=TRUE)*(F627-Calc!F29))))/100)*(((1+(((C619=TRUE)*F619*IF(AND(Inputs!$B$4&lt;&gt;"pvp",Inputs!$B$35&gt;0),(((S619-1)*(Skills!Y21*(1+Inputs!$B$33/100))+MIN((Skills!Y21*(1+Inputs!$B$33/100)),MAX(0,Inputs!$B$35-((S619-1)*Skills!D21))))/Inputs!$B$35),IF(Inputs!$B$4="pvp",MIN((Skills!Y21*(1+Inputs!$B$33/100)),15)/15,(Skills!Y21*(1+Inputs!$B$33/100))/Skills!D21)))+((C626=TRUE)*(F626-Calc!F28))+((C616=TRUE)*(F616-Calc!F18)))/100)*(1+((C613=TRUE)*F613*IF(AND(Inputs!$B$4&lt;&gt;"pvp",Inputs!$B$35&gt;0),(((S613-1)*(Skills!Y15*(1+Inputs!$B$33/100))+MIN((Skills!Y15*(1+Inputs!$B$33/100)),MAX(0,Inputs!$B$35-((S613-1)*Skills!D15))))/Inputs!$B$35),IF(Inputs!$B$4="pvp",MIN((Skills!Y15*(1+Inputs!$B$33/100)),15)/15,(Skills!Y15*(1+Inputs!$B$33/100))/Skills!D15)))/100)*(1+((C604=TRUE)*F604*B632)/100))*B640*I615)</f>
        <v/>
      </c>
      <c r="L615">
        <f>K615*(MIN(Inputs!$B$21+((C622=TRUE)*(F622-Calc!F24)),Inputs!$B$22)/100+Inputs!$B$22/100)/2</f>
        <v/>
      </c>
      <c r="M615">
        <f>L615*(1+(Inputs!$B$9+((C624=TRUE)*(F624-Calc!F26))+B641)/100)</f>
        <v/>
      </c>
      <c r="N615">
        <f>L615*(1-MIN((Inputs!$B$8+((C623=TRUE)*(F623-Calc!F25))+B638),100)/100)+M615*(MIN((Inputs!$B$8+((C623=TRUE)*(F623-Calc!F25))+B638),100)/100)</f>
        <v/>
      </c>
      <c r="O615">
        <f>IF(C615,Inputs!$B$38*0.2*N615,0)</f>
        <v/>
      </c>
      <c r="P615">
        <f>IF(B642=0,0,O615/B642)</f>
        <v/>
      </c>
      <c r="Q615" t="n">
        <v>0</v>
      </c>
      <c r="R615" t="n">
        <v>0</v>
      </c>
      <c r="S615">
        <f>IFERROR(O615/N615,0)</f>
        <v/>
      </c>
    </row>
    <row r="616">
      <c r="A616">
        <f>Skills!A18</f>
        <v/>
      </c>
      <c r="B616">
        <f>Skills!B18</f>
        <v/>
      </c>
      <c r="C616">
        <f>Inputs!$B$3&gt;=115</f>
        <v/>
      </c>
      <c r="D616">
        <f>IF(Skills!C18=1,60+Inputs!$B$24+Inputs!$B$28,IF(Skills!C18=2,90+Inputs!$B$25+Inputs!$B$28,IF(Skills!C18=3,120+Inputs!$B$26+Inputs!$B$28,MAX(0,(Inputs!$B$3-100)*3)+Inputs!$B$27+Inputs!$B$28)))</f>
        <v/>
      </c>
      <c r="E616">
        <f>INDEX(FactorTable!$B$2:$Y$301, MATCH(ROUND(MIN(300,MAX(1,D616)),0), FactorTable!$A$2:$A$301,0), Skills!M18+1)</f>
        <v/>
      </c>
      <c r="F616">
        <f>IF(Skills!N18=TRUE,(Skills!L18/10)*(E616/1000),Skills!L18/10)+Skills!O18</f>
        <v/>
      </c>
      <c r="G616">
        <f>Calc!G18</f>
        <v/>
      </c>
      <c r="H616">
        <f>Calc!H18</f>
        <v/>
      </c>
      <c r="I616">
        <f>IF(Skills!AA18&lt;&gt;"",1+(Skills!AA18/10)*(U601/1000)/100,1)</f>
        <v/>
      </c>
      <c r="J616" t="inlineStr"/>
      <c r="K616" t="inlineStr"/>
      <c r="L616" t="inlineStr"/>
      <c r="M616" t="inlineStr"/>
      <c r="N616" t="inlineStr"/>
      <c r="O616" t="n">
        <v>0</v>
      </c>
      <c r="P616">
        <f>IF(B642=0,0,O616/B642)</f>
        <v/>
      </c>
      <c r="Q616" t="n">
        <v>0</v>
      </c>
      <c r="R616" t="n">
        <v>0</v>
      </c>
      <c r="S616">
        <f>IFERROR(O616/N616,0)</f>
        <v/>
      </c>
    </row>
    <row r="617">
      <c r="A617">
        <f>Skills!A19</f>
        <v/>
      </c>
      <c r="B617">
        <f>Skills!B19</f>
        <v/>
      </c>
      <c r="C617">
        <f>TRUE</f>
        <v/>
      </c>
      <c r="D617">
        <f>IF(Skills!C19=1,60+Inputs!$B$24+Inputs!$B$28,IF(Skills!C19=2,90+Inputs!$B$25+Inputs!$B$28,IF(Skills!C19=3,120+Inputs!$B$26+Inputs!$B$28,MAX(0,(Inputs!$B$3-100)*3)+Inputs!$B$27+Inputs!$B$28)))</f>
        <v/>
      </c>
      <c r="E617">
        <f>INDEX(FactorTable!$B$2:$Y$301, MATCH(ROUND(MIN(300,MAX(1,D617)),0), FactorTable!$A$2:$A$301,0), Skills!M19+1)</f>
        <v/>
      </c>
      <c r="F617">
        <f>IF(Skills!N19=TRUE,(Skills!L19/10)*(E617/1000),Skills!L19/10)+Skills!O19</f>
        <v/>
      </c>
      <c r="G617">
        <f>Calc!G19</f>
        <v/>
      </c>
      <c r="H617">
        <f>Calc!H19</f>
        <v/>
      </c>
      <c r="I617">
        <f>IF(Skills!AA19&lt;&gt;"",1+(Skills!AA19/10)*(U601/1000)/100,1)</f>
        <v/>
      </c>
      <c r="J617" t="inlineStr"/>
      <c r="K617" t="inlineStr"/>
      <c r="L617" t="inlineStr"/>
      <c r="M617" t="inlineStr"/>
      <c r="N617" t="inlineStr"/>
      <c r="O617" t="n">
        <v>0</v>
      </c>
      <c r="P617">
        <f>IF(B642=0,0,O617/B642)</f>
        <v/>
      </c>
      <c r="Q617">
        <f>IFERROR(1/IF(Inputs!$B$4="pvp",15,MAX(0.1,Skills!D19-IF(Skills!E19=TRUE,Inputs!$B$31,0))),0)</f>
        <v/>
      </c>
      <c r="R617">
        <f>IF(AND(Inputs!$B$4&lt;&gt;"pvp",Inputs!$B$35&gt;0),(INT(Inputs!$B$35/IF(Inputs!$B$4="pvp",15,MAX(0.1,Skills!D19-IF(Skills!E19=TRUE,Inputs!$B$31,0))))+1),0)</f>
        <v/>
      </c>
      <c r="S617">
        <f>IFERROR(O617/N617,0)</f>
        <v/>
      </c>
    </row>
    <row r="618">
      <c r="A618">
        <f>Skills!A20</f>
        <v/>
      </c>
      <c r="B618">
        <f>Skills!B20</f>
        <v/>
      </c>
      <c r="C618">
        <f>Inputs!$B$3&gt;=15</f>
        <v/>
      </c>
      <c r="D618">
        <f>IF(Skills!C20=1,60+Inputs!$B$24+Inputs!$B$28,IF(Skills!C20=2,90+Inputs!$B$25+Inputs!$B$28,IF(Skills!C20=3,120+Inputs!$B$26+Inputs!$B$28,MAX(0,(Inputs!$B$3-100)*3)+Inputs!$B$27+Inputs!$B$28)))</f>
        <v/>
      </c>
      <c r="E618">
        <f>INDEX(FactorTable!$B$2:$Y$301, MATCH(ROUND(MIN(300,MAX(1,D618)),0), FactorTable!$A$2:$A$301,0), Skills!M20+1)</f>
        <v/>
      </c>
      <c r="F618">
        <f>IF(Skills!N20=TRUE,(Skills!L20/10)*(E618/1000),Skills!L20/10)+Skills!O20</f>
        <v/>
      </c>
      <c r="G618">
        <f>Calc!G20</f>
        <v/>
      </c>
      <c r="H618">
        <f>Calc!H20</f>
        <v/>
      </c>
      <c r="I618">
        <f>IF(Skills!AA20&lt;&gt;"",1+(Skills!AA20/10)*(U601/1000)/100,1)</f>
        <v/>
      </c>
      <c r="J618" t="inlineStr"/>
      <c r="K618" t="inlineStr"/>
      <c r="L618" t="inlineStr"/>
      <c r="M618" t="inlineStr"/>
      <c r="N618" t="inlineStr"/>
      <c r="O618" t="n">
        <v>0</v>
      </c>
      <c r="P618">
        <f>IF(B642=0,0,O618/B642)</f>
        <v/>
      </c>
      <c r="Q618">
        <f>IFERROR(1/IF(Inputs!$B$4="pvp",15,MAX(0.1,Skills!D20-IF(Skills!E20=TRUE,Inputs!$B$31,0))),0)</f>
        <v/>
      </c>
      <c r="R618">
        <f>IF(AND(Inputs!$B$4&lt;&gt;"pvp",Inputs!$B$35&gt;0),(INT(Inputs!$B$35/IF(Inputs!$B$4="pvp",15,MAX(0.1,Skills!D20-IF(Skills!E20=TRUE,Inputs!$B$31,0))))+1),0)</f>
        <v/>
      </c>
      <c r="S618">
        <f>IFERROR(O618/N618,0)</f>
        <v/>
      </c>
    </row>
    <row r="619">
      <c r="A619">
        <f>Skills!A21</f>
        <v/>
      </c>
      <c r="B619">
        <f>Skills!B21</f>
        <v/>
      </c>
      <c r="C619">
        <f>Inputs!$B$3&gt;=15</f>
        <v/>
      </c>
      <c r="D619">
        <f>IF(Skills!C21=1,60+Inputs!$B$24+Inputs!$B$28,IF(Skills!C21=2,90+Inputs!$B$25+Inputs!$B$28,IF(Skills!C21=3,120+Inputs!$B$26+Inputs!$B$28,MAX(0,(Inputs!$B$3-100)*3)+Inputs!$B$27+Inputs!$B$28)))</f>
        <v/>
      </c>
      <c r="E619">
        <f>INDEX(FactorTable!$B$2:$Y$301, MATCH(ROUND(MIN(300,MAX(1,D619)),0), FactorTable!$A$2:$A$301,0), Skills!M21+1)</f>
        <v/>
      </c>
      <c r="F619">
        <f>IF(Skills!N21=TRUE,(Skills!L21/10)*(E619/1000),Skills!L21/10)+Skills!O21</f>
        <v/>
      </c>
      <c r="G619">
        <f>Calc!G21</f>
        <v/>
      </c>
      <c r="H619">
        <f>Calc!H21</f>
        <v/>
      </c>
      <c r="I619">
        <f>IF(Skills!AA21&lt;&gt;"",1+(Skills!AA21/10)*(U601/1000)/100,1)</f>
        <v/>
      </c>
      <c r="J619" t="inlineStr"/>
      <c r="K619" t="inlineStr"/>
      <c r="L619" t="inlineStr"/>
      <c r="M619" t="inlineStr"/>
      <c r="N619" t="inlineStr"/>
      <c r="O619" t="n">
        <v>0</v>
      </c>
      <c r="P619">
        <f>IF(B642=0,0,O619/B642)</f>
        <v/>
      </c>
      <c r="Q619">
        <f>IFERROR(1/IF(Inputs!$B$4="pvp",15,MAX(0.1,Skills!D21-IF(Skills!E21=TRUE,Inputs!$B$31,0))),0)</f>
        <v/>
      </c>
      <c r="R619">
        <f>IF(AND(Inputs!$B$4&lt;&gt;"pvp",Inputs!$B$35&gt;0),(INT(Inputs!$B$35/IF(Inputs!$B$4="pvp",15,MAX(0.1,Skills!D21-IF(Skills!E21=TRUE,Inputs!$B$31,0))))+1),0)</f>
        <v/>
      </c>
      <c r="S619">
        <f>IFERROR(O619/N619,0)</f>
        <v/>
      </c>
    </row>
    <row r="620">
      <c r="A620">
        <f>Skills!A22</f>
        <v/>
      </c>
      <c r="B620">
        <f>Skills!B22</f>
        <v/>
      </c>
      <c r="C620">
        <f>Inputs!$B$3&gt;=33</f>
        <v/>
      </c>
      <c r="D620">
        <f>IF(Skills!C22=1,60+Inputs!$B$24+Inputs!$B$28,IF(Skills!C22=2,90+Inputs!$B$25+Inputs!$B$28,IF(Skills!C22=3,120+Inputs!$B$26+Inputs!$B$28,MAX(0,(Inputs!$B$3-100)*3)+Inputs!$B$27+Inputs!$B$28)))</f>
        <v/>
      </c>
      <c r="E620">
        <f>INDEX(FactorTable!$B$2:$Y$301, MATCH(ROUND(MIN(300,MAX(1,D620)),0), FactorTable!$A$2:$A$301,0), Skills!M22+1)</f>
        <v/>
      </c>
      <c r="F620">
        <f>IF(Skills!N22=TRUE,(Skills!L22/10)*(E620/1000),Skills!L22/10)+Skills!O22</f>
        <v/>
      </c>
      <c r="G620">
        <f>Calc!G22</f>
        <v/>
      </c>
      <c r="H620">
        <f>Calc!H22</f>
        <v/>
      </c>
      <c r="I620">
        <f>IF(Skills!AA22&lt;&gt;"",1+(Skills!AA22/10)*(U601/1000)/100,1)</f>
        <v/>
      </c>
      <c r="J620" t="inlineStr"/>
      <c r="K620" t="inlineStr"/>
      <c r="L620" t="inlineStr"/>
      <c r="M620" t="inlineStr"/>
      <c r="N620" t="inlineStr"/>
      <c r="O620" t="n">
        <v>0</v>
      </c>
      <c r="P620">
        <f>IF(B642=0,0,O620/B642)</f>
        <v/>
      </c>
      <c r="Q620" t="n">
        <v>0</v>
      </c>
      <c r="R620" t="n">
        <v>0</v>
      </c>
      <c r="S620">
        <f>IFERROR(O620/N620,0)</f>
        <v/>
      </c>
    </row>
    <row r="621">
      <c r="A621">
        <f>Skills!A23</f>
        <v/>
      </c>
      <c r="B621">
        <f>Skills!B23</f>
        <v/>
      </c>
      <c r="C621">
        <f>Inputs!$B$3&gt;=38</f>
        <v/>
      </c>
      <c r="D621">
        <f>IF(Skills!C23=1,60+Inputs!$B$24+Inputs!$B$28,IF(Skills!C23=2,90+Inputs!$B$25+Inputs!$B$28,IF(Skills!C23=3,120+Inputs!$B$26+Inputs!$B$28,MAX(0,(Inputs!$B$3-100)*3)+Inputs!$B$27+Inputs!$B$28)))</f>
        <v/>
      </c>
      <c r="E621">
        <f>INDEX(FactorTable!$B$2:$Y$301, MATCH(ROUND(MIN(300,MAX(1,D621)),0), FactorTable!$A$2:$A$301,0), Skills!M23+1)</f>
        <v/>
      </c>
      <c r="F621">
        <f>IF(Skills!N23=TRUE,(Skills!L23/10)*(E621/1000),Skills!L23/10)+Skills!O23</f>
        <v/>
      </c>
      <c r="G621">
        <f>Calc!G23</f>
        <v/>
      </c>
      <c r="H621">
        <f>Calc!H23</f>
        <v/>
      </c>
      <c r="I621">
        <f>IF(Skills!AA23&lt;&gt;"",1+(Skills!AA23/10)*(U601/1000)/100,1)</f>
        <v/>
      </c>
      <c r="J621" t="inlineStr"/>
      <c r="K621" t="inlineStr"/>
      <c r="L621" t="inlineStr"/>
      <c r="M621" t="inlineStr"/>
      <c r="N621" t="inlineStr"/>
      <c r="O621" t="n">
        <v>0</v>
      </c>
      <c r="P621">
        <f>IF(B642=0,0,O621/B642)</f>
        <v/>
      </c>
      <c r="Q621" t="n">
        <v>0</v>
      </c>
      <c r="R621" t="n">
        <v>0</v>
      </c>
      <c r="S621">
        <f>IFERROR(O621/N621,0)</f>
        <v/>
      </c>
    </row>
    <row r="622">
      <c r="A622">
        <f>Skills!A24</f>
        <v/>
      </c>
      <c r="B622">
        <f>Skills!B24</f>
        <v/>
      </c>
      <c r="C622">
        <f>Inputs!$B$3&gt;=40</f>
        <v/>
      </c>
      <c r="D622">
        <f>IF(Skills!C24=1,60+Inputs!$B$24+Inputs!$B$28,IF(Skills!C24=2,90+Inputs!$B$25+Inputs!$B$28,IF(Skills!C24=3,120+Inputs!$B$26+Inputs!$B$28,MAX(0,(Inputs!$B$3-100)*3)+Inputs!$B$27+Inputs!$B$28)))</f>
        <v/>
      </c>
      <c r="E622">
        <f>INDEX(FactorTable!$B$2:$Y$301, MATCH(ROUND(MIN(300,MAX(1,D622)),0), FactorTable!$A$2:$A$301,0), Skills!M24+1)</f>
        <v/>
      </c>
      <c r="F622">
        <f>IF(Skills!N24=TRUE,(Skills!L24/10)*(E622/1000),Skills!L24/10)+Skills!O24</f>
        <v/>
      </c>
      <c r="G622">
        <f>Calc!G24</f>
        <v/>
      </c>
      <c r="H622">
        <f>Calc!H24</f>
        <v/>
      </c>
      <c r="I622">
        <f>IF(Skills!AA24&lt;&gt;"",1+(Skills!AA24/10)*(U601/1000)/100,1)</f>
        <v/>
      </c>
      <c r="J622" t="inlineStr"/>
      <c r="K622" t="inlineStr"/>
      <c r="L622" t="inlineStr"/>
      <c r="M622" t="inlineStr"/>
      <c r="N622" t="inlineStr"/>
      <c r="O622" t="n">
        <v>0</v>
      </c>
      <c r="P622">
        <f>IF(B642=0,0,O622/B642)</f>
        <v/>
      </c>
      <c r="Q622" t="n">
        <v>0</v>
      </c>
      <c r="R622" t="n">
        <v>0</v>
      </c>
      <c r="S622">
        <f>IFERROR(O622/N622,0)</f>
        <v/>
      </c>
    </row>
    <row r="623">
      <c r="A623">
        <f>Skills!A25</f>
        <v/>
      </c>
      <c r="B623">
        <f>Skills!B25</f>
        <v/>
      </c>
      <c r="C623">
        <f>Inputs!$B$3&gt;=45</f>
        <v/>
      </c>
      <c r="D623">
        <f>IF(Skills!C25=1,60+Inputs!$B$24+Inputs!$B$28,IF(Skills!C25=2,90+Inputs!$B$25+Inputs!$B$28,IF(Skills!C25=3,120+Inputs!$B$26+Inputs!$B$28,MAX(0,(Inputs!$B$3-100)*3)+Inputs!$B$27+Inputs!$B$28)))</f>
        <v/>
      </c>
      <c r="E623">
        <f>INDEX(FactorTable!$B$2:$Y$301, MATCH(ROUND(MIN(300,MAX(1,D623)),0), FactorTable!$A$2:$A$301,0), Skills!M25+1)</f>
        <v/>
      </c>
      <c r="F623">
        <f>IF(Skills!N25=TRUE,(Skills!L25/10)*(E623/1000),Skills!L25/10)+Skills!O25</f>
        <v/>
      </c>
      <c r="G623">
        <f>Calc!G25</f>
        <v/>
      </c>
      <c r="H623">
        <f>Calc!H25</f>
        <v/>
      </c>
      <c r="I623">
        <f>IF(Skills!AA25&lt;&gt;"",1+(Skills!AA25/10)*(U601/1000)/100,1)</f>
        <v/>
      </c>
      <c r="J623" t="inlineStr"/>
      <c r="K623" t="inlineStr"/>
      <c r="L623" t="inlineStr"/>
      <c r="M623" t="inlineStr"/>
      <c r="N623" t="inlineStr"/>
      <c r="O623" t="n">
        <v>0</v>
      </c>
      <c r="P623">
        <f>IF(B642=0,0,O623/B642)</f>
        <v/>
      </c>
      <c r="Q623" t="n">
        <v>0</v>
      </c>
      <c r="R623" t="n">
        <v>0</v>
      </c>
      <c r="S623">
        <f>IFERROR(O623/N623,0)</f>
        <v/>
      </c>
    </row>
    <row r="624">
      <c r="A624">
        <f>Skills!A26</f>
        <v/>
      </c>
      <c r="B624">
        <f>Skills!B26</f>
        <v/>
      </c>
      <c r="C624">
        <f>Inputs!$B$3&gt;=45</f>
        <v/>
      </c>
      <c r="D624">
        <f>IF(Skills!C26=1,60+Inputs!$B$24+Inputs!$B$28,IF(Skills!C26=2,90+Inputs!$B$25+Inputs!$B$28,IF(Skills!C26=3,120+Inputs!$B$26+Inputs!$B$28,MAX(0,(Inputs!$B$3-100)*3)+Inputs!$B$27+Inputs!$B$28)))</f>
        <v/>
      </c>
      <c r="E624">
        <f>INDEX(FactorTable!$B$2:$Y$301, MATCH(ROUND(MIN(300,MAX(1,D624)),0), FactorTable!$A$2:$A$301,0), Skills!M26+1)</f>
        <v/>
      </c>
      <c r="F624">
        <f>IF(Skills!N26=TRUE,(Skills!L26/10)*(E624/1000),Skills!L26/10)+Skills!O26</f>
        <v/>
      </c>
      <c r="G624">
        <f>Calc!G26</f>
        <v/>
      </c>
      <c r="H624">
        <f>Calc!H26</f>
        <v/>
      </c>
      <c r="I624">
        <f>IF(Skills!AA26&lt;&gt;"",1+(Skills!AA26/10)*(U601/1000)/100,1)</f>
        <v/>
      </c>
      <c r="J624" t="inlineStr"/>
      <c r="K624" t="inlineStr"/>
      <c r="L624" t="inlineStr"/>
      <c r="M624" t="inlineStr"/>
      <c r="N624" t="inlineStr"/>
      <c r="O624" t="n">
        <v>0</v>
      </c>
      <c r="P624">
        <f>IF(B642=0,0,O624/B642)</f>
        <v/>
      </c>
      <c r="Q624" t="n">
        <v>0</v>
      </c>
      <c r="R624" t="n">
        <v>0</v>
      </c>
      <c r="S624">
        <f>IFERROR(O624/N624,0)</f>
        <v/>
      </c>
    </row>
    <row r="625">
      <c r="A625">
        <f>Skills!A27</f>
        <v/>
      </c>
      <c r="B625">
        <f>Skills!B27</f>
        <v/>
      </c>
      <c r="C625">
        <f>Inputs!$B$3&gt;=72</f>
        <v/>
      </c>
      <c r="D625">
        <f>IF(Skills!C27=1,60+Inputs!$B$24+Inputs!$B$28,IF(Skills!C27=2,90+Inputs!$B$25+Inputs!$B$28,IF(Skills!C27=3,120+Inputs!$B$26+Inputs!$B$28,MAX(0,(Inputs!$B$3-100)*3)+Inputs!$B$27+Inputs!$B$28)))</f>
        <v/>
      </c>
      <c r="E625">
        <f>INDEX(FactorTable!$B$2:$Y$301, MATCH(ROUND(MIN(300,MAX(1,D625)),0), FactorTable!$A$2:$A$301,0), Skills!M27+1)</f>
        <v/>
      </c>
      <c r="F625">
        <f>IF(Skills!N27=TRUE,(Skills!L27/10)*(E625/1000),Skills!L27/10)+Skills!O27</f>
        <v/>
      </c>
      <c r="G625">
        <f>Calc!G27</f>
        <v/>
      </c>
      <c r="H625">
        <f>Calc!H27</f>
        <v/>
      </c>
      <c r="I625">
        <f>IF(Skills!AA27&lt;&gt;"",1+(Skills!AA27/10)*(U601/1000)/100,1)</f>
        <v/>
      </c>
      <c r="J625" t="inlineStr"/>
      <c r="K625" t="inlineStr"/>
      <c r="L625" t="inlineStr"/>
      <c r="M625" t="inlineStr"/>
      <c r="N625" t="inlineStr"/>
      <c r="O625" t="n">
        <v>0</v>
      </c>
      <c r="P625">
        <f>IF(B642=0,0,O625/B642)</f>
        <v/>
      </c>
      <c r="Q625" t="n">
        <v>0</v>
      </c>
      <c r="R625" t="n">
        <v>0</v>
      </c>
      <c r="S625">
        <f>IFERROR(O625/N625,0)</f>
        <v/>
      </c>
    </row>
    <row r="626">
      <c r="A626">
        <f>Skills!A28</f>
        <v/>
      </c>
      <c r="B626">
        <f>Skills!B28</f>
        <v/>
      </c>
      <c r="C626">
        <f>Inputs!$B$3&gt;=75</f>
        <v/>
      </c>
      <c r="D626">
        <f>IF(Skills!C28=1,60+Inputs!$B$24+Inputs!$B$28,IF(Skills!C28=2,90+Inputs!$B$25+Inputs!$B$28,IF(Skills!C28=3,120+Inputs!$B$26+Inputs!$B$28,MAX(0,(Inputs!$B$3-100)*3)+Inputs!$B$27+Inputs!$B$28)))</f>
        <v/>
      </c>
      <c r="E626">
        <f>INDEX(FactorTable!$B$2:$Y$301, MATCH(ROUND(MIN(300,MAX(1,D626)),0), FactorTable!$A$2:$A$301,0), Skills!M28+1)</f>
        <v/>
      </c>
      <c r="F626">
        <f>IF(Skills!N28=TRUE,(Skills!L28/10)*(E626/1000),Skills!L28/10)+Skills!O28</f>
        <v/>
      </c>
      <c r="G626">
        <f>Calc!G28</f>
        <v/>
      </c>
      <c r="H626">
        <f>Calc!H28</f>
        <v/>
      </c>
      <c r="I626">
        <f>IF(Skills!AA28&lt;&gt;"",1+(Skills!AA28/10)*(U601/1000)/100,1)</f>
        <v/>
      </c>
      <c r="J626" t="inlineStr"/>
      <c r="K626" t="inlineStr"/>
      <c r="L626" t="inlineStr"/>
      <c r="M626" t="inlineStr"/>
      <c r="N626" t="inlineStr"/>
      <c r="O626" t="n">
        <v>0</v>
      </c>
      <c r="P626">
        <f>IF(B642=0,0,O626/B642)</f>
        <v/>
      </c>
      <c r="Q626" t="n">
        <v>0</v>
      </c>
      <c r="R626" t="n">
        <v>0</v>
      </c>
      <c r="S626">
        <f>IFERROR(O626/N626,0)</f>
        <v/>
      </c>
    </row>
    <row r="627">
      <c r="A627">
        <f>Skills!A29</f>
        <v/>
      </c>
      <c r="B627">
        <f>Skills!B29</f>
        <v/>
      </c>
      <c r="C627">
        <f>Inputs!$B$3&gt;=120</f>
        <v/>
      </c>
      <c r="D627">
        <f>IF(Skills!C29=1,60+Inputs!$B$24+Inputs!$B$28,IF(Skills!C29=2,90+Inputs!$B$25+Inputs!$B$28,IF(Skills!C29=3,120+Inputs!$B$26+Inputs!$B$28,MAX(0,(Inputs!$B$3-100)*3)+Inputs!$B$27+Inputs!$B$28)))</f>
        <v/>
      </c>
      <c r="E627">
        <f>INDEX(FactorTable!$B$2:$Y$301, MATCH(ROUND(MIN(300,MAX(1,D627)),0), FactorTable!$A$2:$A$301,0), Skills!M29+1)</f>
        <v/>
      </c>
      <c r="F627">
        <f>IF(Skills!N29=TRUE,(Skills!L29/10)*(E627/1000),Skills!L29/10)+Skills!O29</f>
        <v/>
      </c>
      <c r="G627">
        <f>Calc!G29</f>
        <v/>
      </c>
      <c r="H627">
        <f>Calc!H29</f>
        <v/>
      </c>
      <c r="I627">
        <f>IF(Skills!AA29&lt;&gt;"",1+(Skills!AA29/10)*(U601/1000)/100,1)</f>
        <v/>
      </c>
      <c r="J627" t="inlineStr"/>
      <c r="K627" t="inlineStr"/>
      <c r="L627" t="inlineStr"/>
      <c r="M627" t="inlineStr"/>
      <c r="N627" t="inlineStr"/>
      <c r="O627" t="n">
        <v>0</v>
      </c>
      <c r="P627">
        <f>IF(B642=0,0,O627/B642)</f>
        <v/>
      </c>
      <c r="Q627" t="n">
        <v>0</v>
      </c>
      <c r="R627" t="n">
        <v>0</v>
      </c>
      <c r="S627">
        <f>IFERROR(O627/N627,0)</f>
        <v/>
      </c>
    </row>
    <row r="628">
      <c r="A628">
        <f>Skills!A30</f>
        <v/>
      </c>
      <c r="B628">
        <f>Skills!B30</f>
        <v/>
      </c>
      <c r="C628">
        <f>Inputs!$B$3&gt;=125</f>
        <v/>
      </c>
      <c r="D628">
        <f>IF(Skills!C30=1,60+Inputs!$B$24+Inputs!$B$28,IF(Skills!C30=2,90+Inputs!$B$25+Inputs!$B$28,IF(Skills!C30=3,120+Inputs!$B$26+Inputs!$B$28,MAX(0,(Inputs!$B$3-100)*3)+Inputs!$B$27+Inputs!$B$28)))</f>
        <v/>
      </c>
      <c r="E628">
        <f>INDEX(FactorTable!$B$2:$Y$301, MATCH(ROUND(MIN(300,MAX(1,D628)),0), FactorTable!$A$2:$A$301,0), Skills!M30+1)</f>
        <v/>
      </c>
      <c r="F628">
        <f>IF(Skills!N30=TRUE,(Skills!L30/10)*(E628/1000),Skills!L30/10)+Skills!O30</f>
        <v/>
      </c>
      <c r="G628">
        <f>Calc!G30</f>
        <v/>
      </c>
      <c r="H628">
        <f>Calc!H30</f>
        <v/>
      </c>
      <c r="I628">
        <f>IF(Skills!AA30&lt;&gt;"",1+(Skills!AA30/10)*(U601/1000)/100,1)</f>
        <v/>
      </c>
      <c r="J628" t="inlineStr"/>
      <c r="K628" t="inlineStr"/>
      <c r="L628" t="inlineStr"/>
      <c r="M628" t="inlineStr"/>
      <c r="N628" t="inlineStr"/>
      <c r="O628" t="n">
        <v>0</v>
      </c>
      <c r="P628">
        <f>IF(B642=0,0,O628/B642)</f>
        <v/>
      </c>
      <c r="Q628" t="n">
        <v>0</v>
      </c>
      <c r="R628" t="n">
        <v>0</v>
      </c>
      <c r="S628">
        <f>IFERROR(O628/N628,0)</f>
        <v/>
      </c>
    </row>
    <row r="629">
      <c r="A629">
        <f>Skills!A31</f>
        <v/>
      </c>
      <c r="B629">
        <f>Skills!B31</f>
        <v/>
      </c>
      <c r="C629">
        <f>Inputs!$B$3&gt;=107</f>
        <v/>
      </c>
      <c r="D629">
        <f>IF(Skills!C31=1,60+Inputs!$B$24+Inputs!$B$28,IF(Skills!C31=2,90+Inputs!$B$25+Inputs!$B$28,IF(Skills!C31=3,120+Inputs!$B$26+Inputs!$B$28,MAX(0,(Inputs!$B$3-100)*3)+Inputs!$B$27+Inputs!$B$28)))</f>
        <v/>
      </c>
      <c r="E629">
        <f>INDEX(FactorTable!$B$2:$Y$301, MATCH(ROUND(MIN(300,MAX(1,D629)),0), FactorTable!$A$2:$A$301,0), Skills!M31+1)</f>
        <v/>
      </c>
      <c r="F629">
        <f>IF(Skills!N31=TRUE,(Skills!L31/10)*(E629/1000),Skills!L31/10)+Skills!O31</f>
        <v/>
      </c>
      <c r="G629">
        <f>Calc!G31</f>
        <v/>
      </c>
      <c r="H629">
        <f>Calc!H31</f>
        <v/>
      </c>
      <c r="I629">
        <f>IF(Skills!AA31&lt;&gt;"",1+(Skills!AA31/10)*(U601/1000)/100,1)</f>
        <v/>
      </c>
      <c r="J629" t="inlineStr"/>
      <c r="K629" t="inlineStr"/>
      <c r="L629" t="inlineStr"/>
      <c r="M629" t="inlineStr"/>
      <c r="N629" t="inlineStr"/>
      <c r="O629" t="n">
        <v>0</v>
      </c>
      <c r="P629">
        <f>IF(B642=0,0,O629/B642)</f>
        <v/>
      </c>
      <c r="Q629" t="n">
        <v>0</v>
      </c>
      <c r="R629" t="n">
        <v>0</v>
      </c>
      <c r="S629">
        <f>IFERROR(O629/N629,0)</f>
        <v/>
      </c>
    </row>
    <row r="631">
      <c r="A631" t="inlineStr">
        <is>
          <t>Actions Per Second (pre-Adrenalin)</t>
        </is>
      </c>
      <c r="B631">
        <f>1+MIN(150,150*(1-(1-(((1-(1-Inputs!$B$10/150)*(1-1/150))*150)+((C620=TRUE)*(F620-Calc!F22)))/150)*(1-((C617=TRUE)*F617*IF(AND(Inputs!$B$4&lt;&gt;"pvp",Inputs!$B$35&gt;0),(((S617-1)*(Skills!Y19*(1+Inputs!$B$33/100))+MIN((Skills!Y19*(1+Inputs!$B$33/100)),MAX(0,Inputs!$B$35-((S617-1)*Skills!D19))))/Inputs!$B$35),IF(Inputs!$B$4="pvp",MIN((Skills!Y19*(1+Inputs!$B$33/100)),15)/15,(Skills!Y19*(1+Inputs!$B$33/100))/Skills!D19)))/150)))/100</f>
        <v/>
      </c>
    </row>
    <row r="632">
      <c r="A632" t="inlineStr">
        <is>
          <t>Alchemic Adrenaline Uptime</t>
        </is>
      </c>
      <c r="B632">
        <f>(Skills!Y6*(1+Inputs!$B$33/100))/((Skills!Y6*(1+Inputs!$B$33/100))+(5/B631))</f>
        <v/>
      </c>
    </row>
    <row r="633">
      <c r="A633" t="inlineStr">
        <is>
          <t>Attack Speed Buff Bonus %</t>
        </is>
      </c>
      <c r="B633">
        <f>((C617=TRUE)*F617*IF(AND(Inputs!$B$4&lt;&gt;"pvp",Inputs!$B$35&gt;0),(((S617-1)*(Skills!Y19*(1+Inputs!$B$33/100))+MIN((Skills!Y19*(1+Inputs!$B$33/100)),MAX(0,Inputs!$B$35-((S617-1)*Skills!D19))))/Inputs!$B$35),IF(Inputs!$B$4="pvp",MIN((Skills!Y19*(1+Inputs!$B$33/100)),15)/15,(Skills!Y19*(1+Inputs!$B$33/100))/Skills!D19)))+((C605=TRUE)*F605*B632)</f>
        <v/>
      </c>
    </row>
    <row r="634">
      <c r="A634" t="inlineStr">
        <is>
          <t>Actions Per Second (final)</t>
        </is>
      </c>
      <c r="B634">
        <f>1+MIN(150,150*(1-(1-(((1-(1-Inputs!$B$10/150)*(1-1/150))*150)+((C620=TRUE)*(F620-Calc!F22)))/150)*(1-B633/150)))/100</f>
        <v/>
      </c>
    </row>
    <row r="635">
      <c r="A635" t="inlineStr">
        <is>
          <t>Skill + Buff Cast Rate</t>
        </is>
      </c>
      <c r="B635">
        <f>IF(AND(Inputs!$B$4&lt;&gt;"pvp",Inputs!$B$35&gt;0),SUMPRODUCT((Skills!E2:E31=TRUE)*(C600:C629=TRUE)*R600:R629*Skills!F2:F31)/Inputs!$B$35,SUMPRODUCT((Skills!E2:E31=TRUE)*(C600:C629=TRUE)*Q600:Q629*Skills!F2:F31))</f>
        <v/>
      </c>
    </row>
    <row r="636">
      <c r="A636" t="inlineStr">
        <is>
          <t>Showdown Casts Per Second</t>
        </is>
      </c>
      <c r="B636">
        <f>MAX(0,B634-B635)</f>
        <v/>
      </c>
    </row>
    <row r="637">
      <c r="A637" t="inlineStr">
        <is>
          <t>Average Buff Multiplier</t>
        </is>
      </c>
      <c r="B637">
        <f>(1+(((C619=TRUE)*F619*IF(AND(Inputs!$B$4&lt;&gt;"pvp",Inputs!$B$35&gt;0),(((S619-1)*(Skills!Y21*(1+Inputs!$B$33/100))+MIN((Skills!Y21*(1+Inputs!$B$33/100)),MAX(0,Inputs!$B$35-((S619-1)*Skills!D21))))/Inputs!$B$35),IF(Inputs!$B$4="pvp",MIN((Skills!Y21*(1+Inputs!$B$33/100)),15)/15,(Skills!Y21*(1+Inputs!$B$33/100))/Skills!D21)))+((C626=TRUE)*(F626-Calc!F28))+((C616=TRUE)*(F616-Calc!F18)))/100)*(1+((C613=TRUE)*F613*IF(AND(Inputs!$B$4&lt;&gt;"pvp",Inputs!$B$35&gt;0),(((S613-1)*(Skills!Y15*(1+Inputs!$B$33/100))+MIN((Skills!Y15*(1+Inputs!$B$33/100)),MAX(0,Inputs!$B$35-((S613-1)*Skills!D15))))/Inputs!$B$35),IF(Inputs!$B$4="pvp",MIN((Skills!Y15*(1+Inputs!$B$33/100)),15)/15,(Skills!Y15*(1+Inputs!$B$33/100))/Skills!D15)))/100)*(1+((C604=TRUE)*F604*B632)/100)</f>
        <v/>
      </c>
    </row>
    <row r="638">
      <c r="A638" t="inlineStr">
        <is>
          <t>Global Crit Rate Bonus %</t>
        </is>
      </c>
      <c r="B638">
        <f>IF(Inputs!$B$3&gt;=47,8,0)+((C618=TRUE)*F618*IF(AND(Inputs!$B$4&lt;&gt;"pvp",Inputs!$B$35&gt;0),(((S618-1)*(Skills!Y20*(1+Inputs!$B$33/100))+MIN((Skills!Y20*(1+Inputs!$B$33/100)),MAX(0,Inputs!$B$35-((S618-1)*Skills!D20))))/Inputs!$B$35),IF(Inputs!$B$4="pvp",MIN((Skills!Y20*(1+Inputs!$B$33/100)),15)/15,(Skills!Y20*(1+Inputs!$B$33/100))/Skills!D20)))</f>
        <v/>
      </c>
    </row>
    <row r="639">
      <c r="A639" t="inlineStr">
        <is>
          <t>Global Monster Damage-Taken Bonus %</t>
        </is>
      </c>
      <c r="B639">
        <f>IF(Inputs!$B$3&gt;=82,15,0)+((C614=TRUE)*F614*IF(AND(Inputs!$B$4&lt;&gt;"pvp",Inputs!$B$35&gt;0),(((S614-1)*(Skills!Y16*(1+Inputs!$B$33/100))+MIN((Skills!Y16*(1+Inputs!$B$33/100)),MAX(0,Inputs!$B$35-((S614-1)*Skills!D16))))/Inputs!$B$35),IF(Inputs!$B$4="pvp",MIN((Skills!Y16*(1+Inputs!$B$33/100)),15)/15,(Skills!Y16*(1+Inputs!$B$33/100))/Skills!D16)))</f>
        <v/>
      </c>
    </row>
    <row r="640">
      <c r="A640" t="inlineStr">
        <is>
          <t>Shadow Partner Average Multiplier</t>
        </is>
      </c>
      <c r="B640">
        <f>1+((C609=TRUE)*F609*I609*Skills!J11/100)/100</f>
        <v/>
      </c>
    </row>
    <row r="641">
      <c r="A641" t="inlineStr">
        <is>
          <t>Global Critical Damage Bonus % (Frailty Curse Mastery Lv.111)</t>
        </is>
      </c>
      <c r="B641">
        <f>IF(Inputs!$B$3&gt;=111,30,0)*IF(AND(Inputs!$B$4&lt;&gt;"pvp",Inputs!$B$35&gt;0),(((S614-1)*(Skills!Y16*(1+Inputs!$B$33/100))+MIN((Skills!Y16*(1+Inputs!$B$33/100)),MAX(0,Inputs!$B$35-((S614-1)*Skills!D16))))/Inputs!$B$35),IF(Inputs!$B$4="pvp",MIN((Skills!Y16*(1+Inputs!$B$33/100)),15)/15,(Skills!Y16*(1+Inputs!$B$33/100))/Skills!D16))</f>
        <v/>
      </c>
    </row>
    <row r="642">
      <c r="A642" s="5" t="inlineStr">
        <is>
          <t>TOTAL DPS</t>
        </is>
      </c>
      <c r="B642" s="5">
        <f>SUM(O600:O629)</f>
        <v/>
      </c>
    </row>
    <row r="645">
      <c r="A645" s="5" t="inlineStr">
        <is>
          <t>Stat: DEF_PEN % (diminishing returns, factor 100)</t>
        </is>
      </c>
    </row>
    <row r="646">
      <c r="A646" s="8" t="inlineStr">
        <is>
          <t>Key</t>
        </is>
      </c>
      <c r="B646" s="8" t="inlineStr">
        <is>
          <t>Name</t>
        </is>
      </c>
      <c r="C646" s="8" t="inlineStr">
        <is>
          <t>Unlocked</t>
        </is>
      </c>
      <c r="D646" s="8" t="inlineStr">
        <is>
          <t>InputLevel</t>
        </is>
      </c>
      <c r="E646" s="8" t="inlineStr">
        <is>
          <t>Factor</t>
        </is>
      </c>
      <c r="F646" s="8" t="inlineStr">
        <is>
          <t>CoefficientPercent</t>
        </is>
      </c>
      <c r="G646" s="8" t="inlineStr">
        <is>
          <t>EffectiveHits</t>
        </is>
      </c>
      <c r="H646" s="8" t="inlineStr">
        <is>
          <t>ProcProbability</t>
        </is>
      </c>
      <c r="I646" s="8" t="inlineStr">
        <is>
          <t>MapleHeroMultiplier</t>
        </is>
      </c>
      <c r="J646" s="8" t="inlineStr">
        <is>
          <t>BaseDamage</t>
        </is>
      </c>
      <c r="K646" s="8" t="inlineStr">
        <is>
          <t>BaseHitDamage</t>
        </is>
      </c>
      <c r="L646" s="8" t="inlineStr">
        <is>
          <t>NonCritAvg</t>
        </is>
      </c>
      <c r="M646" s="8" t="inlineStr">
        <is>
          <t>CritAvg</t>
        </is>
      </c>
      <c r="N646" s="8" t="inlineStr">
        <is>
          <t>ExpectedDamage(perHit)</t>
        </is>
      </c>
      <c r="O646" s="8" t="inlineStr">
        <is>
          <t>DPS</t>
        </is>
      </c>
      <c r="P646" s="8" t="inlineStr">
        <is>
          <t>% of Total</t>
        </is>
      </c>
      <c r="Q646" s="8" t="inlineStr">
        <is>
          <t>InvCooldown</t>
        </is>
      </c>
      <c r="R646" s="8" t="inlineStr">
        <is>
          <t>CastsInFight</t>
        </is>
      </c>
      <c r="S646" s="8" t="inlineStr">
        <is>
          <t>HitRate(perSec)</t>
        </is>
      </c>
      <c r="U646" t="inlineStr">
        <is>
          <t>helpers</t>
        </is>
      </c>
    </row>
    <row r="647">
      <c r="A647">
        <f>Skills!A2</f>
        <v/>
      </c>
      <c r="B647">
        <f>Skills!B2</f>
        <v/>
      </c>
      <c r="C647">
        <f>Inputs!$B$3&gt;=100</f>
        <v/>
      </c>
      <c r="D647" t="inlineStr"/>
      <c r="E647" t="inlineStr"/>
      <c r="F647">
        <f>U651+Skills!O2</f>
        <v/>
      </c>
      <c r="G647">
        <f>Calc!G2</f>
        <v/>
      </c>
      <c r="H647">
        <f>Calc!H2</f>
        <v/>
      </c>
      <c r="I647">
        <f>IF(Skills!AA2&lt;&gt;"",1+(Skills!AA2/10)*(U648/1000)/100,1)</f>
        <v/>
      </c>
      <c r="J647">
        <f>(Inputs!$B$5*(1+Inputs!$B$6/100))*(F647/100)</f>
        <v/>
      </c>
      <c r="K647">
        <f>J647*(1+((Inputs!$B$11*(1+Inputs!$B$12/100))*0.01+Inputs!$B$13*0.0025)/100)*(1+Inputs!$B$14/100)*(1+IF(Inputs!$B$4="pvp",0,(1-Summary!$B$55)*(Inputs!$B$19+((C672=TRUE)*(F672-Calc!F27))+Skills!P2+B686)+Summary!$B$55*(Inputs!$B$20+Skills!Q2+B686))/100)*(1+Inputs!$B$15/100)*(5000/(6000+Inputs!$B$7*(1-((1-(1-Inputs!$B$18/100)*(1-1/100))*100)/100)))*(1+(Inputs!$B$23+((C675=TRUE)*(F675-Calc!F30)))/100)*(1+Skills!R2/100)*(1+(IF(Skills!A2="SHOWDOWN",Inputs!$B$16+((C668=TRUE)*(F668-Calc!F23)),Inputs!$B$17+((C674=TRUE)*(F674-Calc!F29))))/100)*(((1+(((C666=TRUE)*F666*IF(AND(Inputs!$B$4&lt;&gt;"pvp",Inputs!$B$35&gt;0),(((S666-1)*(Skills!Y21*(1+Inputs!$B$33/100))+MIN((Skills!Y21*(1+Inputs!$B$33/100)),MAX(0,Inputs!$B$35-((S666-1)*Skills!D21))))/Inputs!$B$35),IF(Inputs!$B$4="pvp",MIN((Skills!Y21*(1+Inputs!$B$33/100)),15)/15,(Skills!Y21*(1+Inputs!$B$33/100))/Skills!D21)))+((C673=TRUE)*(F673-Calc!F28))+((C663=TRUE)*(F663-Calc!F18)))/100)*(1+((C660=TRUE)*F660*IF(AND(Inputs!$B$4&lt;&gt;"pvp",Inputs!$B$35&gt;0),(((S660-1)*(Skills!Y15*(1+Inputs!$B$33/100))+MIN((Skills!Y15*(1+Inputs!$B$33/100)),MAX(0,Inputs!$B$35-((S660-1)*Skills!D15))))/Inputs!$B$35),IF(Inputs!$B$4="pvp",MIN((Skills!Y15*(1+Inputs!$B$33/100)),15)/15,(Skills!Y15*(1+Inputs!$B$33/100))/Skills!D15)))/100)*(1+((C651=TRUE)*F651*B679)/100))*B687*I647)</f>
        <v/>
      </c>
      <c r="L647">
        <f>K647*(MIN(Inputs!$B$21+((C669=TRUE)*(F669-Calc!F24)),Inputs!$B$22)/100+Inputs!$B$22/100)/2</f>
        <v/>
      </c>
      <c r="M647">
        <f>L647*(1+(Inputs!$B$9+((C671=TRUE)*(F671-Calc!F26))+B688)/100)</f>
        <v/>
      </c>
      <c r="N647">
        <f>L647*(1-MIN((Inputs!$B$8+((C670=TRUE)*(F670-Calc!F25))+B685),100)/100)+M647*(MIN((Inputs!$B$8+((C670=TRUE)*(F670-Calc!F25))+B685),100)/100)</f>
        <v/>
      </c>
      <c r="O647">
        <f>IF(C647,Skills!G2*N647*B683*IF(Inputs!$B$4="pvp",1,(1-Summary!$B$55)*(1)+Summary!$B$55*(MIN((6+Inputs!$B$32),Inputs!$B$37))),0)</f>
        <v/>
      </c>
      <c r="P647">
        <f>IF(B689=0,0,O647/B689)</f>
        <v/>
      </c>
      <c r="Q647" t="n">
        <v>0</v>
      </c>
      <c r="R647" t="n">
        <v>0</v>
      </c>
      <c r="S647">
        <f>IFERROR(O647/N647,0)</f>
        <v/>
      </c>
      <c r="U647">
        <f>MAX(0,(Inputs!$B$3-100)*3)+Inputs!$B$27+Inputs!$B$28</f>
        <v/>
      </c>
    </row>
    <row r="648">
      <c r="A648">
        <f>Skills!A3</f>
        <v/>
      </c>
      <c r="B648">
        <f>Skills!B3</f>
        <v/>
      </c>
      <c r="C648">
        <f>Inputs!$B$3&gt;=35</f>
        <v/>
      </c>
      <c r="D648">
        <f>IF(Skills!C3=1,60+Inputs!$B$24+Inputs!$B$28,IF(Skills!C3=2,90+Inputs!$B$25+Inputs!$B$28,IF(Skills!C3=3,120+Inputs!$B$26+Inputs!$B$28,MAX(0,(Inputs!$B$3-100)*3)+Inputs!$B$27+Inputs!$B$28)))</f>
        <v/>
      </c>
      <c r="E648">
        <f>INDEX(FactorTable!$B$2:$Y$301, MATCH(ROUND(MIN(300,MAX(1,D648)),0), FactorTable!$A$2:$A$301,0), Skills!M3+1)</f>
        <v/>
      </c>
      <c r="F648">
        <f>IF(Skills!N3=TRUE,(Skills!L3/10)*(E648/1000),Skills!L3/10)+Skills!O3</f>
        <v/>
      </c>
      <c r="G648">
        <f>Calc!G3</f>
        <v/>
      </c>
      <c r="H648">
        <f>Calc!H3</f>
        <v/>
      </c>
      <c r="I648">
        <f>IF(Skills!AA3&lt;&gt;"",1+(Skills!AA3/10)*(U648/1000)/100,1)</f>
        <v/>
      </c>
      <c r="J648">
        <f>(Inputs!$B$5*(1+Inputs!$B$6/100))*(F648/100)</f>
        <v/>
      </c>
      <c r="K648">
        <f>J648*(1+((Inputs!$B$11*(1+Inputs!$B$12/100))*0.01+Inputs!$B$13*0.0025)/100)*(1+Inputs!$B$14/100)*(1+IF(Inputs!$B$4="pvp",0,(1-Summary!$B$55)*(Inputs!$B$19+((C672=TRUE)*(F672-Calc!F27))+Skills!P3+B686)+Summary!$B$55*(Inputs!$B$20+Skills!Q3+B686))/100)*(1+Inputs!$B$15/100)*(5000/(6000+Inputs!$B$7*(1-((1-(1-Inputs!$B$18/100)*(1-1/100))*100)/100)))*(1+(Inputs!$B$23+((C675=TRUE)*(F675-Calc!F30)))/100)*(1+Skills!R3/100)*(1+(IF(Skills!A3="SHOWDOWN",Inputs!$B$16+((C668=TRUE)*(F668-Calc!F23)),Inputs!$B$17+((C674=TRUE)*(F674-Calc!F29))))/100)*(((1+(((C666=TRUE)*F666*IF(AND(Inputs!$B$4&lt;&gt;"pvp",Inputs!$B$35&gt;0),(((S666-1)*(Skills!Y21*(1+Inputs!$B$33/100))+MIN((Skills!Y21*(1+Inputs!$B$33/100)),MAX(0,Inputs!$B$35-((S666-1)*Skills!D21))))/Inputs!$B$35),IF(Inputs!$B$4="pvp",MIN((Skills!Y21*(1+Inputs!$B$33/100)),15)/15,(Skills!Y21*(1+Inputs!$B$33/100))/Skills!D21)))+((C673=TRUE)*(F673-Calc!F28))+((C663=TRUE)*(F663-Calc!F18)))/100)*(1+((C660=TRUE)*F660*IF(AND(Inputs!$B$4&lt;&gt;"pvp",Inputs!$B$35&gt;0),(((S660-1)*(Skills!Y15*(1+Inputs!$B$33/100))+MIN((Skills!Y15*(1+Inputs!$B$33/100)),MAX(0,Inputs!$B$35-((S660-1)*Skills!D15))))/Inputs!$B$35),IF(Inputs!$B$4="pvp",MIN((Skills!Y15*(1+Inputs!$B$33/100)),15)/15,(Skills!Y15*(1+Inputs!$B$33/100))/Skills!D15)))/100)*(1+((C651=TRUE)*F651*B679)/100))*B687*I648)</f>
        <v/>
      </c>
      <c r="L648">
        <f>K648*(MIN(Inputs!$B$21+((C669=TRUE)*(F669-Calc!F24)),Inputs!$B$22)/100+Inputs!$B$22/100)/2</f>
        <v/>
      </c>
      <c r="M648">
        <f>L648*(1+(Inputs!$B$9+((C671=TRUE)*(F671-Calc!F26))+B688)/100)</f>
        <v/>
      </c>
      <c r="N648">
        <f>L648*(1-MIN((Inputs!$B$8+((C670=TRUE)*(F670-Calc!F25))+B685),100)/100)+M648*(MIN((Inputs!$B$8+((C670=TRUE)*(F670-Calc!F25))+B685),100)/100)</f>
        <v/>
      </c>
      <c r="O648">
        <f>IF(C648,H648*N648*IF(AND(Inputs!$B$4&lt;&gt;"pvp",Inputs!$B$35&gt;0),((Skills!G3*((R648-1)*IF(Skills!H3&gt;0,Skills!I3/Skills!H3,1)+IF(Skills!H3&gt;0,MIN(Skills!I3,MAX(0,Inputs!$B$35-((R648-1)*IF(Inputs!$B$4="pvp",15,MAX(0.1,Skills!D3-IF(Skills!E3=TRUE,Inputs!$B$31,0))))))/Skills!H3,1)))/Inputs!$B$35),G648*Q648)*IF(Inputs!$B$4="pvp",1,(1-Summary!$B$55)*(1)+Summary!$B$55*(MIN(Skills!W3,Inputs!$B$37))),0)</f>
        <v/>
      </c>
      <c r="P648">
        <f>IF(B689=0,0,O648/B689)</f>
        <v/>
      </c>
      <c r="Q648">
        <f>IFERROR(1/IF(Inputs!$B$4="pvp",15,MAX(0.1,Skills!D3-IF(Skills!E3=TRUE,Inputs!$B$31,0))),0)</f>
        <v/>
      </c>
      <c r="R648">
        <f>IF(AND(Inputs!$B$4&lt;&gt;"pvp",Inputs!$B$35&gt;0),(INT(Inputs!$B$35/IF(Inputs!$B$4="pvp",15,MAX(0.1,Skills!D3-IF(Skills!E3=TRUE,Inputs!$B$31,0))))+1),0)</f>
        <v/>
      </c>
      <c r="S648">
        <f>IFERROR(O648/N648,0)</f>
        <v/>
      </c>
      <c r="U648">
        <f>INDEX(FactorTable!$B$2:$Y$301, MATCH(ROUND(MIN(300,MAX(1,U647)),0), FactorTable!$A$2:$A$301,0), 24)</f>
        <v/>
      </c>
    </row>
    <row r="649">
      <c r="A649">
        <f>Skills!A4</f>
        <v/>
      </c>
      <c r="B649">
        <f>Skills!B4</f>
        <v/>
      </c>
      <c r="C649">
        <f>Inputs!$B$3&gt;=40</f>
        <v/>
      </c>
      <c r="D649">
        <f>IF(Skills!C4=1,60+Inputs!$B$24+Inputs!$B$28,IF(Skills!C4=2,90+Inputs!$B$25+Inputs!$B$28,IF(Skills!C4=3,120+Inputs!$B$26+Inputs!$B$28,MAX(0,(Inputs!$B$3-100)*3)+Inputs!$B$27+Inputs!$B$28)))</f>
        <v/>
      </c>
      <c r="E649">
        <f>INDEX(FactorTable!$B$2:$Y$301, MATCH(ROUND(MIN(300,MAX(1,D649)),0), FactorTable!$A$2:$A$301,0), Skills!M4+1)</f>
        <v/>
      </c>
      <c r="F649">
        <f>IF(Skills!N4=TRUE,(Skills!L4/10)*(E649/1000),Skills!L4/10)+Skills!O4</f>
        <v/>
      </c>
      <c r="G649">
        <f>Calc!G4</f>
        <v/>
      </c>
      <c r="H649">
        <f>Calc!H4</f>
        <v/>
      </c>
      <c r="I649">
        <f>IF(Skills!AA4&lt;&gt;"",1+(Skills!AA4/10)*(U648/1000)/100,1)</f>
        <v/>
      </c>
      <c r="J649">
        <f>(Inputs!$B$5*(1+Inputs!$B$6/100))*(F649/100)</f>
        <v/>
      </c>
      <c r="K649">
        <f>J649*(1+((Inputs!$B$11*(1+Inputs!$B$12/100))*0.01+Inputs!$B$13*0.0025)/100)*(1+Inputs!$B$14/100)*(1+IF(Inputs!$B$4="pvp",0,(1-Summary!$B$55)*(Inputs!$B$19+((C672=TRUE)*(F672-Calc!F27))+Skills!P4+B686)+Summary!$B$55*(Inputs!$B$20+Skills!Q4+B686))/100)*(1+Inputs!$B$15/100)*(5000/(6000+Inputs!$B$7*(1-((1-(1-Inputs!$B$18/100)*(1-1/100))*100)/100)))*(1+(Inputs!$B$23+((C675=TRUE)*(F675-Calc!F30)))/100)*(1+Skills!R4/100)*(1+(IF(Skills!A4="SHOWDOWN",Inputs!$B$16+((C668=TRUE)*(F668-Calc!F23)),Inputs!$B$17+((C674=TRUE)*(F674-Calc!F29))))/100)*(((1+(((C666=TRUE)*F666*IF(AND(Inputs!$B$4&lt;&gt;"pvp",Inputs!$B$35&gt;0),(((S666-1)*(Skills!Y21*(1+Inputs!$B$33/100))+MIN((Skills!Y21*(1+Inputs!$B$33/100)),MAX(0,Inputs!$B$35-((S666-1)*Skills!D21))))/Inputs!$B$35),IF(Inputs!$B$4="pvp",MIN((Skills!Y21*(1+Inputs!$B$33/100)),15)/15,(Skills!Y21*(1+Inputs!$B$33/100))/Skills!D21)))+((C673=TRUE)*(F673-Calc!F28))+((C663=TRUE)*(F663-Calc!F18)))/100)*(1+((C660=TRUE)*F660*IF(AND(Inputs!$B$4&lt;&gt;"pvp",Inputs!$B$35&gt;0),(((S660-1)*(Skills!Y15*(1+Inputs!$B$33/100))+MIN((Skills!Y15*(1+Inputs!$B$33/100)),MAX(0,Inputs!$B$35-((S660-1)*Skills!D15))))/Inputs!$B$35),IF(Inputs!$B$4="pvp",MIN((Skills!Y15*(1+Inputs!$B$33/100)),15)/15,(Skills!Y15*(1+Inputs!$B$33/100))/Skills!D15)))/100)*(1+((C651=TRUE)*F651*B679)/100))*B687*I649)</f>
        <v/>
      </c>
      <c r="L649">
        <f>K649*(MIN(Inputs!$B$21+((C669=TRUE)*(F669-Calc!F24)),Inputs!$B$22)/100+Inputs!$B$22/100)/2</f>
        <v/>
      </c>
      <c r="M649">
        <f>L649*(1+(Inputs!$B$9+((C671=TRUE)*(F671-Calc!F26))+B688)/100)</f>
        <v/>
      </c>
      <c r="N649">
        <f>L649*(1-MIN((Inputs!$B$8+((C670=TRUE)*(F670-Calc!F25))+B685),100)/100)+M649*(MIN((Inputs!$B$8+((C670=TRUE)*(F670-Calc!F25))+B685),100)/100)</f>
        <v/>
      </c>
      <c r="O649">
        <f>IF(C649,H649*N649*IF(AND(Inputs!$B$4&lt;&gt;"pvp",Inputs!$B$35&gt;0),((Skills!G4*((R649-1)*IF(Skills!H4&gt;0,Skills!I4/Skills!H4,1)+IF(Skills!H4&gt;0,MIN(Skills!I4,MAX(0,Inputs!$B$35-((R649-1)*IF(Inputs!$B$4="pvp",15,MAX(0.1,Skills!D4-IF(Skills!E4=TRUE,Inputs!$B$31,0))))))/Skills!H4,1)))/Inputs!$B$35),G649*Q649)*IF(Inputs!$B$4="pvp",1,(1-Summary!$B$55)*(1)+Summary!$B$55*(MIN(Skills!W4,Inputs!$B$37))),0)</f>
        <v/>
      </c>
      <c r="P649">
        <f>IF(B689=0,0,O649/B689)</f>
        <v/>
      </c>
      <c r="Q649">
        <f>IFERROR(1/IF(Inputs!$B$4="pvp",15,MAX(0.1,Skills!D4-IF(Skills!E4=TRUE,Inputs!$B$31,0))),0)</f>
        <v/>
      </c>
      <c r="R649">
        <f>IF(AND(Inputs!$B$4&lt;&gt;"pvp",Inputs!$B$35&gt;0),(INT(Inputs!$B$35/IF(Inputs!$B$4="pvp",15,MAX(0.1,Skills!D4-IF(Skills!E4=TRUE,Inputs!$B$31,0))))+1),0)</f>
        <v/>
      </c>
      <c r="S649">
        <f>IFERROR(O649/N649,0)</f>
        <v/>
      </c>
      <c r="U649">
        <f>MAX(0,(Inputs!$B$3-100)*3)+Inputs!$B$27+Inputs!$B$28</f>
        <v/>
      </c>
    </row>
    <row r="650">
      <c r="A650">
        <f>Skills!A5</f>
        <v/>
      </c>
      <c r="B650">
        <f>Skills!B5</f>
        <v/>
      </c>
      <c r="C650">
        <f>Inputs!$B$3&gt;=63</f>
        <v/>
      </c>
      <c r="D650">
        <f>IF(Skills!C5=1,60+Inputs!$B$24+Inputs!$B$28,IF(Skills!C5=2,90+Inputs!$B$25+Inputs!$B$28,IF(Skills!C5=3,120+Inputs!$B$26+Inputs!$B$28,MAX(0,(Inputs!$B$3-100)*3)+Inputs!$B$27+Inputs!$B$28)))</f>
        <v/>
      </c>
      <c r="E650">
        <f>INDEX(FactorTable!$B$2:$Y$301, MATCH(ROUND(MIN(300,MAX(1,D650)),0), FactorTable!$A$2:$A$301,0), Skills!M5+1)</f>
        <v/>
      </c>
      <c r="F650">
        <f>IF(Skills!N5=TRUE,(Skills!L5/10)*(E650/1000),Skills!L5/10)+Skills!O5</f>
        <v/>
      </c>
      <c r="G650">
        <f>Calc!G5</f>
        <v/>
      </c>
      <c r="H650">
        <f>Calc!H5</f>
        <v/>
      </c>
      <c r="I650">
        <f>IF(Skills!AA5&lt;&gt;"",1+(Skills!AA5/10)*(U648/1000)/100,1)</f>
        <v/>
      </c>
      <c r="J650">
        <f>(Inputs!$B$5*(1+Inputs!$B$6/100))*(F650/100)</f>
        <v/>
      </c>
      <c r="K650">
        <f>J650*(1+((Inputs!$B$11*(1+Inputs!$B$12/100))*0.01+Inputs!$B$13*0.0025)/100)*(1+Inputs!$B$14/100)*(1+IF(Inputs!$B$4="pvp",0,(1-Summary!$B$55)*(Inputs!$B$19+((C672=TRUE)*(F672-Calc!F27))+Skills!P5+B686)+Summary!$B$55*(Inputs!$B$20+Skills!Q5+B686))/100)*(1+Inputs!$B$15/100)*(5000/(6000+Inputs!$B$7*(1-((1-(1-Inputs!$B$18/100)*(1-1/100))*100)/100)))*(1+(Inputs!$B$23+((C675=TRUE)*(F675-Calc!F30)))/100)*(1+Skills!R5/100)*(1+(IF(Skills!A5="SHOWDOWN",Inputs!$B$16+((C668=TRUE)*(F668-Calc!F23)),Inputs!$B$17+((C674=TRUE)*(F674-Calc!F29))))/100)*(((1+(((C666=TRUE)*F666*IF(AND(Inputs!$B$4&lt;&gt;"pvp",Inputs!$B$35&gt;0),(((S666-1)*(Skills!Y21*(1+Inputs!$B$33/100))+MIN((Skills!Y21*(1+Inputs!$B$33/100)),MAX(0,Inputs!$B$35-((S666-1)*Skills!D21))))/Inputs!$B$35),IF(Inputs!$B$4="pvp",MIN((Skills!Y21*(1+Inputs!$B$33/100)),15)/15,(Skills!Y21*(1+Inputs!$B$33/100))/Skills!D21)))+((C673=TRUE)*(F673-Calc!F28))+((C663=TRUE)*(F663-Calc!F18)))/100)*(1+((C660=TRUE)*F660*IF(AND(Inputs!$B$4&lt;&gt;"pvp",Inputs!$B$35&gt;0),(((S660-1)*(Skills!Y15*(1+Inputs!$B$33/100))+MIN((Skills!Y15*(1+Inputs!$B$33/100)),MAX(0,Inputs!$B$35-((S660-1)*Skills!D15))))/Inputs!$B$35),IF(Inputs!$B$4="pvp",MIN((Skills!Y15*(1+Inputs!$B$33/100)),15)/15,(Skills!Y15*(1+Inputs!$B$33/100))/Skills!D15)))/100)*(1+((C651=TRUE)*F651*B679)/100))*B687*I650)</f>
        <v/>
      </c>
      <c r="L650">
        <f>K650*(MIN(Inputs!$B$21+((C669=TRUE)*(F669-Calc!F24)),Inputs!$B$22)/100+Inputs!$B$22/100)/2</f>
        <v/>
      </c>
      <c r="M650">
        <f>L650*(1+(Inputs!$B$9+((C671=TRUE)*(F671-Calc!F26))+B688)/100)</f>
        <v/>
      </c>
      <c r="N650">
        <f>L650*(1-MIN((Inputs!$B$8+((C670=TRUE)*(F670-Calc!F25))+B685),100)/100)+M650*(MIN((Inputs!$B$8+((C670=TRUE)*(F670-Calc!F25))+B685),100)/100)</f>
        <v/>
      </c>
      <c r="O650">
        <f>IF(C650,H650*N650*IF(AND(Inputs!$B$4&lt;&gt;"pvp",Inputs!$B$35&gt;0),((Skills!G5*((R650-1)*IF(Skills!H5&gt;0,Skills!I5/Skills!H5,1)+IF(Skills!H5&gt;0,MIN(Skills!I5,MAX(0,Inputs!$B$35-((R650-1)*IF(Inputs!$B$4="pvp",15,MAX(0.1,Skills!D5-IF(Skills!E5=TRUE,Inputs!$B$31,0))))))/Skills!H5,1)))/Inputs!$B$35),G650*Q650)*IF(Inputs!$B$4="pvp",1,(1-Summary!$B$55)*(1)+Summary!$B$55*(MIN(Skills!W5,Inputs!$B$37))),0)</f>
        <v/>
      </c>
      <c r="P650">
        <f>IF(B689=0,0,O650/B689)</f>
        <v/>
      </c>
      <c r="Q650">
        <f>IFERROR(1/IF(Inputs!$B$4="pvp",15,MAX(0.1,Skills!D5-IF(Skills!E5=TRUE,Inputs!$B$31,0))),0)</f>
        <v/>
      </c>
      <c r="R650">
        <f>IF(AND(Inputs!$B$4&lt;&gt;"pvp",Inputs!$B$35&gt;0),(INT(Inputs!$B$35/IF(Inputs!$B$4="pvp",15,MAX(0.1,Skills!D5-IF(Skills!E5=TRUE,Inputs!$B$31,0))))+1),0)</f>
        <v/>
      </c>
      <c r="S650">
        <f>IFERROR(O650/N650,0)</f>
        <v/>
      </c>
      <c r="U650">
        <f>INDEX(FactorTable!$B$2:$Y$301, MATCH(ROUND(MIN(300,MAX(1,U649)),0), FactorTable!$A$2:$A$301,0), 22)</f>
        <v/>
      </c>
    </row>
    <row r="651">
      <c r="A651">
        <f>Skills!A6</f>
        <v/>
      </c>
      <c r="B651">
        <f>Skills!B6</f>
        <v/>
      </c>
      <c r="C651">
        <f>Inputs!$B$3&gt;=66</f>
        <v/>
      </c>
      <c r="D651">
        <f>IF(Skills!C6=1,60+Inputs!$B$24+Inputs!$B$28,IF(Skills!C6=2,90+Inputs!$B$25+Inputs!$B$28,IF(Skills!C6=3,120+Inputs!$B$26+Inputs!$B$28,MAX(0,(Inputs!$B$3-100)*3)+Inputs!$B$27+Inputs!$B$28)))</f>
        <v/>
      </c>
      <c r="E651">
        <f>INDEX(FactorTable!$B$2:$Y$301, MATCH(ROUND(MIN(300,MAX(1,D651)),0), FactorTable!$A$2:$A$301,0), Skills!M6+1)</f>
        <v/>
      </c>
      <c r="F651">
        <f>IF(Skills!N6=TRUE,(Skills!L6/10)*(E651/1000),Skills!L6/10)+Skills!O6</f>
        <v/>
      </c>
      <c r="G651">
        <f>Calc!G6</f>
        <v/>
      </c>
      <c r="H651">
        <f>Calc!H6</f>
        <v/>
      </c>
      <c r="I651">
        <f>IF(Skills!AA6&lt;&gt;"",1+(Skills!AA6/10)*(U648/1000)/100,1)</f>
        <v/>
      </c>
      <c r="J651" t="inlineStr"/>
      <c r="K651" t="inlineStr"/>
      <c r="L651" t="inlineStr"/>
      <c r="M651" t="inlineStr"/>
      <c r="N651" t="inlineStr"/>
      <c r="O651" t="n">
        <v>0</v>
      </c>
      <c r="P651">
        <f>IF(B689=0,0,O651/B689)</f>
        <v/>
      </c>
      <c r="Q651" t="n">
        <v>0</v>
      </c>
      <c r="R651" t="n">
        <v>0</v>
      </c>
      <c r="S651">
        <f>IFERROR(O651/N651,0)</f>
        <v/>
      </c>
      <c r="U651">
        <f>290*U650/1000</f>
        <v/>
      </c>
    </row>
    <row r="652">
      <c r="A652">
        <f>Skills!A7</f>
        <v/>
      </c>
      <c r="B652">
        <f>Skills!B7</f>
        <v/>
      </c>
      <c r="C652">
        <f>Inputs!$B$3&gt;=66</f>
        <v/>
      </c>
      <c r="D652">
        <f>IF(Skills!C7=1,60+Inputs!$B$24+Inputs!$B$28,IF(Skills!C7=2,90+Inputs!$B$25+Inputs!$B$28,IF(Skills!C7=3,120+Inputs!$B$26+Inputs!$B$28,MAX(0,(Inputs!$B$3-100)*3)+Inputs!$B$27+Inputs!$B$28)))</f>
        <v/>
      </c>
      <c r="E652">
        <f>INDEX(FactorTable!$B$2:$Y$301, MATCH(ROUND(MIN(300,MAX(1,D652)),0), FactorTable!$A$2:$A$301,0), Skills!M7+1)</f>
        <v/>
      </c>
      <c r="F652">
        <f>IF(Skills!N7=TRUE,(Skills!L7/10)*(E652/1000),Skills!L7/10)+Skills!O7</f>
        <v/>
      </c>
      <c r="G652">
        <f>Calc!G7</f>
        <v/>
      </c>
      <c r="H652">
        <f>Calc!H7</f>
        <v/>
      </c>
      <c r="I652">
        <f>IF(Skills!AA7&lt;&gt;"",1+(Skills!AA7/10)*(U648/1000)/100,1)</f>
        <v/>
      </c>
      <c r="J652" t="inlineStr"/>
      <c r="K652" t="inlineStr"/>
      <c r="L652" t="inlineStr"/>
      <c r="M652" t="inlineStr"/>
      <c r="N652" t="inlineStr"/>
      <c r="O652" t="n">
        <v>0</v>
      </c>
      <c r="P652">
        <f>IF(B689=0,0,O652/B689)</f>
        <v/>
      </c>
      <c r="Q652" t="n">
        <v>0</v>
      </c>
      <c r="R652" t="n">
        <v>0</v>
      </c>
      <c r="S652">
        <f>IFERROR(O652/N652,0)</f>
        <v/>
      </c>
    </row>
    <row r="653">
      <c r="A653">
        <f>Skills!A8</f>
        <v/>
      </c>
      <c r="B653">
        <f>Skills!B8</f>
        <v/>
      </c>
      <c r="C653">
        <f>Inputs!$B$3&gt;=69</f>
        <v/>
      </c>
      <c r="D653">
        <f>IF(Skills!C8=1,60+Inputs!$B$24+Inputs!$B$28,IF(Skills!C8=2,90+Inputs!$B$25+Inputs!$B$28,IF(Skills!C8=3,120+Inputs!$B$26+Inputs!$B$28,MAX(0,(Inputs!$B$3-100)*3)+Inputs!$B$27+Inputs!$B$28)))</f>
        <v/>
      </c>
      <c r="E653">
        <f>INDEX(FactorTable!$B$2:$Y$301, MATCH(ROUND(MIN(300,MAX(1,D653)),0), FactorTable!$A$2:$A$301,0), Skills!M8+1)</f>
        <v/>
      </c>
      <c r="F653">
        <f>IF(Skills!N8=TRUE,(Skills!L8/10)*(E653/1000),Skills!L8/10)+Skills!O8</f>
        <v/>
      </c>
      <c r="G653">
        <f>Calc!G8</f>
        <v/>
      </c>
      <c r="H653">
        <f>Calc!H8</f>
        <v/>
      </c>
      <c r="I653">
        <f>IF(Skills!AA8&lt;&gt;"",1+(Skills!AA8/10)*(U648/1000)/100,1)</f>
        <v/>
      </c>
      <c r="J653">
        <f>(Inputs!$B$5*(1+Inputs!$B$6/100))*(F653/100)</f>
        <v/>
      </c>
      <c r="K653">
        <f>J653*(1+((Inputs!$B$11*(1+Inputs!$B$12/100))*0.01+Inputs!$B$13*0.0025)/100)*(1+Inputs!$B$14/100)*(1+IF(Inputs!$B$4="pvp",0,(1-Summary!$B$55)*(Inputs!$B$19+((C672=TRUE)*(F672-Calc!F27))+Skills!P8+B686)+Summary!$B$55*(Inputs!$B$20+Skills!Q8+B686))/100)*(1+Inputs!$B$15/100)*(5000/(6000+Inputs!$B$7*(1-((1-(1-Inputs!$B$18/100)*(1-1/100))*100)/100)))*(1+(Inputs!$B$23+((C675=TRUE)*(F675-Calc!F30)))/100)*(1+Skills!R8/100)*(1+(IF(Skills!A8="SHOWDOWN",Inputs!$B$16+((C668=TRUE)*(F668-Calc!F23)),Inputs!$B$17+((C674=TRUE)*(F674-Calc!F29))))/100)*(((1+(((C666=TRUE)*F666*IF(AND(Inputs!$B$4&lt;&gt;"pvp",Inputs!$B$35&gt;0),(((S666-1)*(Skills!Y21*(1+Inputs!$B$33/100))+MIN((Skills!Y21*(1+Inputs!$B$33/100)),MAX(0,Inputs!$B$35-((S666-1)*Skills!D21))))/Inputs!$B$35),IF(Inputs!$B$4="pvp",MIN((Skills!Y21*(1+Inputs!$B$33/100)),15)/15,(Skills!Y21*(1+Inputs!$B$33/100))/Skills!D21)))+((C673=TRUE)*(F673-Calc!F28))+((C663=TRUE)*(F663-Calc!F18)))/100)*(1+((C660=TRUE)*F660*IF(AND(Inputs!$B$4&lt;&gt;"pvp",Inputs!$B$35&gt;0),(((S660-1)*(Skills!Y15*(1+Inputs!$B$33/100))+MIN((Skills!Y15*(1+Inputs!$B$33/100)),MAX(0,Inputs!$B$35-((S660-1)*Skills!D15))))/Inputs!$B$35),IF(Inputs!$B$4="pvp",MIN((Skills!Y15*(1+Inputs!$B$33/100)),15)/15,(Skills!Y15*(1+Inputs!$B$33/100))/Skills!D15)))/100)*(1+((C651=TRUE)*F651*B679)/100))*B687*I653)</f>
        <v/>
      </c>
      <c r="L653">
        <f>K653*(MIN(Inputs!$B$21+((C669=TRUE)*(F669-Calc!F24)),Inputs!$B$22)/100+Inputs!$B$22/100)/2</f>
        <v/>
      </c>
      <c r="M653">
        <f>L653*(1+(Inputs!$B$9+((C671=TRUE)*(F671-Calc!F26))+B688)/100)</f>
        <v/>
      </c>
      <c r="N653">
        <f>L653*(1-MIN((Inputs!$B$8+((C670=TRUE)*(F670-Calc!F25))+B685),100)/100)+M653*(MIN((Inputs!$B$8+((C670=TRUE)*(F670-Calc!F25))+B685),100)/100)</f>
        <v/>
      </c>
      <c r="O653">
        <f>IF(C653,H653*N653*IF(AND(Inputs!$B$4&lt;&gt;"pvp",Inputs!$B$35&gt;0),((Skills!G8*((R653-1)*IF(Skills!H8&gt;0,Skills!I8/Skills!H8,1)+IF(Skills!H8&gt;0,MIN(Skills!I8,MAX(0,Inputs!$B$35-((R653-1)*IF(Inputs!$B$4="pvp",15,MAX(0.1,Skills!D8-IF(Skills!E8=TRUE,Inputs!$B$31,0))))))/Skills!H8,1)))/Inputs!$B$35),G653*Q653)*IF(Inputs!$B$4="pvp",1,(1-Summary!$B$55)*(1)+Summary!$B$55*(MIN(Skills!W8,Inputs!$B$37))),0)</f>
        <v/>
      </c>
      <c r="P653">
        <f>IF(B689=0,0,O653/B689)</f>
        <v/>
      </c>
      <c r="Q653">
        <f>IFERROR(1/IF(Inputs!$B$4="pvp",15,MAX(0.1,Skills!D8-IF(Skills!E8=TRUE,Inputs!$B$31,0))),0)</f>
        <v/>
      </c>
      <c r="R653">
        <f>IF(AND(Inputs!$B$4&lt;&gt;"pvp",Inputs!$B$35&gt;0),(INT(Inputs!$B$35/IF(Inputs!$B$4="pvp",15,MAX(0.1,Skills!D8-IF(Skills!E8=TRUE,Inputs!$B$31,0))))+1),0)</f>
        <v/>
      </c>
      <c r="S653">
        <f>IFERROR(O653/N653,0)</f>
        <v/>
      </c>
    </row>
    <row r="654">
      <c r="A654">
        <f>Skills!A9</f>
        <v/>
      </c>
      <c r="B654">
        <f>Skills!B9</f>
        <v/>
      </c>
      <c r="C654">
        <f>Inputs!$B$3&gt;=72</f>
        <v/>
      </c>
      <c r="D654">
        <f>IF(Skills!C9=1,60+Inputs!$B$24+Inputs!$B$28,IF(Skills!C9=2,90+Inputs!$B$25+Inputs!$B$28,IF(Skills!C9=3,120+Inputs!$B$26+Inputs!$B$28,MAX(0,(Inputs!$B$3-100)*3)+Inputs!$B$27+Inputs!$B$28)))</f>
        <v/>
      </c>
      <c r="E654">
        <f>INDEX(FactorTable!$B$2:$Y$301, MATCH(ROUND(MIN(300,MAX(1,D654)),0), FactorTable!$A$2:$A$301,0), Skills!M9+1)</f>
        <v/>
      </c>
      <c r="F654">
        <f>IF(Skills!N9=TRUE,(Skills!L9/10)*(E654/1000),Skills!L9/10)+Skills!O9</f>
        <v/>
      </c>
      <c r="G654">
        <f>Calc!G9</f>
        <v/>
      </c>
      <c r="H654">
        <f>Calc!H9</f>
        <v/>
      </c>
      <c r="I654">
        <f>IF(Skills!AA9&lt;&gt;"",1+(Skills!AA9/10)*(U648/1000)/100,1)</f>
        <v/>
      </c>
      <c r="J654">
        <f>(Inputs!$B$5*(1+Inputs!$B$6/100))*(F654/100)</f>
        <v/>
      </c>
      <c r="K654">
        <f>J654*(1+((Inputs!$B$11*(1+Inputs!$B$12/100))*0.01+Inputs!$B$13*0.0025)/100)*(1+Inputs!$B$14/100)*(1+IF(Inputs!$B$4="pvp",0,(1-Summary!$B$55)*(Inputs!$B$19+((C672=TRUE)*(F672-Calc!F27))+Skills!P9+B686)+Summary!$B$55*(Inputs!$B$20+Skills!Q9+B686))/100)*(1+Inputs!$B$15/100)*(5000/(6000+Inputs!$B$7*(1-((1-(1-Inputs!$B$18/100)*(1-1/100))*100)/100)))*(1+(Inputs!$B$23+((C675=TRUE)*(F675-Calc!F30)))/100)*(1+Skills!R9/100)*(1+(IF(Skills!A9="SHOWDOWN",Inputs!$B$16+((C668=TRUE)*(F668-Calc!F23)),Inputs!$B$17+((C674=TRUE)*(F674-Calc!F29))))/100)*(((1+(((C666=TRUE)*F666*IF(AND(Inputs!$B$4&lt;&gt;"pvp",Inputs!$B$35&gt;0),(((S666-1)*(Skills!Y21*(1+Inputs!$B$33/100))+MIN((Skills!Y21*(1+Inputs!$B$33/100)),MAX(0,Inputs!$B$35-((S666-1)*Skills!D21))))/Inputs!$B$35),IF(Inputs!$B$4="pvp",MIN((Skills!Y21*(1+Inputs!$B$33/100)),15)/15,(Skills!Y21*(1+Inputs!$B$33/100))/Skills!D21)))+((C673=TRUE)*(F673-Calc!F28))+((C663=TRUE)*(F663-Calc!F18)))/100)*(1+((C660=TRUE)*F660*IF(AND(Inputs!$B$4&lt;&gt;"pvp",Inputs!$B$35&gt;0),(((S660-1)*(Skills!Y15*(1+Inputs!$B$33/100))+MIN((Skills!Y15*(1+Inputs!$B$33/100)),MAX(0,Inputs!$B$35-((S660-1)*Skills!D15))))/Inputs!$B$35),IF(Inputs!$B$4="pvp",MIN((Skills!Y15*(1+Inputs!$B$33/100)),15)/15,(Skills!Y15*(1+Inputs!$B$33/100))/Skills!D15)))/100)*(1+((C651=TRUE)*F651*B679)/100))*B687*I654)</f>
        <v/>
      </c>
      <c r="L654">
        <f>K654*(MIN(Inputs!$B$21+((C669=TRUE)*(F669-Calc!F24)),Inputs!$B$22)/100+Inputs!$B$22/100)/2</f>
        <v/>
      </c>
      <c r="M654">
        <f>L654*(1+(Inputs!$B$9+((C671=TRUE)*(F671-Calc!F26))+B688)/100)</f>
        <v/>
      </c>
      <c r="N654">
        <f>L654*(1-MIN((Inputs!$B$8+((C670=TRUE)*(F670-Calc!F25))+B685),100)/100)+M654*(MIN((Inputs!$B$8+((C670=TRUE)*(F670-Calc!F25))+B685),100)/100)</f>
        <v/>
      </c>
      <c r="O654">
        <f>IF(C654,H654*N654*IF(AND(Inputs!$B$4&lt;&gt;"pvp",Inputs!$B$35&gt;0),((Skills!G9*((R654-1)*IF(Skills!H9&gt;0,Skills!I9/Skills!H9,1)+IF(Skills!H9&gt;0,MIN(Skills!I9,MAX(0,Inputs!$B$35-((R654-1)*IF(Inputs!$B$4="pvp",15,MAX(0.1,Skills!D9-IF(Skills!E9=TRUE,Inputs!$B$31,0))))))/Skills!H9,1)))/Inputs!$B$35),G654*Q654)*IF(Inputs!$B$4="pvp",1,(1-Summary!$B$55)*(1)+Summary!$B$55*(MIN(Skills!W9,Inputs!$B$37))),0)</f>
        <v/>
      </c>
      <c r="P654">
        <f>IF(B689=0,0,O654/B689)</f>
        <v/>
      </c>
      <c r="Q654">
        <f>IFERROR(1/IF(Inputs!$B$4="pvp",15,MAX(0.1,Skills!D9-IF(Skills!E9=TRUE,Inputs!$B$31,0))),0)</f>
        <v/>
      </c>
      <c r="R654">
        <f>IF(AND(Inputs!$B$4&lt;&gt;"pvp",Inputs!$B$35&gt;0),(INT(Inputs!$B$35/IF(Inputs!$B$4="pvp",15,MAX(0.1,Skills!D9-IF(Skills!E9=TRUE,Inputs!$B$31,0))))+1),0)</f>
        <v/>
      </c>
      <c r="S654">
        <f>IFERROR(O654/N654,0)</f>
        <v/>
      </c>
    </row>
    <row r="655">
      <c r="A655">
        <f>Skills!A10</f>
        <v/>
      </c>
      <c r="B655">
        <f>Skills!B10</f>
        <v/>
      </c>
      <c r="C655">
        <f>Inputs!$B$3&gt;=117</f>
        <v/>
      </c>
      <c r="D655">
        <f>IF(Skills!C10=1,60+Inputs!$B$24+Inputs!$B$28,IF(Skills!C10=2,90+Inputs!$B$25+Inputs!$B$28,IF(Skills!C10=3,120+Inputs!$B$26+Inputs!$B$28,MAX(0,(Inputs!$B$3-100)*3)+Inputs!$B$27+Inputs!$B$28)))</f>
        <v/>
      </c>
      <c r="E655">
        <f>INDEX(FactorTable!$B$2:$Y$301, MATCH(ROUND(MIN(300,MAX(1,D655)),0), FactorTable!$A$2:$A$301,0), Skills!M10+1)</f>
        <v/>
      </c>
      <c r="F655">
        <f>IF(Skills!N10=TRUE,(Skills!L10/10)*(E655/1000),Skills!L10/10)+Skills!O10</f>
        <v/>
      </c>
      <c r="G655">
        <f>Calc!G10</f>
        <v/>
      </c>
      <c r="H655">
        <f>Calc!H10</f>
        <v/>
      </c>
      <c r="I655">
        <f>IF(Skills!AA10&lt;&gt;"",1+(Skills!AA10/10)*(U648/1000)/100,1)</f>
        <v/>
      </c>
      <c r="J655">
        <f>(Inputs!$B$5*(1+Inputs!$B$6/100))*(F655/100)</f>
        <v/>
      </c>
      <c r="K655">
        <f>J655*(1+((Inputs!$B$11*(1+Inputs!$B$12/100))*0.01+Inputs!$B$13*0.0025)/100)*(1+Inputs!$B$14/100)*(1+IF(Inputs!$B$4="pvp",0,(1-Summary!$B$55)*(Inputs!$B$19+((C672=TRUE)*(F672-Calc!F27))+Skills!P10+B686)+Summary!$B$55*(Inputs!$B$20+Skills!Q10+B686))/100)*(1+Inputs!$B$15/100)*(5000/(6000+Inputs!$B$7*(1-((1-(1-Inputs!$B$18/100)*(1-1/100))*100)/100)))*(1+(Inputs!$B$23+((C675=TRUE)*(F675-Calc!F30)))/100)*(1+Skills!R10/100)*(1+(IF(Skills!A10="SHOWDOWN",Inputs!$B$16+((C668=TRUE)*(F668-Calc!F23)),Inputs!$B$17+((C674=TRUE)*(F674-Calc!F29))))/100)*(((1+(((C666=TRUE)*F666*IF(AND(Inputs!$B$4&lt;&gt;"pvp",Inputs!$B$35&gt;0),(((S666-1)*(Skills!Y21*(1+Inputs!$B$33/100))+MIN((Skills!Y21*(1+Inputs!$B$33/100)),MAX(0,Inputs!$B$35-((S666-1)*Skills!D21))))/Inputs!$B$35),IF(Inputs!$B$4="pvp",MIN((Skills!Y21*(1+Inputs!$B$33/100)),15)/15,(Skills!Y21*(1+Inputs!$B$33/100))/Skills!D21)))+((C673=TRUE)*(F673-Calc!F28))+((C663=TRUE)*(F663-Calc!F18)))/100)*(1+((C660=TRUE)*F660*IF(AND(Inputs!$B$4&lt;&gt;"pvp",Inputs!$B$35&gt;0),(((S660-1)*(Skills!Y15*(1+Inputs!$B$33/100))+MIN((Skills!Y15*(1+Inputs!$B$33/100)),MAX(0,Inputs!$B$35-((S660-1)*Skills!D15))))/Inputs!$B$35),IF(Inputs!$B$4="pvp",MIN((Skills!Y15*(1+Inputs!$B$33/100)),15)/15,(Skills!Y15*(1+Inputs!$B$33/100))/Skills!D15)))/100)*(1+((C651=TRUE)*F651*B679)/100))*B687*I655)</f>
        <v/>
      </c>
      <c r="L655">
        <f>K655*(MIN(Inputs!$B$21+((C669=TRUE)*(F669-Calc!F24)),Inputs!$B$22)/100+Inputs!$B$22/100)/2</f>
        <v/>
      </c>
      <c r="M655">
        <f>L655*(1+(Inputs!$B$9+((C671=TRUE)*(F671-Calc!F26))+B688)/100)</f>
        <v/>
      </c>
      <c r="N655">
        <f>L655*(1-MIN((Inputs!$B$8+((C670=TRUE)*(F670-Calc!F25))+B685),100)/100)+M655*(MIN((Inputs!$B$8+((C670=TRUE)*(F670-Calc!F25))+B685),100)/100)</f>
        <v/>
      </c>
      <c r="O655">
        <f>IF(C655,0.2*SUMPRODUCT((Skills!Z2:Z31=TRUE)*(C647:C676=TRUE)*S647:S676)*N655,0)</f>
        <v/>
      </c>
      <c r="P655">
        <f>IF(B689=0,0,O655/B689)</f>
        <v/>
      </c>
      <c r="Q655" t="n">
        <v>0</v>
      </c>
      <c r="R655" t="n">
        <v>0</v>
      </c>
      <c r="S655" t="n">
        <v>0</v>
      </c>
    </row>
    <row r="656">
      <c r="A656">
        <f>Skills!A11</f>
        <v/>
      </c>
      <c r="B656">
        <f>Skills!B11</f>
        <v/>
      </c>
      <c r="C656">
        <f>Inputs!$B$3&gt;=60</f>
        <v/>
      </c>
      <c r="D656">
        <f>IF(Skills!C11=1,60+Inputs!$B$24+Inputs!$B$28,IF(Skills!C11=2,90+Inputs!$B$25+Inputs!$B$28,IF(Skills!C11=3,120+Inputs!$B$26+Inputs!$B$28,MAX(0,(Inputs!$B$3-100)*3)+Inputs!$B$27+Inputs!$B$28)))</f>
        <v/>
      </c>
      <c r="E656">
        <f>INDEX(FactorTable!$B$2:$Y$301, MATCH(ROUND(MIN(300,MAX(1,D656)),0), FactorTable!$A$2:$A$301,0), Skills!M11+1)</f>
        <v/>
      </c>
      <c r="F656">
        <f>IF(Skills!N11=TRUE,(Skills!L11/10)*(E656/1000),Skills!L11/10)+Skills!O11</f>
        <v/>
      </c>
      <c r="G656">
        <f>Calc!G11</f>
        <v/>
      </c>
      <c r="H656">
        <f>Calc!H11</f>
        <v/>
      </c>
      <c r="I656">
        <f>IF(Skills!AA11&lt;&gt;"",1+(Skills!AA11/10)*(U648/1000)/100,1)</f>
        <v/>
      </c>
      <c r="J656" t="inlineStr"/>
      <c r="K656" t="inlineStr"/>
      <c r="L656" t="inlineStr"/>
      <c r="M656" t="inlineStr"/>
      <c r="N656" t="inlineStr"/>
      <c r="O656" t="n">
        <v>0</v>
      </c>
      <c r="P656">
        <f>IF(B689=0,0,O656/B689)</f>
        <v/>
      </c>
      <c r="Q656" t="n">
        <v>0</v>
      </c>
      <c r="R656" t="n">
        <v>0</v>
      </c>
      <c r="S656">
        <f>IFERROR(O656/N656,0)</f>
        <v/>
      </c>
    </row>
    <row r="657">
      <c r="A657">
        <f>Skills!A12</f>
        <v/>
      </c>
      <c r="B657">
        <f>Skills!B12</f>
        <v/>
      </c>
      <c r="C657">
        <f>Inputs!$B$3&gt;=103</f>
        <v/>
      </c>
      <c r="D657">
        <f>IF(Skills!C12=1,60+Inputs!$B$24+Inputs!$B$28,IF(Skills!C12=2,90+Inputs!$B$25+Inputs!$B$28,IF(Skills!C12=3,120+Inputs!$B$26+Inputs!$B$28,MAX(0,(Inputs!$B$3-100)*3)+Inputs!$B$27+Inputs!$B$28)))</f>
        <v/>
      </c>
      <c r="E657">
        <f>INDEX(FactorTable!$B$2:$Y$301, MATCH(ROUND(MIN(300,MAX(1,D657)),0), FactorTable!$A$2:$A$301,0), Skills!M12+1)</f>
        <v/>
      </c>
      <c r="F657">
        <f>IF(Skills!N12=TRUE,(Skills!L12/10)*(E657/1000),Skills!L12/10)+Skills!O12</f>
        <v/>
      </c>
      <c r="G657">
        <f>Calc!G12</f>
        <v/>
      </c>
      <c r="H657">
        <f>Calc!H12</f>
        <v/>
      </c>
      <c r="I657">
        <f>IF(Skills!AA12&lt;&gt;"",1+(Skills!AA12/10)*(U648/1000)/100,1)</f>
        <v/>
      </c>
      <c r="J657">
        <f>(Inputs!$B$5*(1+Inputs!$B$6/100))*(F657/100)</f>
        <v/>
      </c>
      <c r="K657">
        <f>J657*(1+((Inputs!$B$11*(1+Inputs!$B$12/100))*0.01+Inputs!$B$13*0.0025)/100)*(1+Inputs!$B$14/100)*(1+IF(Inputs!$B$4="pvp",0,(1-Summary!$B$55)*(Inputs!$B$19+((C672=TRUE)*(F672-Calc!F27))+Skills!P12+B686)+Summary!$B$55*(Inputs!$B$20+Skills!Q12+B686))/100)*(1+Inputs!$B$15/100)*(5000/(6000+Inputs!$B$7*(1-((1-(1-Inputs!$B$18/100)*(1-1/100))*100)/100)))*(1+(Inputs!$B$23+((C675=TRUE)*(F675-Calc!F30)))/100)*(1+Skills!R12/100)*(1+(IF(Skills!A12="SHOWDOWN",Inputs!$B$16+((C668=TRUE)*(F668-Calc!F23)),Inputs!$B$17+((C674=TRUE)*(F674-Calc!F29))))/100)*(((1+(((C666=TRUE)*F666*IF(AND(Inputs!$B$4&lt;&gt;"pvp",Inputs!$B$35&gt;0),(((S666-1)*(Skills!Y21*(1+Inputs!$B$33/100))+MIN((Skills!Y21*(1+Inputs!$B$33/100)),MAX(0,Inputs!$B$35-((S666-1)*Skills!D21))))/Inputs!$B$35),IF(Inputs!$B$4="pvp",MIN((Skills!Y21*(1+Inputs!$B$33/100)),15)/15,(Skills!Y21*(1+Inputs!$B$33/100))/Skills!D21)))+((C673=TRUE)*(F673-Calc!F28))+((C663=TRUE)*(F663-Calc!F18)))/100)*(1+((C660=TRUE)*F660*IF(AND(Inputs!$B$4&lt;&gt;"pvp",Inputs!$B$35&gt;0),(((S660-1)*(Skills!Y15*(1+Inputs!$B$33/100))+MIN((Skills!Y15*(1+Inputs!$B$33/100)),MAX(0,Inputs!$B$35-((S660-1)*Skills!D15))))/Inputs!$B$35),IF(Inputs!$B$4="pvp",MIN((Skills!Y15*(1+Inputs!$B$33/100)),15)/15,(Skills!Y15*(1+Inputs!$B$33/100))/Skills!D15)))/100)*(1+((C651=TRUE)*F651*B679)/100))*B687*I657)</f>
        <v/>
      </c>
      <c r="L657">
        <f>K657*(MIN(Inputs!$B$21+((C669=TRUE)*(F669-Calc!F24)),Inputs!$B$22)/100+Inputs!$B$22/100)/2</f>
        <v/>
      </c>
      <c r="M657">
        <f>L657*(1+(Inputs!$B$9+((C671=TRUE)*(F671-Calc!F26))+B688)/100)</f>
        <v/>
      </c>
      <c r="N657">
        <f>L657*(1-MIN((Inputs!$B$8+((C670=TRUE)*(F670-Calc!F25))+B685),100)/100)+M657*(MIN((Inputs!$B$8+((C670=TRUE)*(F670-Calc!F25))+B685),100)/100)</f>
        <v/>
      </c>
      <c r="O657">
        <f>IF(C657,H657*N657*IF(AND(Inputs!$B$4&lt;&gt;"pvp",Inputs!$B$35&gt;0),((Skills!G12*((R657-1)*IF(Skills!H12&gt;0,Skills!I12/Skills!H12,1)+IF(Skills!H12&gt;0,MIN(Skills!I12,MAX(0,Inputs!$B$35-((R657-1)*IF(Inputs!$B$4="pvp",15,MAX(0.1,Skills!D12-IF(Skills!E12=TRUE,Inputs!$B$31,0))))))/Skills!H12,1)))/Inputs!$B$35),G657*Q657)*IF(Inputs!$B$4="pvp",1,(1-Summary!$B$55)*(1)+Summary!$B$55*(MIN(Skills!W12,Inputs!$B$37))),0)</f>
        <v/>
      </c>
      <c r="P657">
        <f>IF(B689=0,0,O657/B689)</f>
        <v/>
      </c>
      <c r="Q657">
        <f>IFERROR(1/IF(Inputs!$B$4="pvp",15,MAX(0.1,Skills!D12-IF(Skills!E12=TRUE,Inputs!$B$31,0))),0)</f>
        <v/>
      </c>
      <c r="R657">
        <f>IF(AND(Inputs!$B$4&lt;&gt;"pvp",Inputs!$B$35&gt;0),(INT(Inputs!$B$35/IF(Inputs!$B$4="pvp",15,MAX(0.1,Skills!D12-IF(Skills!E12=TRUE,Inputs!$B$31,0))))+1),0)</f>
        <v/>
      </c>
      <c r="S657">
        <f>IFERROR(O657/N657,0)</f>
        <v/>
      </c>
    </row>
    <row r="658">
      <c r="A658">
        <f>Skills!A13</f>
        <v/>
      </c>
      <c r="B658">
        <f>Skills!B13</f>
        <v/>
      </c>
      <c r="C658">
        <f>Inputs!$B$3&gt;=105</f>
        <v/>
      </c>
      <c r="D658">
        <f>IF(Skills!C13=1,60+Inputs!$B$24+Inputs!$B$28,IF(Skills!C13=2,90+Inputs!$B$25+Inputs!$B$28,IF(Skills!C13=3,120+Inputs!$B$26+Inputs!$B$28,MAX(0,(Inputs!$B$3-100)*3)+Inputs!$B$27+Inputs!$B$28)))</f>
        <v/>
      </c>
      <c r="E658">
        <f>INDEX(FactorTable!$B$2:$Y$301, MATCH(ROUND(MIN(300,MAX(1,D658)),0), FactorTable!$A$2:$A$301,0), Skills!M13+1)</f>
        <v/>
      </c>
      <c r="F658">
        <f>IF(Skills!N13=TRUE,(Skills!L13/10)*(E658/1000),Skills!L13/10)+Skills!O13</f>
        <v/>
      </c>
      <c r="G658">
        <f>Calc!G13</f>
        <v/>
      </c>
      <c r="H658">
        <f>Calc!H13</f>
        <v/>
      </c>
      <c r="I658">
        <f>IF(Skills!AA13&lt;&gt;"",1+(Skills!AA13/10)*(U648/1000)/100,1)</f>
        <v/>
      </c>
      <c r="J658">
        <f>(Inputs!$B$5*(1+Inputs!$B$6/100))*(F658/100)</f>
        <v/>
      </c>
      <c r="K658">
        <f>J658*(1+((Inputs!$B$11*(1+Inputs!$B$12/100))*0.01+Inputs!$B$13*0.0025)/100)*(1+Inputs!$B$14/100)*(1+IF(Inputs!$B$4="pvp",0,(1-Summary!$B$55)*(Inputs!$B$19+((C672=TRUE)*(F672-Calc!F27))+Skills!P13+B686)+Summary!$B$55*(Inputs!$B$20+Skills!Q13+B686))/100)*(1+Inputs!$B$15/100)*(5000/(6000+Inputs!$B$7*(1-((1-(1-Inputs!$B$18/100)*(1-1/100))*100)/100)))*(1+(Inputs!$B$23+((C675=TRUE)*(F675-Calc!F30)))/100)*(1+Skills!R13/100)*(1+(IF(Skills!A13="SHOWDOWN",Inputs!$B$16+((C668=TRUE)*(F668-Calc!F23)),Inputs!$B$17+((C674=TRUE)*(F674-Calc!F29))))/100)*(((1+(((C666=TRUE)*F666*IF(AND(Inputs!$B$4&lt;&gt;"pvp",Inputs!$B$35&gt;0),(((S666-1)*(Skills!Y21*(1+Inputs!$B$33/100))+MIN((Skills!Y21*(1+Inputs!$B$33/100)),MAX(0,Inputs!$B$35-((S666-1)*Skills!D21))))/Inputs!$B$35),IF(Inputs!$B$4="pvp",MIN((Skills!Y21*(1+Inputs!$B$33/100)),15)/15,(Skills!Y21*(1+Inputs!$B$33/100))/Skills!D21)))+((C673=TRUE)*(F673-Calc!F28))+((C663=TRUE)*(F663-Calc!F18)))/100)*(1+((C660=TRUE)*F660*IF(AND(Inputs!$B$4&lt;&gt;"pvp",Inputs!$B$35&gt;0),(((S660-1)*(Skills!Y15*(1+Inputs!$B$33/100))+MIN((Skills!Y15*(1+Inputs!$B$33/100)),MAX(0,Inputs!$B$35-((S660-1)*Skills!D15))))/Inputs!$B$35),IF(Inputs!$B$4="pvp",MIN((Skills!Y15*(1+Inputs!$B$33/100)),15)/15,(Skills!Y15*(1+Inputs!$B$33/100))/Skills!D15)))/100)*(1+((C651=TRUE)*F651*B679)/100))*B687*I658)</f>
        <v/>
      </c>
      <c r="L658">
        <f>K658*(MIN(Inputs!$B$21+((C669=TRUE)*(F669-Calc!F24)),Inputs!$B$22)/100+Inputs!$B$22/100)/2</f>
        <v/>
      </c>
      <c r="M658">
        <f>L658*(1+(Inputs!$B$9+((C671=TRUE)*(F671-Calc!F26))+B688)/100)</f>
        <v/>
      </c>
      <c r="N658">
        <f>L658*(1-MIN((Inputs!$B$8+((C670=TRUE)*(F670-Calc!F25))+B685),100)/100)+M658*(MIN((Inputs!$B$8+((C670=TRUE)*(F670-Calc!F25))+B685),100)/100)</f>
        <v/>
      </c>
      <c r="O658">
        <f>IF(C658,H658*N658*IF(AND(Inputs!$B$4&lt;&gt;"pvp",Inputs!$B$35&gt;0),((Skills!G13*((R658-1)*IF(Skills!H13&gt;0,Skills!I13/Skills!H13,1)+IF(Skills!H13&gt;0,MIN(Skills!I13,MAX(0,Inputs!$B$35-((R658-1)*IF(Inputs!$B$4="pvp",15,MAX(0.1,Skills!D13-IF(Skills!E13=TRUE,Inputs!$B$31,0))))))/Skills!H13,1)))/Inputs!$B$35),G658*Q658)*IF(Inputs!$B$4="pvp",1,(1-Summary!$B$55)*(1)+Summary!$B$55*(MIN(Skills!W13,Inputs!$B$37))),0)</f>
        <v/>
      </c>
      <c r="P658">
        <f>IF(B689=0,0,O658/B689)</f>
        <v/>
      </c>
      <c r="Q658">
        <f>IFERROR(1/IF(Inputs!$B$4="pvp",15,MAX(0.1,Skills!D13-IF(Skills!E13=TRUE,Inputs!$B$31,0))),0)</f>
        <v/>
      </c>
      <c r="R658">
        <f>IF(AND(Inputs!$B$4&lt;&gt;"pvp",Inputs!$B$35&gt;0),(INT(Inputs!$B$35/IF(Inputs!$B$4="pvp",15,MAX(0.1,Skills!D13-IF(Skills!E13=TRUE,Inputs!$B$31,0))))+1),0)</f>
        <v/>
      </c>
      <c r="S658">
        <f>IFERROR(O658/N658,0)</f>
        <v/>
      </c>
    </row>
    <row r="659">
      <c r="A659">
        <f>Skills!A14</f>
        <v/>
      </c>
      <c r="B659">
        <f>Skills!B14</f>
        <v/>
      </c>
      <c r="C659">
        <f>Inputs!$B$3&gt;=105</f>
        <v/>
      </c>
      <c r="D659">
        <f>IF(Skills!C14=1,60+Inputs!$B$24+Inputs!$B$28,IF(Skills!C14=2,90+Inputs!$B$25+Inputs!$B$28,IF(Skills!C14=3,120+Inputs!$B$26+Inputs!$B$28,MAX(0,(Inputs!$B$3-100)*3)+Inputs!$B$27+Inputs!$B$28)))</f>
        <v/>
      </c>
      <c r="E659">
        <f>INDEX(FactorTable!$B$2:$Y$301, MATCH(ROUND(MIN(300,MAX(1,D659)),0), FactorTable!$A$2:$A$301,0), Skills!M14+1)</f>
        <v/>
      </c>
      <c r="F659">
        <f>IF(Skills!N14=TRUE,(Skills!L14/10)*(E659/1000),Skills!L14/10)+Skills!O14</f>
        <v/>
      </c>
      <c r="G659">
        <f>Calc!G14</f>
        <v/>
      </c>
      <c r="H659">
        <f>Calc!H14</f>
        <v/>
      </c>
      <c r="I659">
        <f>IF(Skills!AA14&lt;&gt;"",1+(Skills!AA14/10)*(U648/1000)/100,1)</f>
        <v/>
      </c>
      <c r="J659">
        <f>(Inputs!$B$5*(1+Inputs!$B$6/100))*(F659/100)</f>
        <v/>
      </c>
      <c r="K659">
        <f>J659*(1+((Inputs!$B$11*(1+Inputs!$B$12/100))*0.01+Inputs!$B$13*0.0025)/100)*(1+Inputs!$B$14/100)*(1+IF(Inputs!$B$4="pvp",0,(1-Summary!$B$55)*(Inputs!$B$19+((C672=TRUE)*(F672-Calc!F27))+Skills!P14+B686)+Summary!$B$55*(Inputs!$B$20+Skills!Q14+B686))/100)*(1+Inputs!$B$15/100)*(5000/(6000+Inputs!$B$7*(1-((1-(1-Inputs!$B$18/100)*(1-1/100))*100)/100)))*(1+(Inputs!$B$23+((C675=TRUE)*(F675-Calc!F30)))/100)*(1+Skills!R14/100)*(1+(IF(Skills!A14="SHOWDOWN",Inputs!$B$16+((C668=TRUE)*(F668-Calc!F23)),Inputs!$B$17+((C674=TRUE)*(F674-Calc!F29))))/100)*(((1+(((C666=TRUE)*F666*IF(AND(Inputs!$B$4&lt;&gt;"pvp",Inputs!$B$35&gt;0),(((S666-1)*(Skills!Y21*(1+Inputs!$B$33/100))+MIN((Skills!Y21*(1+Inputs!$B$33/100)),MAX(0,Inputs!$B$35-((S666-1)*Skills!D21))))/Inputs!$B$35),IF(Inputs!$B$4="pvp",MIN((Skills!Y21*(1+Inputs!$B$33/100)),15)/15,(Skills!Y21*(1+Inputs!$B$33/100))/Skills!D21)))+((C673=TRUE)*(F673-Calc!F28))+((C663=TRUE)*(F663-Calc!F18)))/100)*(1+((C660=TRUE)*F660*IF(AND(Inputs!$B$4&lt;&gt;"pvp",Inputs!$B$35&gt;0),(((S660-1)*(Skills!Y15*(1+Inputs!$B$33/100))+MIN((Skills!Y15*(1+Inputs!$B$33/100)),MAX(0,Inputs!$B$35-((S660-1)*Skills!D15))))/Inputs!$B$35),IF(Inputs!$B$4="pvp",MIN((Skills!Y15*(1+Inputs!$B$33/100)),15)/15,(Skills!Y15*(1+Inputs!$B$33/100))/Skills!D15)))/100)*(1+((C651=TRUE)*F651*B679)/100))*B687*I659)</f>
        <v/>
      </c>
      <c r="L659">
        <f>K659*(MIN(Inputs!$B$21+((C669=TRUE)*(F669-Calc!F24)),Inputs!$B$22)/100+Inputs!$B$22/100)/2</f>
        <v/>
      </c>
      <c r="M659">
        <f>L659*(1+(Inputs!$B$9+((C671=TRUE)*(F671-Calc!F26))+B688)/100)</f>
        <v/>
      </c>
      <c r="N659">
        <f>L659*(1-MIN((Inputs!$B$8+((C670=TRUE)*(F670-Calc!F25))+B685),100)/100)+M659*(MIN((Inputs!$B$8+((C670=TRUE)*(F670-Calc!F25))+B685),100)/100)</f>
        <v/>
      </c>
      <c r="O659">
        <f>IF(C659,H659*N659*IF(AND(Inputs!$B$4&lt;&gt;"pvp",Inputs!$B$35&gt;0),((Skills!G14*((R659-1)*IF(Skills!H14&gt;0,Skills!I14/Skills!H14,1)+IF(Skills!H14&gt;0,MIN(Skills!I14,MAX(0,Inputs!$B$35-((R659-1)*IF(Inputs!$B$4="pvp",15,MAX(0.1,Skills!D14-IF(Skills!E14=TRUE,Inputs!$B$31,0))))))/Skills!H14,1)))/Inputs!$B$35),G659*Q659)*IF(Inputs!$B$4="pvp",1,(1-Summary!$B$55)*(1)+Summary!$B$55*(MIN(Skills!W14,Inputs!$B$37))),0)</f>
        <v/>
      </c>
      <c r="P659">
        <f>IF(B689=0,0,O659/B689)</f>
        <v/>
      </c>
      <c r="Q659">
        <f>IFERROR(1/IF(Inputs!$B$4="pvp",15,MAX(0.1,Skills!D14-IF(Skills!E14=TRUE,Inputs!$B$31,0))),0)</f>
        <v/>
      </c>
      <c r="R659">
        <f>IF(AND(Inputs!$B$4&lt;&gt;"pvp",Inputs!$B$35&gt;0),(INT(Inputs!$B$35/IF(Inputs!$B$4="pvp",15,MAX(0.1,Skills!D14-IF(Skills!E14=TRUE,Inputs!$B$31,0))))+1),0)</f>
        <v/>
      </c>
      <c r="S659">
        <f>IFERROR(O659/N659,0)</f>
        <v/>
      </c>
    </row>
    <row r="660">
      <c r="A660">
        <f>Skills!A15</f>
        <v/>
      </c>
      <c r="B660">
        <f>Skills!B15</f>
        <v/>
      </c>
      <c r="C660">
        <f>Inputs!$B$3&gt;=110</f>
        <v/>
      </c>
      <c r="D660">
        <f>IF(Skills!C15=1,60+Inputs!$B$24+Inputs!$B$28,IF(Skills!C15=2,90+Inputs!$B$25+Inputs!$B$28,IF(Skills!C15=3,120+Inputs!$B$26+Inputs!$B$28,MAX(0,(Inputs!$B$3-100)*3)+Inputs!$B$27+Inputs!$B$28)))</f>
        <v/>
      </c>
      <c r="E660">
        <f>INDEX(FactorTable!$B$2:$Y$301, MATCH(ROUND(MIN(300,MAX(1,D660)),0), FactorTable!$A$2:$A$301,0), Skills!M15+1)</f>
        <v/>
      </c>
      <c r="F660">
        <f>IF(Skills!N15=TRUE,(Skills!L15/10)*(E660/1000),Skills!L15/10)+Skills!O15</f>
        <v/>
      </c>
      <c r="G660">
        <f>Calc!G15</f>
        <v/>
      </c>
      <c r="H660">
        <f>Calc!H15</f>
        <v/>
      </c>
      <c r="I660">
        <f>IF(Skills!AA15&lt;&gt;"",1+(Skills!AA15/10)*(U648/1000)/100,1)</f>
        <v/>
      </c>
      <c r="J660" t="inlineStr"/>
      <c r="K660" t="inlineStr"/>
      <c r="L660" t="inlineStr"/>
      <c r="M660" t="inlineStr"/>
      <c r="N660" t="inlineStr"/>
      <c r="O660" t="n">
        <v>0</v>
      </c>
      <c r="P660">
        <f>IF(B689=0,0,O660/B689)</f>
        <v/>
      </c>
      <c r="Q660">
        <f>IFERROR(1/IF(Inputs!$B$4="pvp",15,MAX(0.1,Skills!D15-IF(Skills!E15=TRUE,Inputs!$B$31,0))),0)</f>
        <v/>
      </c>
      <c r="R660">
        <f>IF(AND(Inputs!$B$4&lt;&gt;"pvp",Inputs!$B$35&gt;0),(INT(Inputs!$B$35/IF(Inputs!$B$4="pvp",15,MAX(0.1,Skills!D15-IF(Skills!E15=TRUE,Inputs!$B$31,0))))+1),0)</f>
        <v/>
      </c>
      <c r="S660">
        <f>IFERROR(O660/N660,0)</f>
        <v/>
      </c>
    </row>
    <row r="661">
      <c r="A661">
        <f>Skills!A16</f>
        <v/>
      </c>
      <c r="B661">
        <f>Skills!B16</f>
        <v/>
      </c>
      <c r="C661">
        <f>Inputs!$B$3&gt;=110</f>
        <v/>
      </c>
      <c r="D661">
        <f>IF(Skills!C16=1,60+Inputs!$B$24+Inputs!$B$28,IF(Skills!C16=2,90+Inputs!$B$25+Inputs!$B$28,IF(Skills!C16=3,120+Inputs!$B$26+Inputs!$B$28,MAX(0,(Inputs!$B$3-100)*3)+Inputs!$B$27+Inputs!$B$28)))</f>
        <v/>
      </c>
      <c r="E661">
        <f>INDEX(FactorTable!$B$2:$Y$301, MATCH(ROUND(MIN(300,MAX(1,D661)),0), FactorTable!$A$2:$A$301,0), Skills!M16+1)</f>
        <v/>
      </c>
      <c r="F661">
        <f>IF(Skills!N16=TRUE,(Skills!L16/10)*(E661/1000),Skills!L16/10)+Skills!O16</f>
        <v/>
      </c>
      <c r="G661">
        <f>Calc!G16</f>
        <v/>
      </c>
      <c r="H661">
        <f>Calc!H16</f>
        <v/>
      </c>
      <c r="I661">
        <f>IF(Skills!AA16&lt;&gt;"",1+(Skills!AA16/10)*(U648/1000)/100,1)</f>
        <v/>
      </c>
      <c r="J661" t="inlineStr"/>
      <c r="K661" t="inlineStr"/>
      <c r="L661" t="inlineStr"/>
      <c r="M661" t="inlineStr"/>
      <c r="N661" t="inlineStr"/>
      <c r="O661" t="n">
        <v>0</v>
      </c>
      <c r="P661">
        <f>IF(B689=0,0,O661/B689)</f>
        <v/>
      </c>
      <c r="Q661">
        <f>IFERROR(1/IF(Inputs!$B$4="pvp",15,MAX(0.1,Skills!D16-IF(Skills!E16=TRUE,Inputs!$B$31,0))),0)</f>
        <v/>
      </c>
      <c r="R661">
        <f>IF(AND(Inputs!$B$4&lt;&gt;"pvp",Inputs!$B$35&gt;0),(INT(Inputs!$B$35/IF(Inputs!$B$4="pvp",15,MAX(0.1,Skills!D16-IF(Skills!E16=TRUE,Inputs!$B$31,0))))+1),0)</f>
        <v/>
      </c>
      <c r="S661">
        <f>IFERROR(O661/N661,0)</f>
        <v/>
      </c>
    </row>
    <row r="662">
      <c r="A662">
        <f>Skills!A17</f>
        <v/>
      </c>
      <c r="B662">
        <f>Skills!B17</f>
        <v/>
      </c>
      <c r="C662">
        <f>Inputs!$B$3&gt;=115</f>
        <v/>
      </c>
      <c r="D662">
        <f>IF(Skills!C17=1,60+Inputs!$B$24+Inputs!$B$28,IF(Skills!C17=2,90+Inputs!$B$25+Inputs!$B$28,IF(Skills!C17=3,120+Inputs!$B$26+Inputs!$B$28,MAX(0,(Inputs!$B$3-100)*3)+Inputs!$B$27+Inputs!$B$28)))</f>
        <v/>
      </c>
      <c r="E662">
        <f>INDEX(FactorTable!$B$2:$Y$301, MATCH(ROUND(MIN(300,MAX(1,D662)),0), FactorTable!$A$2:$A$301,0), Skills!M17+1)</f>
        <v/>
      </c>
      <c r="F662">
        <f>IF(Skills!N17=TRUE,(Skills!L17/10)*(E662/1000),Skills!L17/10)+Skills!O17</f>
        <v/>
      </c>
      <c r="G662">
        <f>Calc!G17</f>
        <v/>
      </c>
      <c r="H662">
        <f>Calc!H17</f>
        <v/>
      </c>
      <c r="I662">
        <f>IF(Skills!AA17&lt;&gt;"",1+(Skills!AA17/10)*(U648/1000)/100,1)</f>
        <v/>
      </c>
      <c r="J662">
        <f>(Inputs!$B$5*(1+Inputs!$B$6/100))*(F662/100)</f>
        <v/>
      </c>
      <c r="K662">
        <f>J662*(1+((Inputs!$B$11*(1+Inputs!$B$12/100))*0.01+Inputs!$B$13*0.0025)/100)*(1+Inputs!$B$14/100)*(1+IF(Inputs!$B$4="pvp",0,(1-Summary!$B$55)*(Inputs!$B$19+((C672=TRUE)*(F672-Calc!F27))+Skills!P17+B686)+Summary!$B$55*(Inputs!$B$20+Skills!Q17+B686))/100)*(1+Inputs!$B$15/100)*(5000/(6000+Inputs!$B$7*(1-((1-(1-Inputs!$B$18/100)*(1-1/100))*100)/100)))*(1+(Inputs!$B$23+((C675=TRUE)*(F675-Calc!F30)))/100)*(1+Skills!R17/100)*(1+(IF(Skills!A17="SHOWDOWN",Inputs!$B$16+((C668=TRUE)*(F668-Calc!F23)),Inputs!$B$17+((C674=TRUE)*(F674-Calc!F29))))/100)*(((1+(((C666=TRUE)*F666*IF(AND(Inputs!$B$4&lt;&gt;"pvp",Inputs!$B$35&gt;0),(((S666-1)*(Skills!Y21*(1+Inputs!$B$33/100))+MIN((Skills!Y21*(1+Inputs!$B$33/100)),MAX(0,Inputs!$B$35-((S666-1)*Skills!D21))))/Inputs!$B$35),IF(Inputs!$B$4="pvp",MIN((Skills!Y21*(1+Inputs!$B$33/100)),15)/15,(Skills!Y21*(1+Inputs!$B$33/100))/Skills!D21)))+((C673=TRUE)*(F673-Calc!F28))+((C663=TRUE)*(F663-Calc!F18)))/100)*(1+((C660=TRUE)*F660*IF(AND(Inputs!$B$4&lt;&gt;"pvp",Inputs!$B$35&gt;0),(((S660-1)*(Skills!Y15*(1+Inputs!$B$33/100))+MIN((Skills!Y15*(1+Inputs!$B$33/100)),MAX(0,Inputs!$B$35-((S660-1)*Skills!D15))))/Inputs!$B$35),IF(Inputs!$B$4="pvp",MIN((Skills!Y15*(1+Inputs!$B$33/100)),15)/15,(Skills!Y15*(1+Inputs!$B$33/100))/Skills!D15)))/100)*(1+((C651=TRUE)*F651*B679)/100))*B687*I662)</f>
        <v/>
      </c>
      <c r="L662">
        <f>K662*(MIN(Inputs!$B$21+((C669=TRUE)*(F669-Calc!F24)),Inputs!$B$22)/100+Inputs!$B$22/100)/2</f>
        <v/>
      </c>
      <c r="M662">
        <f>L662*(1+(Inputs!$B$9+((C671=TRUE)*(F671-Calc!F26))+B688)/100)</f>
        <v/>
      </c>
      <c r="N662">
        <f>L662*(1-MIN((Inputs!$B$8+((C670=TRUE)*(F670-Calc!F25))+B685),100)/100)+M662*(MIN((Inputs!$B$8+((C670=TRUE)*(F670-Calc!F25))+B685),100)/100)</f>
        <v/>
      </c>
      <c r="O662">
        <f>IF(C662,Inputs!$B$38*0.2*N662,0)</f>
        <v/>
      </c>
      <c r="P662">
        <f>IF(B689=0,0,O662/B689)</f>
        <v/>
      </c>
      <c r="Q662" t="n">
        <v>0</v>
      </c>
      <c r="R662" t="n">
        <v>0</v>
      </c>
      <c r="S662">
        <f>IFERROR(O662/N662,0)</f>
        <v/>
      </c>
    </row>
    <row r="663">
      <c r="A663">
        <f>Skills!A18</f>
        <v/>
      </c>
      <c r="B663">
        <f>Skills!B18</f>
        <v/>
      </c>
      <c r="C663">
        <f>Inputs!$B$3&gt;=115</f>
        <v/>
      </c>
      <c r="D663">
        <f>IF(Skills!C18=1,60+Inputs!$B$24+Inputs!$B$28,IF(Skills!C18=2,90+Inputs!$B$25+Inputs!$B$28,IF(Skills!C18=3,120+Inputs!$B$26+Inputs!$B$28,MAX(0,(Inputs!$B$3-100)*3)+Inputs!$B$27+Inputs!$B$28)))</f>
        <v/>
      </c>
      <c r="E663">
        <f>INDEX(FactorTable!$B$2:$Y$301, MATCH(ROUND(MIN(300,MAX(1,D663)),0), FactorTable!$A$2:$A$301,0), Skills!M18+1)</f>
        <v/>
      </c>
      <c r="F663">
        <f>IF(Skills!N18=TRUE,(Skills!L18/10)*(E663/1000),Skills!L18/10)+Skills!O18</f>
        <v/>
      </c>
      <c r="G663">
        <f>Calc!G18</f>
        <v/>
      </c>
      <c r="H663">
        <f>Calc!H18</f>
        <v/>
      </c>
      <c r="I663">
        <f>IF(Skills!AA18&lt;&gt;"",1+(Skills!AA18/10)*(U648/1000)/100,1)</f>
        <v/>
      </c>
      <c r="J663" t="inlineStr"/>
      <c r="K663" t="inlineStr"/>
      <c r="L663" t="inlineStr"/>
      <c r="M663" t="inlineStr"/>
      <c r="N663" t="inlineStr"/>
      <c r="O663" t="n">
        <v>0</v>
      </c>
      <c r="P663">
        <f>IF(B689=0,0,O663/B689)</f>
        <v/>
      </c>
      <c r="Q663" t="n">
        <v>0</v>
      </c>
      <c r="R663" t="n">
        <v>0</v>
      </c>
      <c r="S663">
        <f>IFERROR(O663/N663,0)</f>
        <v/>
      </c>
    </row>
    <row r="664">
      <c r="A664">
        <f>Skills!A19</f>
        <v/>
      </c>
      <c r="B664">
        <f>Skills!B19</f>
        <v/>
      </c>
      <c r="C664">
        <f>TRUE</f>
        <v/>
      </c>
      <c r="D664">
        <f>IF(Skills!C19=1,60+Inputs!$B$24+Inputs!$B$28,IF(Skills!C19=2,90+Inputs!$B$25+Inputs!$B$28,IF(Skills!C19=3,120+Inputs!$B$26+Inputs!$B$28,MAX(0,(Inputs!$B$3-100)*3)+Inputs!$B$27+Inputs!$B$28)))</f>
        <v/>
      </c>
      <c r="E664">
        <f>INDEX(FactorTable!$B$2:$Y$301, MATCH(ROUND(MIN(300,MAX(1,D664)),0), FactorTable!$A$2:$A$301,0), Skills!M19+1)</f>
        <v/>
      </c>
      <c r="F664">
        <f>IF(Skills!N19=TRUE,(Skills!L19/10)*(E664/1000),Skills!L19/10)+Skills!O19</f>
        <v/>
      </c>
      <c r="G664">
        <f>Calc!G19</f>
        <v/>
      </c>
      <c r="H664">
        <f>Calc!H19</f>
        <v/>
      </c>
      <c r="I664">
        <f>IF(Skills!AA19&lt;&gt;"",1+(Skills!AA19/10)*(U648/1000)/100,1)</f>
        <v/>
      </c>
      <c r="J664" t="inlineStr"/>
      <c r="K664" t="inlineStr"/>
      <c r="L664" t="inlineStr"/>
      <c r="M664" t="inlineStr"/>
      <c r="N664" t="inlineStr"/>
      <c r="O664" t="n">
        <v>0</v>
      </c>
      <c r="P664">
        <f>IF(B689=0,0,O664/B689)</f>
        <v/>
      </c>
      <c r="Q664">
        <f>IFERROR(1/IF(Inputs!$B$4="pvp",15,MAX(0.1,Skills!D19-IF(Skills!E19=TRUE,Inputs!$B$31,0))),0)</f>
        <v/>
      </c>
      <c r="R664">
        <f>IF(AND(Inputs!$B$4&lt;&gt;"pvp",Inputs!$B$35&gt;0),(INT(Inputs!$B$35/IF(Inputs!$B$4="pvp",15,MAX(0.1,Skills!D19-IF(Skills!E19=TRUE,Inputs!$B$31,0))))+1),0)</f>
        <v/>
      </c>
      <c r="S664">
        <f>IFERROR(O664/N664,0)</f>
        <v/>
      </c>
    </row>
    <row r="665">
      <c r="A665">
        <f>Skills!A20</f>
        <v/>
      </c>
      <c r="B665">
        <f>Skills!B20</f>
        <v/>
      </c>
      <c r="C665">
        <f>Inputs!$B$3&gt;=15</f>
        <v/>
      </c>
      <c r="D665">
        <f>IF(Skills!C20=1,60+Inputs!$B$24+Inputs!$B$28,IF(Skills!C20=2,90+Inputs!$B$25+Inputs!$B$28,IF(Skills!C20=3,120+Inputs!$B$26+Inputs!$B$28,MAX(0,(Inputs!$B$3-100)*3)+Inputs!$B$27+Inputs!$B$28)))</f>
        <v/>
      </c>
      <c r="E665">
        <f>INDEX(FactorTable!$B$2:$Y$301, MATCH(ROUND(MIN(300,MAX(1,D665)),0), FactorTable!$A$2:$A$301,0), Skills!M20+1)</f>
        <v/>
      </c>
      <c r="F665">
        <f>IF(Skills!N20=TRUE,(Skills!L20/10)*(E665/1000),Skills!L20/10)+Skills!O20</f>
        <v/>
      </c>
      <c r="G665">
        <f>Calc!G20</f>
        <v/>
      </c>
      <c r="H665">
        <f>Calc!H20</f>
        <v/>
      </c>
      <c r="I665">
        <f>IF(Skills!AA20&lt;&gt;"",1+(Skills!AA20/10)*(U648/1000)/100,1)</f>
        <v/>
      </c>
      <c r="J665" t="inlineStr"/>
      <c r="K665" t="inlineStr"/>
      <c r="L665" t="inlineStr"/>
      <c r="M665" t="inlineStr"/>
      <c r="N665" t="inlineStr"/>
      <c r="O665" t="n">
        <v>0</v>
      </c>
      <c r="P665">
        <f>IF(B689=0,0,O665/B689)</f>
        <v/>
      </c>
      <c r="Q665">
        <f>IFERROR(1/IF(Inputs!$B$4="pvp",15,MAX(0.1,Skills!D20-IF(Skills!E20=TRUE,Inputs!$B$31,0))),0)</f>
        <v/>
      </c>
      <c r="R665">
        <f>IF(AND(Inputs!$B$4&lt;&gt;"pvp",Inputs!$B$35&gt;0),(INT(Inputs!$B$35/IF(Inputs!$B$4="pvp",15,MAX(0.1,Skills!D20-IF(Skills!E20=TRUE,Inputs!$B$31,0))))+1),0)</f>
        <v/>
      </c>
      <c r="S665">
        <f>IFERROR(O665/N665,0)</f>
        <v/>
      </c>
    </row>
    <row r="666">
      <c r="A666">
        <f>Skills!A21</f>
        <v/>
      </c>
      <c r="B666">
        <f>Skills!B21</f>
        <v/>
      </c>
      <c r="C666">
        <f>Inputs!$B$3&gt;=15</f>
        <v/>
      </c>
      <c r="D666">
        <f>IF(Skills!C21=1,60+Inputs!$B$24+Inputs!$B$28,IF(Skills!C21=2,90+Inputs!$B$25+Inputs!$B$28,IF(Skills!C21=3,120+Inputs!$B$26+Inputs!$B$28,MAX(0,(Inputs!$B$3-100)*3)+Inputs!$B$27+Inputs!$B$28)))</f>
        <v/>
      </c>
      <c r="E666">
        <f>INDEX(FactorTable!$B$2:$Y$301, MATCH(ROUND(MIN(300,MAX(1,D666)),0), FactorTable!$A$2:$A$301,0), Skills!M21+1)</f>
        <v/>
      </c>
      <c r="F666">
        <f>IF(Skills!N21=TRUE,(Skills!L21/10)*(E666/1000),Skills!L21/10)+Skills!O21</f>
        <v/>
      </c>
      <c r="G666">
        <f>Calc!G21</f>
        <v/>
      </c>
      <c r="H666">
        <f>Calc!H21</f>
        <v/>
      </c>
      <c r="I666">
        <f>IF(Skills!AA21&lt;&gt;"",1+(Skills!AA21/10)*(U648/1000)/100,1)</f>
        <v/>
      </c>
      <c r="J666" t="inlineStr"/>
      <c r="K666" t="inlineStr"/>
      <c r="L666" t="inlineStr"/>
      <c r="M666" t="inlineStr"/>
      <c r="N666" t="inlineStr"/>
      <c r="O666" t="n">
        <v>0</v>
      </c>
      <c r="P666">
        <f>IF(B689=0,0,O666/B689)</f>
        <v/>
      </c>
      <c r="Q666">
        <f>IFERROR(1/IF(Inputs!$B$4="pvp",15,MAX(0.1,Skills!D21-IF(Skills!E21=TRUE,Inputs!$B$31,0))),0)</f>
        <v/>
      </c>
      <c r="R666">
        <f>IF(AND(Inputs!$B$4&lt;&gt;"pvp",Inputs!$B$35&gt;0),(INT(Inputs!$B$35/IF(Inputs!$B$4="pvp",15,MAX(0.1,Skills!D21-IF(Skills!E21=TRUE,Inputs!$B$31,0))))+1),0)</f>
        <v/>
      </c>
      <c r="S666">
        <f>IFERROR(O666/N666,0)</f>
        <v/>
      </c>
    </row>
    <row r="667">
      <c r="A667">
        <f>Skills!A22</f>
        <v/>
      </c>
      <c r="B667">
        <f>Skills!B22</f>
        <v/>
      </c>
      <c r="C667">
        <f>Inputs!$B$3&gt;=33</f>
        <v/>
      </c>
      <c r="D667">
        <f>IF(Skills!C22=1,60+Inputs!$B$24+Inputs!$B$28,IF(Skills!C22=2,90+Inputs!$B$25+Inputs!$B$28,IF(Skills!C22=3,120+Inputs!$B$26+Inputs!$B$28,MAX(0,(Inputs!$B$3-100)*3)+Inputs!$B$27+Inputs!$B$28)))</f>
        <v/>
      </c>
      <c r="E667">
        <f>INDEX(FactorTable!$B$2:$Y$301, MATCH(ROUND(MIN(300,MAX(1,D667)),0), FactorTable!$A$2:$A$301,0), Skills!M22+1)</f>
        <v/>
      </c>
      <c r="F667">
        <f>IF(Skills!N22=TRUE,(Skills!L22/10)*(E667/1000),Skills!L22/10)+Skills!O22</f>
        <v/>
      </c>
      <c r="G667">
        <f>Calc!G22</f>
        <v/>
      </c>
      <c r="H667">
        <f>Calc!H22</f>
        <v/>
      </c>
      <c r="I667">
        <f>IF(Skills!AA22&lt;&gt;"",1+(Skills!AA22/10)*(U648/1000)/100,1)</f>
        <v/>
      </c>
      <c r="J667" t="inlineStr"/>
      <c r="K667" t="inlineStr"/>
      <c r="L667" t="inlineStr"/>
      <c r="M667" t="inlineStr"/>
      <c r="N667" t="inlineStr"/>
      <c r="O667" t="n">
        <v>0</v>
      </c>
      <c r="P667">
        <f>IF(B689=0,0,O667/B689)</f>
        <v/>
      </c>
      <c r="Q667" t="n">
        <v>0</v>
      </c>
      <c r="R667" t="n">
        <v>0</v>
      </c>
      <c r="S667">
        <f>IFERROR(O667/N667,0)</f>
        <v/>
      </c>
    </row>
    <row r="668">
      <c r="A668">
        <f>Skills!A23</f>
        <v/>
      </c>
      <c r="B668">
        <f>Skills!B23</f>
        <v/>
      </c>
      <c r="C668">
        <f>Inputs!$B$3&gt;=38</f>
        <v/>
      </c>
      <c r="D668">
        <f>IF(Skills!C23=1,60+Inputs!$B$24+Inputs!$B$28,IF(Skills!C23=2,90+Inputs!$B$25+Inputs!$B$28,IF(Skills!C23=3,120+Inputs!$B$26+Inputs!$B$28,MAX(0,(Inputs!$B$3-100)*3)+Inputs!$B$27+Inputs!$B$28)))</f>
        <v/>
      </c>
      <c r="E668">
        <f>INDEX(FactorTable!$B$2:$Y$301, MATCH(ROUND(MIN(300,MAX(1,D668)),0), FactorTable!$A$2:$A$301,0), Skills!M23+1)</f>
        <v/>
      </c>
      <c r="F668">
        <f>IF(Skills!N23=TRUE,(Skills!L23/10)*(E668/1000),Skills!L23/10)+Skills!O23</f>
        <v/>
      </c>
      <c r="G668">
        <f>Calc!G23</f>
        <v/>
      </c>
      <c r="H668">
        <f>Calc!H23</f>
        <v/>
      </c>
      <c r="I668">
        <f>IF(Skills!AA23&lt;&gt;"",1+(Skills!AA23/10)*(U648/1000)/100,1)</f>
        <v/>
      </c>
      <c r="J668" t="inlineStr"/>
      <c r="K668" t="inlineStr"/>
      <c r="L668" t="inlineStr"/>
      <c r="M668" t="inlineStr"/>
      <c r="N668" t="inlineStr"/>
      <c r="O668" t="n">
        <v>0</v>
      </c>
      <c r="P668">
        <f>IF(B689=0,0,O668/B689)</f>
        <v/>
      </c>
      <c r="Q668" t="n">
        <v>0</v>
      </c>
      <c r="R668" t="n">
        <v>0</v>
      </c>
      <c r="S668">
        <f>IFERROR(O668/N668,0)</f>
        <v/>
      </c>
    </row>
    <row r="669">
      <c r="A669">
        <f>Skills!A24</f>
        <v/>
      </c>
      <c r="B669">
        <f>Skills!B24</f>
        <v/>
      </c>
      <c r="C669">
        <f>Inputs!$B$3&gt;=40</f>
        <v/>
      </c>
      <c r="D669">
        <f>IF(Skills!C24=1,60+Inputs!$B$24+Inputs!$B$28,IF(Skills!C24=2,90+Inputs!$B$25+Inputs!$B$28,IF(Skills!C24=3,120+Inputs!$B$26+Inputs!$B$28,MAX(0,(Inputs!$B$3-100)*3)+Inputs!$B$27+Inputs!$B$28)))</f>
        <v/>
      </c>
      <c r="E669">
        <f>INDEX(FactorTable!$B$2:$Y$301, MATCH(ROUND(MIN(300,MAX(1,D669)),0), FactorTable!$A$2:$A$301,0), Skills!M24+1)</f>
        <v/>
      </c>
      <c r="F669">
        <f>IF(Skills!N24=TRUE,(Skills!L24/10)*(E669/1000),Skills!L24/10)+Skills!O24</f>
        <v/>
      </c>
      <c r="G669">
        <f>Calc!G24</f>
        <v/>
      </c>
      <c r="H669">
        <f>Calc!H24</f>
        <v/>
      </c>
      <c r="I669">
        <f>IF(Skills!AA24&lt;&gt;"",1+(Skills!AA24/10)*(U648/1000)/100,1)</f>
        <v/>
      </c>
      <c r="J669" t="inlineStr"/>
      <c r="K669" t="inlineStr"/>
      <c r="L669" t="inlineStr"/>
      <c r="M669" t="inlineStr"/>
      <c r="N669" t="inlineStr"/>
      <c r="O669" t="n">
        <v>0</v>
      </c>
      <c r="P669">
        <f>IF(B689=0,0,O669/B689)</f>
        <v/>
      </c>
      <c r="Q669" t="n">
        <v>0</v>
      </c>
      <c r="R669" t="n">
        <v>0</v>
      </c>
      <c r="S669">
        <f>IFERROR(O669/N669,0)</f>
        <v/>
      </c>
    </row>
    <row r="670">
      <c r="A670">
        <f>Skills!A25</f>
        <v/>
      </c>
      <c r="B670">
        <f>Skills!B25</f>
        <v/>
      </c>
      <c r="C670">
        <f>Inputs!$B$3&gt;=45</f>
        <v/>
      </c>
      <c r="D670">
        <f>IF(Skills!C25=1,60+Inputs!$B$24+Inputs!$B$28,IF(Skills!C25=2,90+Inputs!$B$25+Inputs!$B$28,IF(Skills!C25=3,120+Inputs!$B$26+Inputs!$B$28,MAX(0,(Inputs!$B$3-100)*3)+Inputs!$B$27+Inputs!$B$28)))</f>
        <v/>
      </c>
      <c r="E670">
        <f>INDEX(FactorTable!$B$2:$Y$301, MATCH(ROUND(MIN(300,MAX(1,D670)),0), FactorTable!$A$2:$A$301,0), Skills!M25+1)</f>
        <v/>
      </c>
      <c r="F670">
        <f>IF(Skills!N25=TRUE,(Skills!L25/10)*(E670/1000),Skills!L25/10)+Skills!O25</f>
        <v/>
      </c>
      <c r="G670">
        <f>Calc!G25</f>
        <v/>
      </c>
      <c r="H670">
        <f>Calc!H25</f>
        <v/>
      </c>
      <c r="I670">
        <f>IF(Skills!AA25&lt;&gt;"",1+(Skills!AA25/10)*(U648/1000)/100,1)</f>
        <v/>
      </c>
      <c r="J670" t="inlineStr"/>
      <c r="K670" t="inlineStr"/>
      <c r="L670" t="inlineStr"/>
      <c r="M670" t="inlineStr"/>
      <c r="N670" t="inlineStr"/>
      <c r="O670" t="n">
        <v>0</v>
      </c>
      <c r="P670">
        <f>IF(B689=0,0,O670/B689)</f>
        <v/>
      </c>
      <c r="Q670" t="n">
        <v>0</v>
      </c>
      <c r="R670" t="n">
        <v>0</v>
      </c>
      <c r="S670">
        <f>IFERROR(O670/N670,0)</f>
        <v/>
      </c>
    </row>
    <row r="671">
      <c r="A671">
        <f>Skills!A26</f>
        <v/>
      </c>
      <c r="B671">
        <f>Skills!B26</f>
        <v/>
      </c>
      <c r="C671">
        <f>Inputs!$B$3&gt;=45</f>
        <v/>
      </c>
      <c r="D671">
        <f>IF(Skills!C26=1,60+Inputs!$B$24+Inputs!$B$28,IF(Skills!C26=2,90+Inputs!$B$25+Inputs!$B$28,IF(Skills!C26=3,120+Inputs!$B$26+Inputs!$B$28,MAX(0,(Inputs!$B$3-100)*3)+Inputs!$B$27+Inputs!$B$28)))</f>
        <v/>
      </c>
      <c r="E671">
        <f>INDEX(FactorTable!$B$2:$Y$301, MATCH(ROUND(MIN(300,MAX(1,D671)),0), FactorTable!$A$2:$A$301,0), Skills!M26+1)</f>
        <v/>
      </c>
      <c r="F671">
        <f>IF(Skills!N26=TRUE,(Skills!L26/10)*(E671/1000),Skills!L26/10)+Skills!O26</f>
        <v/>
      </c>
      <c r="G671">
        <f>Calc!G26</f>
        <v/>
      </c>
      <c r="H671">
        <f>Calc!H26</f>
        <v/>
      </c>
      <c r="I671">
        <f>IF(Skills!AA26&lt;&gt;"",1+(Skills!AA26/10)*(U648/1000)/100,1)</f>
        <v/>
      </c>
      <c r="J671" t="inlineStr"/>
      <c r="K671" t="inlineStr"/>
      <c r="L671" t="inlineStr"/>
      <c r="M671" t="inlineStr"/>
      <c r="N671" t="inlineStr"/>
      <c r="O671" t="n">
        <v>0</v>
      </c>
      <c r="P671">
        <f>IF(B689=0,0,O671/B689)</f>
        <v/>
      </c>
      <c r="Q671" t="n">
        <v>0</v>
      </c>
      <c r="R671" t="n">
        <v>0</v>
      </c>
      <c r="S671">
        <f>IFERROR(O671/N671,0)</f>
        <v/>
      </c>
    </row>
    <row r="672">
      <c r="A672">
        <f>Skills!A27</f>
        <v/>
      </c>
      <c r="B672">
        <f>Skills!B27</f>
        <v/>
      </c>
      <c r="C672">
        <f>Inputs!$B$3&gt;=72</f>
        <v/>
      </c>
      <c r="D672">
        <f>IF(Skills!C27=1,60+Inputs!$B$24+Inputs!$B$28,IF(Skills!C27=2,90+Inputs!$B$25+Inputs!$B$28,IF(Skills!C27=3,120+Inputs!$B$26+Inputs!$B$28,MAX(0,(Inputs!$B$3-100)*3)+Inputs!$B$27+Inputs!$B$28)))</f>
        <v/>
      </c>
      <c r="E672">
        <f>INDEX(FactorTable!$B$2:$Y$301, MATCH(ROUND(MIN(300,MAX(1,D672)),0), FactorTable!$A$2:$A$301,0), Skills!M27+1)</f>
        <v/>
      </c>
      <c r="F672">
        <f>IF(Skills!N27=TRUE,(Skills!L27/10)*(E672/1000),Skills!L27/10)+Skills!O27</f>
        <v/>
      </c>
      <c r="G672">
        <f>Calc!G27</f>
        <v/>
      </c>
      <c r="H672">
        <f>Calc!H27</f>
        <v/>
      </c>
      <c r="I672">
        <f>IF(Skills!AA27&lt;&gt;"",1+(Skills!AA27/10)*(U648/1000)/100,1)</f>
        <v/>
      </c>
      <c r="J672" t="inlineStr"/>
      <c r="K672" t="inlineStr"/>
      <c r="L672" t="inlineStr"/>
      <c r="M672" t="inlineStr"/>
      <c r="N672" t="inlineStr"/>
      <c r="O672" t="n">
        <v>0</v>
      </c>
      <c r="P672">
        <f>IF(B689=0,0,O672/B689)</f>
        <v/>
      </c>
      <c r="Q672" t="n">
        <v>0</v>
      </c>
      <c r="R672" t="n">
        <v>0</v>
      </c>
      <c r="S672">
        <f>IFERROR(O672/N672,0)</f>
        <v/>
      </c>
    </row>
    <row r="673">
      <c r="A673">
        <f>Skills!A28</f>
        <v/>
      </c>
      <c r="B673">
        <f>Skills!B28</f>
        <v/>
      </c>
      <c r="C673">
        <f>Inputs!$B$3&gt;=75</f>
        <v/>
      </c>
      <c r="D673">
        <f>IF(Skills!C28=1,60+Inputs!$B$24+Inputs!$B$28,IF(Skills!C28=2,90+Inputs!$B$25+Inputs!$B$28,IF(Skills!C28=3,120+Inputs!$B$26+Inputs!$B$28,MAX(0,(Inputs!$B$3-100)*3)+Inputs!$B$27+Inputs!$B$28)))</f>
        <v/>
      </c>
      <c r="E673">
        <f>INDEX(FactorTable!$B$2:$Y$301, MATCH(ROUND(MIN(300,MAX(1,D673)),0), FactorTable!$A$2:$A$301,0), Skills!M28+1)</f>
        <v/>
      </c>
      <c r="F673">
        <f>IF(Skills!N28=TRUE,(Skills!L28/10)*(E673/1000),Skills!L28/10)+Skills!O28</f>
        <v/>
      </c>
      <c r="G673">
        <f>Calc!G28</f>
        <v/>
      </c>
      <c r="H673">
        <f>Calc!H28</f>
        <v/>
      </c>
      <c r="I673">
        <f>IF(Skills!AA28&lt;&gt;"",1+(Skills!AA28/10)*(U648/1000)/100,1)</f>
        <v/>
      </c>
      <c r="J673" t="inlineStr"/>
      <c r="K673" t="inlineStr"/>
      <c r="L673" t="inlineStr"/>
      <c r="M673" t="inlineStr"/>
      <c r="N673" t="inlineStr"/>
      <c r="O673" t="n">
        <v>0</v>
      </c>
      <c r="P673">
        <f>IF(B689=0,0,O673/B689)</f>
        <v/>
      </c>
      <c r="Q673" t="n">
        <v>0</v>
      </c>
      <c r="R673" t="n">
        <v>0</v>
      </c>
      <c r="S673">
        <f>IFERROR(O673/N673,0)</f>
        <v/>
      </c>
    </row>
    <row r="674">
      <c r="A674">
        <f>Skills!A29</f>
        <v/>
      </c>
      <c r="B674">
        <f>Skills!B29</f>
        <v/>
      </c>
      <c r="C674">
        <f>Inputs!$B$3&gt;=120</f>
        <v/>
      </c>
      <c r="D674">
        <f>IF(Skills!C29=1,60+Inputs!$B$24+Inputs!$B$28,IF(Skills!C29=2,90+Inputs!$B$25+Inputs!$B$28,IF(Skills!C29=3,120+Inputs!$B$26+Inputs!$B$28,MAX(0,(Inputs!$B$3-100)*3)+Inputs!$B$27+Inputs!$B$28)))</f>
        <v/>
      </c>
      <c r="E674">
        <f>INDEX(FactorTable!$B$2:$Y$301, MATCH(ROUND(MIN(300,MAX(1,D674)),0), FactorTable!$A$2:$A$301,0), Skills!M29+1)</f>
        <v/>
      </c>
      <c r="F674">
        <f>IF(Skills!N29=TRUE,(Skills!L29/10)*(E674/1000),Skills!L29/10)+Skills!O29</f>
        <v/>
      </c>
      <c r="G674">
        <f>Calc!G29</f>
        <v/>
      </c>
      <c r="H674">
        <f>Calc!H29</f>
        <v/>
      </c>
      <c r="I674">
        <f>IF(Skills!AA29&lt;&gt;"",1+(Skills!AA29/10)*(U648/1000)/100,1)</f>
        <v/>
      </c>
      <c r="J674" t="inlineStr"/>
      <c r="K674" t="inlineStr"/>
      <c r="L674" t="inlineStr"/>
      <c r="M674" t="inlineStr"/>
      <c r="N674" t="inlineStr"/>
      <c r="O674" t="n">
        <v>0</v>
      </c>
      <c r="P674">
        <f>IF(B689=0,0,O674/B689)</f>
        <v/>
      </c>
      <c r="Q674" t="n">
        <v>0</v>
      </c>
      <c r="R674" t="n">
        <v>0</v>
      </c>
      <c r="S674">
        <f>IFERROR(O674/N674,0)</f>
        <v/>
      </c>
    </row>
    <row r="675">
      <c r="A675">
        <f>Skills!A30</f>
        <v/>
      </c>
      <c r="B675">
        <f>Skills!B30</f>
        <v/>
      </c>
      <c r="C675">
        <f>Inputs!$B$3&gt;=125</f>
        <v/>
      </c>
      <c r="D675">
        <f>IF(Skills!C30=1,60+Inputs!$B$24+Inputs!$B$28,IF(Skills!C30=2,90+Inputs!$B$25+Inputs!$B$28,IF(Skills!C30=3,120+Inputs!$B$26+Inputs!$B$28,MAX(0,(Inputs!$B$3-100)*3)+Inputs!$B$27+Inputs!$B$28)))</f>
        <v/>
      </c>
      <c r="E675">
        <f>INDEX(FactorTable!$B$2:$Y$301, MATCH(ROUND(MIN(300,MAX(1,D675)),0), FactorTable!$A$2:$A$301,0), Skills!M30+1)</f>
        <v/>
      </c>
      <c r="F675">
        <f>IF(Skills!N30=TRUE,(Skills!L30/10)*(E675/1000),Skills!L30/10)+Skills!O30</f>
        <v/>
      </c>
      <c r="G675">
        <f>Calc!G30</f>
        <v/>
      </c>
      <c r="H675">
        <f>Calc!H30</f>
        <v/>
      </c>
      <c r="I675">
        <f>IF(Skills!AA30&lt;&gt;"",1+(Skills!AA30/10)*(U648/1000)/100,1)</f>
        <v/>
      </c>
      <c r="J675" t="inlineStr"/>
      <c r="K675" t="inlineStr"/>
      <c r="L675" t="inlineStr"/>
      <c r="M675" t="inlineStr"/>
      <c r="N675" t="inlineStr"/>
      <c r="O675" t="n">
        <v>0</v>
      </c>
      <c r="P675">
        <f>IF(B689=0,0,O675/B689)</f>
        <v/>
      </c>
      <c r="Q675" t="n">
        <v>0</v>
      </c>
      <c r="R675" t="n">
        <v>0</v>
      </c>
      <c r="S675">
        <f>IFERROR(O675/N675,0)</f>
        <v/>
      </c>
    </row>
    <row r="676">
      <c r="A676">
        <f>Skills!A31</f>
        <v/>
      </c>
      <c r="B676">
        <f>Skills!B31</f>
        <v/>
      </c>
      <c r="C676">
        <f>Inputs!$B$3&gt;=107</f>
        <v/>
      </c>
      <c r="D676">
        <f>IF(Skills!C31=1,60+Inputs!$B$24+Inputs!$B$28,IF(Skills!C31=2,90+Inputs!$B$25+Inputs!$B$28,IF(Skills!C31=3,120+Inputs!$B$26+Inputs!$B$28,MAX(0,(Inputs!$B$3-100)*3)+Inputs!$B$27+Inputs!$B$28)))</f>
        <v/>
      </c>
      <c r="E676">
        <f>INDEX(FactorTable!$B$2:$Y$301, MATCH(ROUND(MIN(300,MAX(1,D676)),0), FactorTable!$A$2:$A$301,0), Skills!M31+1)</f>
        <v/>
      </c>
      <c r="F676">
        <f>IF(Skills!N31=TRUE,(Skills!L31/10)*(E676/1000),Skills!L31/10)+Skills!O31</f>
        <v/>
      </c>
      <c r="G676">
        <f>Calc!G31</f>
        <v/>
      </c>
      <c r="H676">
        <f>Calc!H31</f>
        <v/>
      </c>
      <c r="I676">
        <f>IF(Skills!AA31&lt;&gt;"",1+(Skills!AA31/10)*(U648/1000)/100,1)</f>
        <v/>
      </c>
      <c r="J676" t="inlineStr"/>
      <c r="K676" t="inlineStr"/>
      <c r="L676" t="inlineStr"/>
      <c r="M676" t="inlineStr"/>
      <c r="N676" t="inlineStr"/>
      <c r="O676" t="n">
        <v>0</v>
      </c>
      <c r="P676">
        <f>IF(B689=0,0,O676/B689)</f>
        <v/>
      </c>
      <c r="Q676" t="n">
        <v>0</v>
      </c>
      <c r="R676" t="n">
        <v>0</v>
      </c>
      <c r="S676">
        <f>IFERROR(O676/N676,0)</f>
        <v/>
      </c>
    </row>
    <row r="678">
      <c r="A678" t="inlineStr">
        <is>
          <t>Actions Per Second (pre-Adrenalin)</t>
        </is>
      </c>
      <c r="B678">
        <f>1+MIN(150,150*(1-(1-(Inputs!$B$10+((C667=TRUE)*(F667-Calc!F22)))/150)*(1-((C664=TRUE)*F664*IF(AND(Inputs!$B$4&lt;&gt;"pvp",Inputs!$B$35&gt;0),(((S664-1)*(Skills!Y19*(1+Inputs!$B$33/100))+MIN((Skills!Y19*(1+Inputs!$B$33/100)),MAX(0,Inputs!$B$35-((S664-1)*Skills!D19))))/Inputs!$B$35),IF(Inputs!$B$4="pvp",MIN((Skills!Y19*(1+Inputs!$B$33/100)),15)/15,(Skills!Y19*(1+Inputs!$B$33/100))/Skills!D19)))/150)))/100</f>
        <v/>
      </c>
    </row>
    <row r="679">
      <c r="A679" t="inlineStr">
        <is>
          <t>Alchemic Adrenaline Uptime</t>
        </is>
      </c>
      <c r="B679">
        <f>(Skills!Y6*(1+Inputs!$B$33/100))/((Skills!Y6*(1+Inputs!$B$33/100))+(5/B678))</f>
        <v/>
      </c>
    </row>
    <row r="680">
      <c r="A680" t="inlineStr">
        <is>
          <t>Attack Speed Buff Bonus %</t>
        </is>
      </c>
      <c r="B680">
        <f>((C664=TRUE)*F664*IF(AND(Inputs!$B$4&lt;&gt;"pvp",Inputs!$B$35&gt;0),(((S664-1)*(Skills!Y19*(1+Inputs!$B$33/100))+MIN((Skills!Y19*(1+Inputs!$B$33/100)),MAX(0,Inputs!$B$35-((S664-1)*Skills!D19))))/Inputs!$B$35),IF(Inputs!$B$4="pvp",MIN((Skills!Y19*(1+Inputs!$B$33/100)),15)/15,(Skills!Y19*(1+Inputs!$B$33/100))/Skills!D19)))+((C652=TRUE)*F652*B679)</f>
        <v/>
      </c>
    </row>
    <row r="681">
      <c r="A681" t="inlineStr">
        <is>
          <t>Actions Per Second (final)</t>
        </is>
      </c>
      <c r="B681">
        <f>1+MIN(150,150*(1-(1-(Inputs!$B$10+((C667=TRUE)*(F667-Calc!F22)))/150)*(1-B680/150)))/100</f>
        <v/>
      </c>
    </row>
    <row r="682">
      <c r="A682" t="inlineStr">
        <is>
          <t>Skill + Buff Cast Rate</t>
        </is>
      </c>
      <c r="B682">
        <f>IF(AND(Inputs!$B$4&lt;&gt;"pvp",Inputs!$B$35&gt;0),SUMPRODUCT((Skills!E2:E31=TRUE)*(C647:C676=TRUE)*R647:R676*Skills!F2:F31)/Inputs!$B$35,SUMPRODUCT((Skills!E2:E31=TRUE)*(C647:C676=TRUE)*Q647:Q676*Skills!F2:F31))</f>
        <v/>
      </c>
    </row>
    <row r="683">
      <c r="A683" t="inlineStr">
        <is>
          <t>Showdown Casts Per Second</t>
        </is>
      </c>
      <c r="B683">
        <f>MAX(0,B681-B682)</f>
        <v/>
      </c>
    </row>
    <row r="684">
      <c r="A684" t="inlineStr">
        <is>
          <t>Average Buff Multiplier</t>
        </is>
      </c>
      <c r="B684">
        <f>(1+(((C666=TRUE)*F666*IF(AND(Inputs!$B$4&lt;&gt;"pvp",Inputs!$B$35&gt;0),(((S666-1)*(Skills!Y21*(1+Inputs!$B$33/100))+MIN((Skills!Y21*(1+Inputs!$B$33/100)),MAX(0,Inputs!$B$35-((S666-1)*Skills!D21))))/Inputs!$B$35),IF(Inputs!$B$4="pvp",MIN((Skills!Y21*(1+Inputs!$B$33/100)),15)/15,(Skills!Y21*(1+Inputs!$B$33/100))/Skills!D21)))+((C673=TRUE)*(F673-Calc!F28))+((C663=TRUE)*(F663-Calc!F18)))/100)*(1+((C660=TRUE)*F660*IF(AND(Inputs!$B$4&lt;&gt;"pvp",Inputs!$B$35&gt;0),(((S660-1)*(Skills!Y15*(1+Inputs!$B$33/100))+MIN((Skills!Y15*(1+Inputs!$B$33/100)),MAX(0,Inputs!$B$35-((S660-1)*Skills!D15))))/Inputs!$B$35),IF(Inputs!$B$4="pvp",MIN((Skills!Y15*(1+Inputs!$B$33/100)),15)/15,(Skills!Y15*(1+Inputs!$B$33/100))/Skills!D15)))/100)*(1+((C651=TRUE)*F651*B679)/100)</f>
        <v/>
      </c>
    </row>
    <row r="685">
      <c r="A685" t="inlineStr">
        <is>
          <t>Global Crit Rate Bonus %</t>
        </is>
      </c>
      <c r="B685">
        <f>IF(Inputs!$B$3&gt;=47,8,0)+((C665=TRUE)*F665*IF(AND(Inputs!$B$4&lt;&gt;"pvp",Inputs!$B$35&gt;0),(((S665-1)*(Skills!Y20*(1+Inputs!$B$33/100))+MIN((Skills!Y20*(1+Inputs!$B$33/100)),MAX(0,Inputs!$B$35-((S665-1)*Skills!D20))))/Inputs!$B$35),IF(Inputs!$B$4="pvp",MIN((Skills!Y20*(1+Inputs!$B$33/100)),15)/15,(Skills!Y20*(1+Inputs!$B$33/100))/Skills!D20)))</f>
        <v/>
      </c>
    </row>
    <row r="686">
      <c r="A686" t="inlineStr">
        <is>
          <t>Global Monster Damage-Taken Bonus %</t>
        </is>
      </c>
      <c r="B686">
        <f>IF(Inputs!$B$3&gt;=82,15,0)+((C661=TRUE)*F661*IF(AND(Inputs!$B$4&lt;&gt;"pvp",Inputs!$B$35&gt;0),(((S661-1)*(Skills!Y16*(1+Inputs!$B$33/100))+MIN((Skills!Y16*(1+Inputs!$B$33/100)),MAX(0,Inputs!$B$35-((S661-1)*Skills!D16))))/Inputs!$B$35),IF(Inputs!$B$4="pvp",MIN((Skills!Y16*(1+Inputs!$B$33/100)),15)/15,(Skills!Y16*(1+Inputs!$B$33/100))/Skills!D16)))</f>
        <v/>
      </c>
    </row>
    <row r="687">
      <c r="A687" t="inlineStr">
        <is>
          <t>Shadow Partner Average Multiplier</t>
        </is>
      </c>
      <c r="B687">
        <f>1+((C656=TRUE)*F656*I656*Skills!J11/100)/100</f>
        <v/>
      </c>
    </row>
    <row r="688">
      <c r="A688" t="inlineStr">
        <is>
          <t>Global Critical Damage Bonus % (Frailty Curse Mastery Lv.111)</t>
        </is>
      </c>
      <c r="B688">
        <f>IF(Inputs!$B$3&gt;=111,30,0)*IF(AND(Inputs!$B$4&lt;&gt;"pvp",Inputs!$B$35&gt;0),(((S661-1)*(Skills!Y16*(1+Inputs!$B$33/100))+MIN((Skills!Y16*(1+Inputs!$B$33/100)),MAX(0,Inputs!$B$35-((S661-1)*Skills!D16))))/Inputs!$B$35),IF(Inputs!$B$4="pvp",MIN((Skills!Y16*(1+Inputs!$B$33/100)),15)/15,(Skills!Y16*(1+Inputs!$B$33/100))/Skills!D16))</f>
        <v/>
      </c>
    </row>
    <row r="689">
      <c r="A689" s="5" t="inlineStr">
        <is>
          <t>TOTAL DPS</t>
        </is>
      </c>
      <c r="B689" s="5">
        <f>SUM(O647:O676)</f>
        <v/>
      </c>
    </row>
    <row r="692">
      <c r="A692" s="5" t="inlineStr">
        <is>
          <t>Stat: BASIC_ATTACK_DAMAGE %</t>
        </is>
      </c>
    </row>
    <row r="693">
      <c r="A693" s="8" t="inlineStr">
        <is>
          <t>Key</t>
        </is>
      </c>
      <c r="B693" s="8" t="inlineStr">
        <is>
          <t>Name</t>
        </is>
      </c>
      <c r="C693" s="8" t="inlineStr">
        <is>
          <t>Unlocked</t>
        </is>
      </c>
      <c r="D693" s="8" t="inlineStr">
        <is>
          <t>InputLevel</t>
        </is>
      </c>
      <c r="E693" s="8" t="inlineStr">
        <is>
          <t>Factor</t>
        </is>
      </c>
      <c r="F693" s="8" t="inlineStr">
        <is>
          <t>CoefficientPercent</t>
        </is>
      </c>
      <c r="G693" s="8" t="inlineStr">
        <is>
          <t>EffectiveHits</t>
        </is>
      </c>
      <c r="H693" s="8" t="inlineStr">
        <is>
          <t>ProcProbability</t>
        </is>
      </c>
      <c r="I693" s="8" t="inlineStr">
        <is>
          <t>MapleHeroMultiplier</t>
        </is>
      </c>
      <c r="J693" s="8" t="inlineStr">
        <is>
          <t>BaseDamage</t>
        </is>
      </c>
      <c r="K693" s="8" t="inlineStr">
        <is>
          <t>BaseHitDamage</t>
        </is>
      </c>
      <c r="L693" s="8" t="inlineStr">
        <is>
          <t>NonCritAvg</t>
        </is>
      </c>
      <c r="M693" s="8" t="inlineStr">
        <is>
          <t>CritAvg</t>
        </is>
      </c>
      <c r="N693" s="8" t="inlineStr">
        <is>
          <t>ExpectedDamage(perHit)</t>
        </is>
      </c>
      <c r="O693" s="8" t="inlineStr">
        <is>
          <t>DPS</t>
        </is>
      </c>
      <c r="P693" s="8" t="inlineStr">
        <is>
          <t>% of Total</t>
        </is>
      </c>
      <c r="Q693" s="8" t="inlineStr">
        <is>
          <t>InvCooldown</t>
        </is>
      </c>
      <c r="R693" s="8" t="inlineStr">
        <is>
          <t>CastsInFight</t>
        </is>
      </c>
      <c r="S693" s="8" t="inlineStr">
        <is>
          <t>HitRate(perSec)</t>
        </is>
      </c>
      <c r="U693" t="inlineStr">
        <is>
          <t>helpers</t>
        </is>
      </c>
    </row>
    <row r="694">
      <c r="A694">
        <f>Skills!A2</f>
        <v/>
      </c>
      <c r="B694">
        <f>Skills!B2</f>
        <v/>
      </c>
      <c r="C694">
        <f>Inputs!$B$3&gt;=100</f>
        <v/>
      </c>
      <c r="D694" t="inlineStr"/>
      <c r="E694" t="inlineStr"/>
      <c r="F694">
        <f>U698+Skills!O2</f>
        <v/>
      </c>
      <c r="G694">
        <f>Calc!G2</f>
        <v/>
      </c>
      <c r="H694">
        <f>Calc!H2</f>
        <v/>
      </c>
      <c r="I694">
        <f>IF(Skills!AA2&lt;&gt;"",1+(Skills!AA2/10)*(U695/1000)/100,1)</f>
        <v/>
      </c>
      <c r="J694">
        <f>(Inputs!$B$5*(1+Inputs!$B$6/100))*(F694/100)</f>
        <v/>
      </c>
      <c r="K694">
        <f>J694*(1+((Inputs!$B$11*(1+Inputs!$B$12/100))*0.01+Inputs!$B$13*0.0025)/100)*(1+Inputs!$B$14/100)*(1+IF(Inputs!$B$4="pvp",0,(1-Summary!$B$55)*(Inputs!$B$19+((C719=TRUE)*(F719-Calc!F27))+Skills!P2+B733)+Summary!$B$55*(Inputs!$B$20+Skills!Q2+B733))/100)*(1+Inputs!$B$15/100)*(5000/(6000+Inputs!$B$7*(1-Inputs!$B$18/100)))*(1+(Inputs!$B$23+((C722=TRUE)*(F722-Calc!F30)))/100)*(1+Skills!R2/100)*(1+(IF(Skills!A2="SHOWDOWN",(Inputs!$B$16+1)+((C715=TRUE)*(F715-Calc!F23)),Inputs!$B$17+((C721=TRUE)*(F721-Calc!F29))))/100)*(((1+(((C713=TRUE)*F713*IF(AND(Inputs!$B$4&lt;&gt;"pvp",Inputs!$B$35&gt;0),(((S713-1)*(Skills!Y21*(1+Inputs!$B$33/100))+MIN((Skills!Y21*(1+Inputs!$B$33/100)),MAX(0,Inputs!$B$35-((S713-1)*Skills!D21))))/Inputs!$B$35),IF(Inputs!$B$4="pvp",MIN((Skills!Y21*(1+Inputs!$B$33/100)),15)/15,(Skills!Y21*(1+Inputs!$B$33/100))/Skills!D21)))+((C720=TRUE)*(F720-Calc!F28))+((C710=TRUE)*(F710-Calc!F18)))/100)*(1+((C707=TRUE)*F707*IF(AND(Inputs!$B$4&lt;&gt;"pvp",Inputs!$B$35&gt;0),(((S707-1)*(Skills!Y15*(1+Inputs!$B$33/100))+MIN((Skills!Y15*(1+Inputs!$B$33/100)),MAX(0,Inputs!$B$35-((S707-1)*Skills!D15))))/Inputs!$B$35),IF(Inputs!$B$4="pvp",MIN((Skills!Y15*(1+Inputs!$B$33/100)),15)/15,(Skills!Y15*(1+Inputs!$B$33/100))/Skills!D15)))/100)*(1+((C698=TRUE)*F698*B726)/100))*B734*I694)</f>
        <v/>
      </c>
      <c r="L694">
        <f>K694*(MIN(Inputs!$B$21+((C716=TRUE)*(F716-Calc!F24)),Inputs!$B$22)/100+Inputs!$B$22/100)/2</f>
        <v/>
      </c>
      <c r="M694">
        <f>L694*(1+(Inputs!$B$9+((C718=TRUE)*(F718-Calc!F26))+B735)/100)</f>
        <v/>
      </c>
      <c r="N694">
        <f>L694*(1-MIN((Inputs!$B$8+((C717=TRUE)*(F717-Calc!F25))+B732),100)/100)+M694*(MIN((Inputs!$B$8+((C717=TRUE)*(F717-Calc!F25))+B732),100)/100)</f>
        <v/>
      </c>
      <c r="O694">
        <f>IF(C694,Skills!G2*N694*B730*IF(Inputs!$B$4="pvp",1,(1-Summary!$B$55)*(1)+Summary!$B$55*(MIN((6+Inputs!$B$32),Inputs!$B$37))),0)</f>
        <v/>
      </c>
      <c r="P694">
        <f>IF(B736=0,0,O694/B736)</f>
        <v/>
      </c>
      <c r="Q694" t="n">
        <v>0</v>
      </c>
      <c r="R694" t="n">
        <v>0</v>
      </c>
      <c r="S694">
        <f>IFERROR(O694/N694,0)</f>
        <v/>
      </c>
      <c r="U694">
        <f>MAX(0,(Inputs!$B$3-100)*3)+Inputs!$B$27+Inputs!$B$28</f>
        <v/>
      </c>
    </row>
    <row r="695">
      <c r="A695">
        <f>Skills!A3</f>
        <v/>
      </c>
      <c r="B695">
        <f>Skills!B3</f>
        <v/>
      </c>
      <c r="C695">
        <f>Inputs!$B$3&gt;=35</f>
        <v/>
      </c>
      <c r="D695">
        <f>IF(Skills!C3=1,60+Inputs!$B$24+Inputs!$B$28,IF(Skills!C3=2,90+Inputs!$B$25+Inputs!$B$28,IF(Skills!C3=3,120+Inputs!$B$26+Inputs!$B$28,MAX(0,(Inputs!$B$3-100)*3)+Inputs!$B$27+Inputs!$B$28)))</f>
        <v/>
      </c>
      <c r="E695">
        <f>INDEX(FactorTable!$B$2:$Y$301, MATCH(ROUND(MIN(300,MAX(1,D695)),0), FactorTable!$A$2:$A$301,0), Skills!M3+1)</f>
        <v/>
      </c>
      <c r="F695">
        <f>IF(Skills!N3=TRUE,(Skills!L3/10)*(E695/1000),Skills!L3/10)+Skills!O3</f>
        <v/>
      </c>
      <c r="G695">
        <f>Calc!G3</f>
        <v/>
      </c>
      <c r="H695">
        <f>Calc!H3</f>
        <v/>
      </c>
      <c r="I695">
        <f>IF(Skills!AA3&lt;&gt;"",1+(Skills!AA3/10)*(U695/1000)/100,1)</f>
        <v/>
      </c>
      <c r="J695">
        <f>(Inputs!$B$5*(1+Inputs!$B$6/100))*(F695/100)</f>
        <v/>
      </c>
      <c r="K695">
        <f>J695*(1+((Inputs!$B$11*(1+Inputs!$B$12/100))*0.01+Inputs!$B$13*0.0025)/100)*(1+Inputs!$B$14/100)*(1+IF(Inputs!$B$4="pvp",0,(1-Summary!$B$55)*(Inputs!$B$19+((C719=TRUE)*(F719-Calc!F27))+Skills!P3+B733)+Summary!$B$55*(Inputs!$B$20+Skills!Q3+B733))/100)*(1+Inputs!$B$15/100)*(5000/(6000+Inputs!$B$7*(1-Inputs!$B$18/100)))*(1+(Inputs!$B$23+((C722=TRUE)*(F722-Calc!F30)))/100)*(1+Skills!R3/100)*(1+(IF(Skills!A3="SHOWDOWN",(Inputs!$B$16+1)+((C715=TRUE)*(F715-Calc!F23)),Inputs!$B$17+((C721=TRUE)*(F721-Calc!F29))))/100)*(((1+(((C713=TRUE)*F713*IF(AND(Inputs!$B$4&lt;&gt;"pvp",Inputs!$B$35&gt;0),(((S713-1)*(Skills!Y21*(1+Inputs!$B$33/100))+MIN((Skills!Y21*(1+Inputs!$B$33/100)),MAX(0,Inputs!$B$35-((S713-1)*Skills!D21))))/Inputs!$B$35),IF(Inputs!$B$4="pvp",MIN((Skills!Y21*(1+Inputs!$B$33/100)),15)/15,(Skills!Y21*(1+Inputs!$B$33/100))/Skills!D21)))+((C720=TRUE)*(F720-Calc!F28))+((C710=TRUE)*(F710-Calc!F18)))/100)*(1+((C707=TRUE)*F707*IF(AND(Inputs!$B$4&lt;&gt;"pvp",Inputs!$B$35&gt;0),(((S707-1)*(Skills!Y15*(1+Inputs!$B$33/100))+MIN((Skills!Y15*(1+Inputs!$B$33/100)),MAX(0,Inputs!$B$35-((S707-1)*Skills!D15))))/Inputs!$B$35),IF(Inputs!$B$4="pvp",MIN((Skills!Y15*(1+Inputs!$B$33/100)),15)/15,(Skills!Y15*(1+Inputs!$B$33/100))/Skills!D15)))/100)*(1+((C698=TRUE)*F698*B726)/100))*B734*I695)</f>
        <v/>
      </c>
      <c r="L695">
        <f>K695*(MIN(Inputs!$B$21+((C716=TRUE)*(F716-Calc!F24)),Inputs!$B$22)/100+Inputs!$B$22/100)/2</f>
        <v/>
      </c>
      <c r="M695">
        <f>L695*(1+(Inputs!$B$9+((C718=TRUE)*(F718-Calc!F26))+B735)/100)</f>
        <v/>
      </c>
      <c r="N695">
        <f>L695*(1-MIN((Inputs!$B$8+((C717=TRUE)*(F717-Calc!F25))+B732),100)/100)+M695*(MIN((Inputs!$B$8+((C717=TRUE)*(F717-Calc!F25))+B732),100)/100)</f>
        <v/>
      </c>
      <c r="O695">
        <f>IF(C695,H695*N695*IF(AND(Inputs!$B$4&lt;&gt;"pvp",Inputs!$B$35&gt;0),((Skills!G3*((R695-1)*IF(Skills!H3&gt;0,Skills!I3/Skills!H3,1)+IF(Skills!H3&gt;0,MIN(Skills!I3,MAX(0,Inputs!$B$35-((R695-1)*IF(Inputs!$B$4="pvp",15,MAX(0.1,Skills!D3-IF(Skills!E3=TRUE,Inputs!$B$31,0))))))/Skills!H3,1)))/Inputs!$B$35),G695*Q695)*IF(Inputs!$B$4="pvp",1,(1-Summary!$B$55)*(1)+Summary!$B$55*(MIN(Skills!W3,Inputs!$B$37))),0)</f>
        <v/>
      </c>
      <c r="P695">
        <f>IF(B736=0,0,O695/B736)</f>
        <v/>
      </c>
      <c r="Q695">
        <f>IFERROR(1/IF(Inputs!$B$4="pvp",15,MAX(0.1,Skills!D3-IF(Skills!E3=TRUE,Inputs!$B$31,0))),0)</f>
        <v/>
      </c>
      <c r="R695">
        <f>IF(AND(Inputs!$B$4&lt;&gt;"pvp",Inputs!$B$35&gt;0),(INT(Inputs!$B$35/IF(Inputs!$B$4="pvp",15,MAX(0.1,Skills!D3-IF(Skills!E3=TRUE,Inputs!$B$31,0))))+1),0)</f>
        <v/>
      </c>
      <c r="S695">
        <f>IFERROR(O695/N695,0)</f>
        <v/>
      </c>
      <c r="U695">
        <f>INDEX(FactorTable!$B$2:$Y$301, MATCH(ROUND(MIN(300,MAX(1,U694)),0), FactorTable!$A$2:$A$301,0), 24)</f>
        <v/>
      </c>
    </row>
    <row r="696">
      <c r="A696">
        <f>Skills!A4</f>
        <v/>
      </c>
      <c r="B696">
        <f>Skills!B4</f>
        <v/>
      </c>
      <c r="C696">
        <f>Inputs!$B$3&gt;=40</f>
        <v/>
      </c>
      <c r="D696">
        <f>IF(Skills!C4=1,60+Inputs!$B$24+Inputs!$B$28,IF(Skills!C4=2,90+Inputs!$B$25+Inputs!$B$28,IF(Skills!C4=3,120+Inputs!$B$26+Inputs!$B$28,MAX(0,(Inputs!$B$3-100)*3)+Inputs!$B$27+Inputs!$B$28)))</f>
        <v/>
      </c>
      <c r="E696">
        <f>INDEX(FactorTable!$B$2:$Y$301, MATCH(ROUND(MIN(300,MAX(1,D696)),0), FactorTable!$A$2:$A$301,0), Skills!M4+1)</f>
        <v/>
      </c>
      <c r="F696">
        <f>IF(Skills!N4=TRUE,(Skills!L4/10)*(E696/1000),Skills!L4/10)+Skills!O4</f>
        <v/>
      </c>
      <c r="G696">
        <f>Calc!G4</f>
        <v/>
      </c>
      <c r="H696">
        <f>Calc!H4</f>
        <v/>
      </c>
      <c r="I696">
        <f>IF(Skills!AA4&lt;&gt;"",1+(Skills!AA4/10)*(U695/1000)/100,1)</f>
        <v/>
      </c>
      <c r="J696">
        <f>(Inputs!$B$5*(1+Inputs!$B$6/100))*(F696/100)</f>
        <v/>
      </c>
      <c r="K696">
        <f>J696*(1+((Inputs!$B$11*(1+Inputs!$B$12/100))*0.01+Inputs!$B$13*0.0025)/100)*(1+Inputs!$B$14/100)*(1+IF(Inputs!$B$4="pvp",0,(1-Summary!$B$55)*(Inputs!$B$19+((C719=TRUE)*(F719-Calc!F27))+Skills!P4+B733)+Summary!$B$55*(Inputs!$B$20+Skills!Q4+B733))/100)*(1+Inputs!$B$15/100)*(5000/(6000+Inputs!$B$7*(1-Inputs!$B$18/100)))*(1+(Inputs!$B$23+((C722=TRUE)*(F722-Calc!F30)))/100)*(1+Skills!R4/100)*(1+(IF(Skills!A4="SHOWDOWN",(Inputs!$B$16+1)+((C715=TRUE)*(F715-Calc!F23)),Inputs!$B$17+((C721=TRUE)*(F721-Calc!F29))))/100)*(((1+(((C713=TRUE)*F713*IF(AND(Inputs!$B$4&lt;&gt;"pvp",Inputs!$B$35&gt;0),(((S713-1)*(Skills!Y21*(1+Inputs!$B$33/100))+MIN((Skills!Y21*(1+Inputs!$B$33/100)),MAX(0,Inputs!$B$35-((S713-1)*Skills!D21))))/Inputs!$B$35),IF(Inputs!$B$4="pvp",MIN((Skills!Y21*(1+Inputs!$B$33/100)),15)/15,(Skills!Y21*(1+Inputs!$B$33/100))/Skills!D21)))+((C720=TRUE)*(F720-Calc!F28))+((C710=TRUE)*(F710-Calc!F18)))/100)*(1+((C707=TRUE)*F707*IF(AND(Inputs!$B$4&lt;&gt;"pvp",Inputs!$B$35&gt;0),(((S707-1)*(Skills!Y15*(1+Inputs!$B$33/100))+MIN((Skills!Y15*(1+Inputs!$B$33/100)),MAX(0,Inputs!$B$35-((S707-1)*Skills!D15))))/Inputs!$B$35),IF(Inputs!$B$4="pvp",MIN((Skills!Y15*(1+Inputs!$B$33/100)),15)/15,(Skills!Y15*(1+Inputs!$B$33/100))/Skills!D15)))/100)*(1+((C698=TRUE)*F698*B726)/100))*B734*I696)</f>
        <v/>
      </c>
      <c r="L696">
        <f>K696*(MIN(Inputs!$B$21+((C716=TRUE)*(F716-Calc!F24)),Inputs!$B$22)/100+Inputs!$B$22/100)/2</f>
        <v/>
      </c>
      <c r="M696">
        <f>L696*(1+(Inputs!$B$9+((C718=TRUE)*(F718-Calc!F26))+B735)/100)</f>
        <v/>
      </c>
      <c r="N696">
        <f>L696*(1-MIN((Inputs!$B$8+((C717=TRUE)*(F717-Calc!F25))+B732),100)/100)+M696*(MIN((Inputs!$B$8+((C717=TRUE)*(F717-Calc!F25))+B732),100)/100)</f>
        <v/>
      </c>
      <c r="O696">
        <f>IF(C696,H696*N696*IF(AND(Inputs!$B$4&lt;&gt;"pvp",Inputs!$B$35&gt;0),((Skills!G4*((R696-1)*IF(Skills!H4&gt;0,Skills!I4/Skills!H4,1)+IF(Skills!H4&gt;0,MIN(Skills!I4,MAX(0,Inputs!$B$35-((R696-1)*IF(Inputs!$B$4="pvp",15,MAX(0.1,Skills!D4-IF(Skills!E4=TRUE,Inputs!$B$31,0))))))/Skills!H4,1)))/Inputs!$B$35),G696*Q696)*IF(Inputs!$B$4="pvp",1,(1-Summary!$B$55)*(1)+Summary!$B$55*(MIN(Skills!W4,Inputs!$B$37))),0)</f>
        <v/>
      </c>
      <c r="P696">
        <f>IF(B736=0,0,O696/B736)</f>
        <v/>
      </c>
      <c r="Q696">
        <f>IFERROR(1/IF(Inputs!$B$4="pvp",15,MAX(0.1,Skills!D4-IF(Skills!E4=TRUE,Inputs!$B$31,0))),0)</f>
        <v/>
      </c>
      <c r="R696">
        <f>IF(AND(Inputs!$B$4&lt;&gt;"pvp",Inputs!$B$35&gt;0),(INT(Inputs!$B$35/IF(Inputs!$B$4="pvp",15,MAX(0.1,Skills!D4-IF(Skills!E4=TRUE,Inputs!$B$31,0))))+1),0)</f>
        <v/>
      </c>
      <c r="S696">
        <f>IFERROR(O696/N696,0)</f>
        <v/>
      </c>
      <c r="U696">
        <f>MAX(0,(Inputs!$B$3-100)*3)+Inputs!$B$27+Inputs!$B$28</f>
        <v/>
      </c>
    </row>
    <row r="697">
      <c r="A697">
        <f>Skills!A5</f>
        <v/>
      </c>
      <c r="B697">
        <f>Skills!B5</f>
        <v/>
      </c>
      <c r="C697">
        <f>Inputs!$B$3&gt;=63</f>
        <v/>
      </c>
      <c r="D697">
        <f>IF(Skills!C5=1,60+Inputs!$B$24+Inputs!$B$28,IF(Skills!C5=2,90+Inputs!$B$25+Inputs!$B$28,IF(Skills!C5=3,120+Inputs!$B$26+Inputs!$B$28,MAX(0,(Inputs!$B$3-100)*3)+Inputs!$B$27+Inputs!$B$28)))</f>
        <v/>
      </c>
      <c r="E697">
        <f>INDEX(FactorTable!$B$2:$Y$301, MATCH(ROUND(MIN(300,MAX(1,D697)),0), FactorTable!$A$2:$A$301,0), Skills!M5+1)</f>
        <v/>
      </c>
      <c r="F697">
        <f>IF(Skills!N5=TRUE,(Skills!L5/10)*(E697/1000),Skills!L5/10)+Skills!O5</f>
        <v/>
      </c>
      <c r="G697">
        <f>Calc!G5</f>
        <v/>
      </c>
      <c r="H697">
        <f>Calc!H5</f>
        <v/>
      </c>
      <c r="I697">
        <f>IF(Skills!AA5&lt;&gt;"",1+(Skills!AA5/10)*(U695/1000)/100,1)</f>
        <v/>
      </c>
      <c r="J697">
        <f>(Inputs!$B$5*(1+Inputs!$B$6/100))*(F697/100)</f>
        <v/>
      </c>
      <c r="K697">
        <f>J697*(1+((Inputs!$B$11*(1+Inputs!$B$12/100))*0.01+Inputs!$B$13*0.0025)/100)*(1+Inputs!$B$14/100)*(1+IF(Inputs!$B$4="pvp",0,(1-Summary!$B$55)*(Inputs!$B$19+((C719=TRUE)*(F719-Calc!F27))+Skills!P5+B733)+Summary!$B$55*(Inputs!$B$20+Skills!Q5+B733))/100)*(1+Inputs!$B$15/100)*(5000/(6000+Inputs!$B$7*(1-Inputs!$B$18/100)))*(1+(Inputs!$B$23+((C722=TRUE)*(F722-Calc!F30)))/100)*(1+Skills!R5/100)*(1+(IF(Skills!A5="SHOWDOWN",(Inputs!$B$16+1)+((C715=TRUE)*(F715-Calc!F23)),Inputs!$B$17+((C721=TRUE)*(F721-Calc!F29))))/100)*(((1+(((C713=TRUE)*F713*IF(AND(Inputs!$B$4&lt;&gt;"pvp",Inputs!$B$35&gt;0),(((S713-1)*(Skills!Y21*(1+Inputs!$B$33/100))+MIN((Skills!Y21*(1+Inputs!$B$33/100)),MAX(0,Inputs!$B$35-((S713-1)*Skills!D21))))/Inputs!$B$35),IF(Inputs!$B$4="pvp",MIN((Skills!Y21*(1+Inputs!$B$33/100)),15)/15,(Skills!Y21*(1+Inputs!$B$33/100))/Skills!D21)))+((C720=TRUE)*(F720-Calc!F28))+((C710=TRUE)*(F710-Calc!F18)))/100)*(1+((C707=TRUE)*F707*IF(AND(Inputs!$B$4&lt;&gt;"pvp",Inputs!$B$35&gt;0),(((S707-1)*(Skills!Y15*(1+Inputs!$B$33/100))+MIN((Skills!Y15*(1+Inputs!$B$33/100)),MAX(0,Inputs!$B$35-((S707-1)*Skills!D15))))/Inputs!$B$35),IF(Inputs!$B$4="pvp",MIN((Skills!Y15*(1+Inputs!$B$33/100)),15)/15,(Skills!Y15*(1+Inputs!$B$33/100))/Skills!D15)))/100)*(1+((C698=TRUE)*F698*B726)/100))*B734*I697)</f>
        <v/>
      </c>
      <c r="L697">
        <f>K697*(MIN(Inputs!$B$21+((C716=TRUE)*(F716-Calc!F24)),Inputs!$B$22)/100+Inputs!$B$22/100)/2</f>
        <v/>
      </c>
      <c r="M697">
        <f>L697*(1+(Inputs!$B$9+((C718=TRUE)*(F718-Calc!F26))+B735)/100)</f>
        <v/>
      </c>
      <c r="N697">
        <f>L697*(1-MIN((Inputs!$B$8+((C717=TRUE)*(F717-Calc!F25))+B732),100)/100)+M697*(MIN((Inputs!$B$8+((C717=TRUE)*(F717-Calc!F25))+B732),100)/100)</f>
        <v/>
      </c>
      <c r="O697">
        <f>IF(C697,H697*N697*IF(AND(Inputs!$B$4&lt;&gt;"pvp",Inputs!$B$35&gt;0),((Skills!G5*((R697-1)*IF(Skills!H5&gt;0,Skills!I5/Skills!H5,1)+IF(Skills!H5&gt;0,MIN(Skills!I5,MAX(0,Inputs!$B$35-((R697-1)*IF(Inputs!$B$4="pvp",15,MAX(0.1,Skills!D5-IF(Skills!E5=TRUE,Inputs!$B$31,0))))))/Skills!H5,1)))/Inputs!$B$35),G697*Q697)*IF(Inputs!$B$4="pvp",1,(1-Summary!$B$55)*(1)+Summary!$B$55*(MIN(Skills!W5,Inputs!$B$37))),0)</f>
        <v/>
      </c>
      <c r="P697">
        <f>IF(B736=0,0,O697/B736)</f>
        <v/>
      </c>
      <c r="Q697">
        <f>IFERROR(1/IF(Inputs!$B$4="pvp",15,MAX(0.1,Skills!D5-IF(Skills!E5=TRUE,Inputs!$B$31,0))),0)</f>
        <v/>
      </c>
      <c r="R697">
        <f>IF(AND(Inputs!$B$4&lt;&gt;"pvp",Inputs!$B$35&gt;0),(INT(Inputs!$B$35/IF(Inputs!$B$4="pvp",15,MAX(0.1,Skills!D5-IF(Skills!E5=TRUE,Inputs!$B$31,0))))+1),0)</f>
        <v/>
      </c>
      <c r="S697">
        <f>IFERROR(O697/N697,0)</f>
        <v/>
      </c>
      <c r="U697">
        <f>INDEX(FactorTable!$B$2:$Y$301, MATCH(ROUND(MIN(300,MAX(1,U696)),0), FactorTable!$A$2:$A$301,0), 22)</f>
        <v/>
      </c>
    </row>
    <row r="698">
      <c r="A698">
        <f>Skills!A6</f>
        <v/>
      </c>
      <c r="B698">
        <f>Skills!B6</f>
        <v/>
      </c>
      <c r="C698">
        <f>Inputs!$B$3&gt;=66</f>
        <v/>
      </c>
      <c r="D698">
        <f>IF(Skills!C6=1,60+Inputs!$B$24+Inputs!$B$28,IF(Skills!C6=2,90+Inputs!$B$25+Inputs!$B$28,IF(Skills!C6=3,120+Inputs!$B$26+Inputs!$B$28,MAX(0,(Inputs!$B$3-100)*3)+Inputs!$B$27+Inputs!$B$28)))</f>
        <v/>
      </c>
      <c r="E698">
        <f>INDEX(FactorTable!$B$2:$Y$301, MATCH(ROUND(MIN(300,MAX(1,D698)),0), FactorTable!$A$2:$A$301,0), Skills!M6+1)</f>
        <v/>
      </c>
      <c r="F698">
        <f>IF(Skills!N6=TRUE,(Skills!L6/10)*(E698/1000),Skills!L6/10)+Skills!O6</f>
        <v/>
      </c>
      <c r="G698">
        <f>Calc!G6</f>
        <v/>
      </c>
      <c r="H698">
        <f>Calc!H6</f>
        <v/>
      </c>
      <c r="I698">
        <f>IF(Skills!AA6&lt;&gt;"",1+(Skills!AA6/10)*(U695/1000)/100,1)</f>
        <v/>
      </c>
      <c r="J698" t="inlineStr"/>
      <c r="K698" t="inlineStr"/>
      <c r="L698" t="inlineStr"/>
      <c r="M698" t="inlineStr"/>
      <c r="N698" t="inlineStr"/>
      <c r="O698" t="n">
        <v>0</v>
      </c>
      <c r="P698">
        <f>IF(B736=0,0,O698/B736)</f>
        <v/>
      </c>
      <c r="Q698" t="n">
        <v>0</v>
      </c>
      <c r="R698" t="n">
        <v>0</v>
      </c>
      <c r="S698">
        <f>IFERROR(O698/N698,0)</f>
        <v/>
      </c>
      <c r="U698">
        <f>290*U697/1000</f>
        <v/>
      </c>
    </row>
    <row r="699">
      <c r="A699">
        <f>Skills!A7</f>
        <v/>
      </c>
      <c r="B699">
        <f>Skills!B7</f>
        <v/>
      </c>
      <c r="C699">
        <f>Inputs!$B$3&gt;=66</f>
        <v/>
      </c>
      <c r="D699">
        <f>IF(Skills!C7=1,60+Inputs!$B$24+Inputs!$B$28,IF(Skills!C7=2,90+Inputs!$B$25+Inputs!$B$28,IF(Skills!C7=3,120+Inputs!$B$26+Inputs!$B$28,MAX(0,(Inputs!$B$3-100)*3)+Inputs!$B$27+Inputs!$B$28)))</f>
        <v/>
      </c>
      <c r="E699">
        <f>INDEX(FactorTable!$B$2:$Y$301, MATCH(ROUND(MIN(300,MAX(1,D699)),0), FactorTable!$A$2:$A$301,0), Skills!M7+1)</f>
        <v/>
      </c>
      <c r="F699">
        <f>IF(Skills!N7=TRUE,(Skills!L7/10)*(E699/1000),Skills!L7/10)+Skills!O7</f>
        <v/>
      </c>
      <c r="G699">
        <f>Calc!G7</f>
        <v/>
      </c>
      <c r="H699">
        <f>Calc!H7</f>
        <v/>
      </c>
      <c r="I699">
        <f>IF(Skills!AA7&lt;&gt;"",1+(Skills!AA7/10)*(U695/1000)/100,1)</f>
        <v/>
      </c>
      <c r="J699" t="inlineStr"/>
      <c r="K699" t="inlineStr"/>
      <c r="L699" t="inlineStr"/>
      <c r="M699" t="inlineStr"/>
      <c r="N699" t="inlineStr"/>
      <c r="O699" t="n">
        <v>0</v>
      </c>
      <c r="P699">
        <f>IF(B736=0,0,O699/B736)</f>
        <v/>
      </c>
      <c r="Q699" t="n">
        <v>0</v>
      </c>
      <c r="R699" t="n">
        <v>0</v>
      </c>
      <c r="S699">
        <f>IFERROR(O699/N699,0)</f>
        <v/>
      </c>
    </row>
    <row r="700">
      <c r="A700">
        <f>Skills!A8</f>
        <v/>
      </c>
      <c r="B700">
        <f>Skills!B8</f>
        <v/>
      </c>
      <c r="C700">
        <f>Inputs!$B$3&gt;=69</f>
        <v/>
      </c>
      <c r="D700">
        <f>IF(Skills!C8=1,60+Inputs!$B$24+Inputs!$B$28,IF(Skills!C8=2,90+Inputs!$B$25+Inputs!$B$28,IF(Skills!C8=3,120+Inputs!$B$26+Inputs!$B$28,MAX(0,(Inputs!$B$3-100)*3)+Inputs!$B$27+Inputs!$B$28)))</f>
        <v/>
      </c>
      <c r="E700">
        <f>INDEX(FactorTable!$B$2:$Y$301, MATCH(ROUND(MIN(300,MAX(1,D700)),0), FactorTable!$A$2:$A$301,0), Skills!M8+1)</f>
        <v/>
      </c>
      <c r="F700">
        <f>IF(Skills!N8=TRUE,(Skills!L8/10)*(E700/1000),Skills!L8/10)+Skills!O8</f>
        <v/>
      </c>
      <c r="G700">
        <f>Calc!G8</f>
        <v/>
      </c>
      <c r="H700">
        <f>Calc!H8</f>
        <v/>
      </c>
      <c r="I700">
        <f>IF(Skills!AA8&lt;&gt;"",1+(Skills!AA8/10)*(U695/1000)/100,1)</f>
        <v/>
      </c>
      <c r="J700">
        <f>(Inputs!$B$5*(1+Inputs!$B$6/100))*(F700/100)</f>
        <v/>
      </c>
      <c r="K700">
        <f>J700*(1+((Inputs!$B$11*(1+Inputs!$B$12/100))*0.01+Inputs!$B$13*0.0025)/100)*(1+Inputs!$B$14/100)*(1+IF(Inputs!$B$4="pvp",0,(1-Summary!$B$55)*(Inputs!$B$19+((C719=TRUE)*(F719-Calc!F27))+Skills!P8+B733)+Summary!$B$55*(Inputs!$B$20+Skills!Q8+B733))/100)*(1+Inputs!$B$15/100)*(5000/(6000+Inputs!$B$7*(1-Inputs!$B$18/100)))*(1+(Inputs!$B$23+((C722=TRUE)*(F722-Calc!F30)))/100)*(1+Skills!R8/100)*(1+(IF(Skills!A8="SHOWDOWN",(Inputs!$B$16+1)+((C715=TRUE)*(F715-Calc!F23)),Inputs!$B$17+((C721=TRUE)*(F721-Calc!F29))))/100)*(((1+(((C713=TRUE)*F713*IF(AND(Inputs!$B$4&lt;&gt;"pvp",Inputs!$B$35&gt;0),(((S713-1)*(Skills!Y21*(1+Inputs!$B$33/100))+MIN((Skills!Y21*(1+Inputs!$B$33/100)),MAX(0,Inputs!$B$35-((S713-1)*Skills!D21))))/Inputs!$B$35),IF(Inputs!$B$4="pvp",MIN((Skills!Y21*(1+Inputs!$B$33/100)),15)/15,(Skills!Y21*(1+Inputs!$B$33/100))/Skills!D21)))+((C720=TRUE)*(F720-Calc!F28))+((C710=TRUE)*(F710-Calc!F18)))/100)*(1+((C707=TRUE)*F707*IF(AND(Inputs!$B$4&lt;&gt;"pvp",Inputs!$B$35&gt;0),(((S707-1)*(Skills!Y15*(1+Inputs!$B$33/100))+MIN((Skills!Y15*(1+Inputs!$B$33/100)),MAX(0,Inputs!$B$35-((S707-1)*Skills!D15))))/Inputs!$B$35),IF(Inputs!$B$4="pvp",MIN((Skills!Y15*(1+Inputs!$B$33/100)),15)/15,(Skills!Y15*(1+Inputs!$B$33/100))/Skills!D15)))/100)*(1+((C698=TRUE)*F698*B726)/100))*B734*I700)</f>
        <v/>
      </c>
      <c r="L700">
        <f>K700*(MIN(Inputs!$B$21+((C716=TRUE)*(F716-Calc!F24)),Inputs!$B$22)/100+Inputs!$B$22/100)/2</f>
        <v/>
      </c>
      <c r="M700">
        <f>L700*(1+(Inputs!$B$9+((C718=TRUE)*(F718-Calc!F26))+B735)/100)</f>
        <v/>
      </c>
      <c r="N700">
        <f>L700*(1-MIN((Inputs!$B$8+((C717=TRUE)*(F717-Calc!F25))+B732),100)/100)+M700*(MIN((Inputs!$B$8+((C717=TRUE)*(F717-Calc!F25))+B732),100)/100)</f>
        <v/>
      </c>
      <c r="O700">
        <f>IF(C700,H700*N700*IF(AND(Inputs!$B$4&lt;&gt;"pvp",Inputs!$B$35&gt;0),((Skills!G8*((R700-1)*IF(Skills!H8&gt;0,Skills!I8/Skills!H8,1)+IF(Skills!H8&gt;0,MIN(Skills!I8,MAX(0,Inputs!$B$35-((R700-1)*IF(Inputs!$B$4="pvp",15,MAX(0.1,Skills!D8-IF(Skills!E8=TRUE,Inputs!$B$31,0))))))/Skills!H8,1)))/Inputs!$B$35),G700*Q700)*IF(Inputs!$B$4="pvp",1,(1-Summary!$B$55)*(1)+Summary!$B$55*(MIN(Skills!W8,Inputs!$B$37))),0)</f>
        <v/>
      </c>
      <c r="P700">
        <f>IF(B736=0,0,O700/B736)</f>
        <v/>
      </c>
      <c r="Q700">
        <f>IFERROR(1/IF(Inputs!$B$4="pvp",15,MAX(0.1,Skills!D8-IF(Skills!E8=TRUE,Inputs!$B$31,0))),0)</f>
        <v/>
      </c>
      <c r="R700">
        <f>IF(AND(Inputs!$B$4&lt;&gt;"pvp",Inputs!$B$35&gt;0),(INT(Inputs!$B$35/IF(Inputs!$B$4="pvp",15,MAX(0.1,Skills!D8-IF(Skills!E8=TRUE,Inputs!$B$31,0))))+1),0)</f>
        <v/>
      </c>
      <c r="S700">
        <f>IFERROR(O700/N700,0)</f>
        <v/>
      </c>
    </row>
    <row r="701">
      <c r="A701">
        <f>Skills!A9</f>
        <v/>
      </c>
      <c r="B701">
        <f>Skills!B9</f>
        <v/>
      </c>
      <c r="C701">
        <f>Inputs!$B$3&gt;=72</f>
        <v/>
      </c>
      <c r="D701">
        <f>IF(Skills!C9=1,60+Inputs!$B$24+Inputs!$B$28,IF(Skills!C9=2,90+Inputs!$B$25+Inputs!$B$28,IF(Skills!C9=3,120+Inputs!$B$26+Inputs!$B$28,MAX(0,(Inputs!$B$3-100)*3)+Inputs!$B$27+Inputs!$B$28)))</f>
        <v/>
      </c>
      <c r="E701">
        <f>INDEX(FactorTable!$B$2:$Y$301, MATCH(ROUND(MIN(300,MAX(1,D701)),0), FactorTable!$A$2:$A$301,0), Skills!M9+1)</f>
        <v/>
      </c>
      <c r="F701">
        <f>IF(Skills!N9=TRUE,(Skills!L9/10)*(E701/1000),Skills!L9/10)+Skills!O9</f>
        <v/>
      </c>
      <c r="G701">
        <f>Calc!G9</f>
        <v/>
      </c>
      <c r="H701">
        <f>Calc!H9</f>
        <v/>
      </c>
      <c r="I701">
        <f>IF(Skills!AA9&lt;&gt;"",1+(Skills!AA9/10)*(U695/1000)/100,1)</f>
        <v/>
      </c>
      <c r="J701">
        <f>(Inputs!$B$5*(1+Inputs!$B$6/100))*(F701/100)</f>
        <v/>
      </c>
      <c r="K701">
        <f>J701*(1+((Inputs!$B$11*(1+Inputs!$B$12/100))*0.01+Inputs!$B$13*0.0025)/100)*(1+Inputs!$B$14/100)*(1+IF(Inputs!$B$4="pvp",0,(1-Summary!$B$55)*(Inputs!$B$19+((C719=TRUE)*(F719-Calc!F27))+Skills!P9+B733)+Summary!$B$55*(Inputs!$B$20+Skills!Q9+B733))/100)*(1+Inputs!$B$15/100)*(5000/(6000+Inputs!$B$7*(1-Inputs!$B$18/100)))*(1+(Inputs!$B$23+((C722=TRUE)*(F722-Calc!F30)))/100)*(1+Skills!R9/100)*(1+(IF(Skills!A9="SHOWDOWN",(Inputs!$B$16+1)+((C715=TRUE)*(F715-Calc!F23)),Inputs!$B$17+((C721=TRUE)*(F721-Calc!F29))))/100)*(((1+(((C713=TRUE)*F713*IF(AND(Inputs!$B$4&lt;&gt;"pvp",Inputs!$B$35&gt;0),(((S713-1)*(Skills!Y21*(1+Inputs!$B$33/100))+MIN((Skills!Y21*(1+Inputs!$B$33/100)),MAX(0,Inputs!$B$35-((S713-1)*Skills!D21))))/Inputs!$B$35),IF(Inputs!$B$4="pvp",MIN((Skills!Y21*(1+Inputs!$B$33/100)),15)/15,(Skills!Y21*(1+Inputs!$B$33/100))/Skills!D21)))+((C720=TRUE)*(F720-Calc!F28))+((C710=TRUE)*(F710-Calc!F18)))/100)*(1+((C707=TRUE)*F707*IF(AND(Inputs!$B$4&lt;&gt;"pvp",Inputs!$B$35&gt;0),(((S707-1)*(Skills!Y15*(1+Inputs!$B$33/100))+MIN((Skills!Y15*(1+Inputs!$B$33/100)),MAX(0,Inputs!$B$35-((S707-1)*Skills!D15))))/Inputs!$B$35),IF(Inputs!$B$4="pvp",MIN((Skills!Y15*(1+Inputs!$B$33/100)),15)/15,(Skills!Y15*(1+Inputs!$B$33/100))/Skills!D15)))/100)*(1+((C698=TRUE)*F698*B726)/100))*B734*I701)</f>
        <v/>
      </c>
      <c r="L701">
        <f>K701*(MIN(Inputs!$B$21+((C716=TRUE)*(F716-Calc!F24)),Inputs!$B$22)/100+Inputs!$B$22/100)/2</f>
        <v/>
      </c>
      <c r="M701">
        <f>L701*(1+(Inputs!$B$9+((C718=TRUE)*(F718-Calc!F26))+B735)/100)</f>
        <v/>
      </c>
      <c r="N701">
        <f>L701*(1-MIN((Inputs!$B$8+((C717=TRUE)*(F717-Calc!F25))+B732),100)/100)+M701*(MIN((Inputs!$B$8+((C717=TRUE)*(F717-Calc!F25))+B732),100)/100)</f>
        <v/>
      </c>
      <c r="O701">
        <f>IF(C701,H701*N701*IF(AND(Inputs!$B$4&lt;&gt;"pvp",Inputs!$B$35&gt;0),((Skills!G9*((R701-1)*IF(Skills!H9&gt;0,Skills!I9/Skills!H9,1)+IF(Skills!H9&gt;0,MIN(Skills!I9,MAX(0,Inputs!$B$35-((R701-1)*IF(Inputs!$B$4="pvp",15,MAX(0.1,Skills!D9-IF(Skills!E9=TRUE,Inputs!$B$31,0))))))/Skills!H9,1)))/Inputs!$B$35),G701*Q701)*IF(Inputs!$B$4="pvp",1,(1-Summary!$B$55)*(1)+Summary!$B$55*(MIN(Skills!W9,Inputs!$B$37))),0)</f>
        <v/>
      </c>
      <c r="P701">
        <f>IF(B736=0,0,O701/B736)</f>
        <v/>
      </c>
      <c r="Q701">
        <f>IFERROR(1/IF(Inputs!$B$4="pvp",15,MAX(0.1,Skills!D9-IF(Skills!E9=TRUE,Inputs!$B$31,0))),0)</f>
        <v/>
      </c>
      <c r="R701">
        <f>IF(AND(Inputs!$B$4&lt;&gt;"pvp",Inputs!$B$35&gt;0),(INT(Inputs!$B$35/IF(Inputs!$B$4="pvp",15,MAX(0.1,Skills!D9-IF(Skills!E9=TRUE,Inputs!$B$31,0))))+1),0)</f>
        <v/>
      </c>
      <c r="S701">
        <f>IFERROR(O701/N701,0)</f>
        <v/>
      </c>
    </row>
    <row r="702">
      <c r="A702">
        <f>Skills!A10</f>
        <v/>
      </c>
      <c r="B702">
        <f>Skills!B10</f>
        <v/>
      </c>
      <c r="C702">
        <f>Inputs!$B$3&gt;=117</f>
        <v/>
      </c>
      <c r="D702">
        <f>IF(Skills!C10=1,60+Inputs!$B$24+Inputs!$B$28,IF(Skills!C10=2,90+Inputs!$B$25+Inputs!$B$28,IF(Skills!C10=3,120+Inputs!$B$26+Inputs!$B$28,MAX(0,(Inputs!$B$3-100)*3)+Inputs!$B$27+Inputs!$B$28)))</f>
        <v/>
      </c>
      <c r="E702">
        <f>INDEX(FactorTable!$B$2:$Y$301, MATCH(ROUND(MIN(300,MAX(1,D702)),0), FactorTable!$A$2:$A$301,0), Skills!M10+1)</f>
        <v/>
      </c>
      <c r="F702">
        <f>IF(Skills!N10=TRUE,(Skills!L10/10)*(E702/1000),Skills!L10/10)+Skills!O10</f>
        <v/>
      </c>
      <c r="G702">
        <f>Calc!G10</f>
        <v/>
      </c>
      <c r="H702">
        <f>Calc!H10</f>
        <v/>
      </c>
      <c r="I702">
        <f>IF(Skills!AA10&lt;&gt;"",1+(Skills!AA10/10)*(U695/1000)/100,1)</f>
        <v/>
      </c>
      <c r="J702">
        <f>(Inputs!$B$5*(1+Inputs!$B$6/100))*(F702/100)</f>
        <v/>
      </c>
      <c r="K702">
        <f>J702*(1+((Inputs!$B$11*(1+Inputs!$B$12/100))*0.01+Inputs!$B$13*0.0025)/100)*(1+Inputs!$B$14/100)*(1+IF(Inputs!$B$4="pvp",0,(1-Summary!$B$55)*(Inputs!$B$19+((C719=TRUE)*(F719-Calc!F27))+Skills!P10+B733)+Summary!$B$55*(Inputs!$B$20+Skills!Q10+B733))/100)*(1+Inputs!$B$15/100)*(5000/(6000+Inputs!$B$7*(1-Inputs!$B$18/100)))*(1+(Inputs!$B$23+((C722=TRUE)*(F722-Calc!F30)))/100)*(1+Skills!R10/100)*(1+(IF(Skills!A10="SHOWDOWN",(Inputs!$B$16+1)+((C715=TRUE)*(F715-Calc!F23)),Inputs!$B$17+((C721=TRUE)*(F721-Calc!F29))))/100)*(((1+(((C713=TRUE)*F713*IF(AND(Inputs!$B$4&lt;&gt;"pvp",Inputs!$B$35&gt;0),(((S713-1)*(Skills!Y21*(1+Inputs!$B$33/100))+MIN((Skills!Y21*(1+Inputs!$B$33/100)),MAX(0,Inputs!$B$35-((S713-1)*Skills!D21))))/Inputs!$B$35),IF(Inputs!$B$4="pvp",MIN((Skills!Y21*(1+Inputs!$B$33/100)),15)/15,(Skills!Y21*(1+Inputs!$B$33/100))/Skills!D21)))+((C720=TRUE)*(F720-Calc!F28))+((C710=TRUE)*(F710-Calc!F18)))/100)*(1+((C707=TRUE)*F707*IF(AND(Inputs!$B$4&lt;&gt;"pvp",Inputs!$B$35&gt;0),(((S707-1)*(Skills!Y15*(1+Inputs!$B$33/100))+MIN((Skills!Y15*(1+Inputs!$B$33/100)),MAX(0,Inputs!$B$35-((S707-1)*Skills!D15))))/Inputs!$B$35),IF(Inputs!$B$4="pvp",MIN((Skills!Y15*(1+Inputs!$B$33/100)),15)/15,(Skills!Y15*(1+Inputs!$B$33/100))/Skills!D15)))/100)*(1+((C698=TRUE)*F698*B726)/100))*B734*I702)</f>
        <v/>
      </c>
      <c r="L702">
        <f>K702*(MIN(Inputs!$B$21+((C716=TRUE)*(F716-Calc!F24)),Inputs!$B$22)/100+Inputs!$B$22/100)/2</f>
        <v/>
      </c>
      <c r="M702">
        <f>L702*(1+(Inputs!$B$9+((C718=TRUE)*(F718-Calc!F26))+B735)/100)</f>
        <v/>
      </c>
      <c r="N702">
        <f>L702*(1-MIN((Inputs!$B$8+((C717=TRUE)*(F717-Calc!F25))+B732),100)/100)+M702*(MIN((Inputs!$B$8+((C717=TRUE)*(F717-Calc!F25))+B732),100)/100)</f>
        <v/>
      </c>
      <c r="O702">
        <f>IF(C702,0.2*SUMPRODUCT((Skills!Z2:Z31=TRUE)*(C694:C723=TRUE)*S694:S723)*N702,0)</f>
        <v/>
      </c>
      <c r="P702">
        <f>IF(B736=0,0,O702/B736)</f>
        <v/>
      </c>
      <c r="Q702" t="n">
        <v>0</v>
      </c>
      <c r="R702" t="n">
        <v>0</v>
      </c>
      <c r="S702" t="n">
        <v>0</v>
      </c>
    </row>
    <row r="703">
      <c r="A703">
        <f>Skills!A11</f>
        <v/>
      </c>
      <c r="B703">
        <f>Skills!B11</f>
        <v/>
      </c>
      <c r="C703">
        <f>Inputs!$B$3&gt;=60</f>
        <v/>
      </c>
      <c r="D703">
        <f>IF(Skills!C11=1,60+Inputs!$B$24+Inputs!$B$28,IF(Skills!C11=2,90+Inputs!$B$25+Inputs!$B$28,IF(Skills!C11=3,120+Inputs!$B$26+Inputs!$B$28,MAX(0,(Inputs!$B$3-100)*3)+Inputs!$B$27+Inputs!$B$28)))</f>
        <v/>
      </c>
      <c r="E703">
        <f>INDEX(FactorTable!$B$2:$Y$301, MATCH(ROUND(MIN(300,MAX(1,D703)),0), FactorTable!$A$2:$A$301,0), Skills!M11+1)</f>
        <v/>
      </c>
      <c r="F703">
        <f>IF(Skills!N11=TRUE,(Skills!L11/10)*(E703/1000),Skills!L11/10)+Skills!O11</f>
        <v/>
      </c>
      <c r="G703">
        <f>Calc!G11</f>
        <v/>
      </c>
      <c r="H703">
        <f>Calc!H11</f>
        <v/>
      </c>
      <c r="I703">
        <f>IF(Skills!AA11&lt;&gt;"",1+(Skills!AA11/10)*(U695/1000)/100,1)</f>
        <v/>
      </c>
      <c r="J703" t="inlineStr"/>
      <c r="K703" t="inlineStr"/>
      <c r="L703" t="inlineStr"/>
      <c r="M703" t="inlineStr"/>
      <c r="N703" t="inlineStr"/>
      <c r="O703" t="n">
        <v>0</v>
      </c>
      <c r="P703">
        <f>IF(B736=0,0,O703/B736)</f>
        <v/>
      </c>
      <c r="Q703" t="n">
        <v>0</v>
      </c>
      <c r="R703" t="n">
        <v>0</v>
      </c>
      <c r="S703">
        <f>IFERROR(O703/N703,0)</f>
        <v/>
      </c>
    </row>
    <row r="704">
      <c r="A704">
        <f>Skills!A12</f>
        <v/>
      </c>
      <c r="B704">
        <f>Skills!B12</f>
        <v/>
      </c>
      <c r="C704">
        <f>Inputs!$B$3&gt;=103</f>
        <v/>
      </c>
      <c r="D704">
        <f>IF(Skills!C12=1,60+Inputs!$B$24+Inputs!$B$28,IF(Skills!C12=2,90+Inputs!$B$25+Inputs!$B$28,IF(Skills!C12=3,120+Inputs!$B$26+Inputs!$B$28,MAX(0,(Inputs!$B$3-100)*3)+Inputs!$B$27+Inputs!$B$28)))</f>
        <v/>
      </c>
      <c r="E704">
        <f>INDEX(FactorTable!$B$2:$Y$301, MATCH(ROUND(MIN(300,MAX(1,D704)),0), FactorTable!$A$2:$A$301,0), Skills!M12+1)</f>
        <v/>
      </c>
      <c r="F704">
        <f>IF(Skills!N12=TRUE,(Skills!L12/10)*(E704/1000),Skills!L12/10)+Skills!O12</f>
        <v/>
      </c>
      <c r="G704">
        <f>Calc!G12</f>
        <v/>
      </c>
      <c r="H704">
        <f>Calc!H12</f>
        <v/>
      </c>
      <c r="I704">
        <f>IF(Skills!AA12&lt;&gt;"",1+(Skills!AA12/10)*(U695/1000)/100,1)</f>
        <v/>
      </c>
      <c r="J704">
        <f>(Inputs!$B$5*(1+Inputs!$B$6/100))*(F704/100)</f>
        <v/>
      </c>
      <c r="K704">
        <f>J704*(1+((Inputs!$B$11*(1+Inputs!$B$12/100))*0.01+Inputs!$B$13*0.0025)/100)*(1+Inputs!$B$14/100)*(1+IF(Inputs!$B$4="pvp",0,(1-Summary!$B$55)*(Inputs!$B$19+((C719=TRUE)*(F719-Calc!F27))+Skills!P12+B733)+Summary!$B$55*(Inputs!$B$20+Skills!Q12+B733))/100)*(1+Inputs!$B$15/100)*(5000/(6000+Inputs!$B$7*(1-Inputs!$B$18/100)))*(1+(Inputs!$B$23+((C722=TRUE)*(F722-Calc!F30)))/100)*(1+Skills!R12/100)*(1+(IF(Skills!A12="SHOWDOWN",(Inputs!$B$16+1)+((C715=TRUE)*(F715-Calc!F23)),Inputs!$B$17+((C721=TRUE)*(F721-Calc!F29))))/100)*(((1+(((C713=TRUE)*F713*IF(AND(Inputs!$B$4&lt;&gt;"pvp",Inputs!$B$35&gt;0),(((S713-1)*(Skills!Y21*(1+Inputs!$B$33/100))+MIN((Skills!Y21*(1+Inputs!$B$33/100)),MAX(0,Inputs!$B$35-((S713-1)*Skills!D21))))/Inputs!$B$35),IF(Inputs!$B$4="pvp",MIN((Skills!Y21*(1+Inputs!$B$33/100)),15)/15,(Skills!Y21*(1+Inputs!$B$33/100))/Skills!D21)))+((C720=TRUE)*(F720-Calc!F28))+((C710=TRUE)*(F710-Calc!F18)))/100)*(1+((C707=TRUE)*F707*IF(AND(Inputs!$B$4&lt;&gt;"pvp",Inputs!$B$35&gt;0),(((S707-1)*(Skills!Y15*(1+Inputs!$B$33/100))+MIN((Skills!Y15*(1+Inputs!$B$33/100)),MAX(0,Inputs!$B$35-((S707-1)*Skills!D15))))/Inputs!$B$35),IF(Inputs!$B$4="pvp",MIN((Skills!Y15*(1+Inputs!$B$33/100)),15)/15,(Skills!Y15*(1+Inputs!$B$33/100))/Skills!D15)))/100)*(1+((C698=TRUE)*F698*B726)/100))*B734*I704)</f>
        <v/>
      </c>
      <c r="L704">
        <f>K704*(MIN(Inputs!$B$21+((C716=TRUE)*(F716-Calc!F24)),Inputs!$B$22)/100+Inputs!$B$22/100)/2</f>
        <v/>
      </c>
      <c r="M704">
        <f>L704*(1+(Inputs!$B$9+((C718=TRUE)*(F718-Calc!F26))+B735)/100)</f>
        <v/>
      </c>
      <c r="N704">
        <f>L704*(1-MIN((Inputs!$B$8+((C717=TRUE)*(F717-Calc!F25))+B732),100)/100)+M704*(MIN((Inputs!$B$8+((C717=TRUE)*(F717-Calc!F25))+B732),100)/100)</f>
        <v/>
      </c>
      <c r="O704">
        <f>IF(C704,H704*N704*IF(AND(Inputs!$B$4&lt;&gt;"pvp",Inputs!$B$35&gt;0),((Skills!G12*((R704-1)*IF(Skills!H12&gt;0,Skills!I12/Skills!H12,1)+IF(Skills!H12&gt;0,MIN(Skills!I12,MAX(0,Inputs!$B$35-((R704-1)*IF(Inputs!$B$4="pvp",15,MAX(0.1,Skills!D12-IF(Skills!E12=TRUE,Inputs!$B$31,0))))))/Skills!H12,1)))/Inputs!$B$35),G704*Q704)*IF(Inputs!$B$4="pvp",1,(1-Summary!$B$55)*(1)+Summary!$B$55*(MIN(Skills!W12,Inputs!$B$37))),0)</f>
        <v/>
      </c>
      <c r="P704">
        <f>IF(B736=0,0,O704/B736)</f>
        <v/>
      </c>
      <c r="Q704">
        <f>IFERROR(1/IF(Inputs!$B$4="pvp",15,MAX(0.1,Skills!D12-IF(Skills!E12=TRUE,Inputs!$B$31,0))),0)</f>
        <v/>
      </c>
      <c r="R704">
        <f>IF(AND(Inputs!$B$4&lt;&gt;"pvp",Inputs!$B$35&gt;0),(INT(Inputs!$B$35/IF(Inputs!$B$4="pvp",15,MAX(0.1,Skills!D12-IF(Skills!E12=TRUE,Inputs!$B$31,0))))+1),0)</f>
        <v/>
      </c>
      <c r="S704">
        <f>IFERROR(O704/N704,0)</f>
        <v/>
      </c>
    </row>
    <row r="705">
      <c r="A705">
        <f>Skills!A13</f>
        <v/>
      </c>
      <c r="B705">
        <f>Skills!B13</f>
        <v/>
      </c>
      <c r="C705">
        <f>Inputs!$B$3&gt;=105</f>
        <v/>
      </c>
      <c r="D705">
        <f>IF(Skills!C13=1,60+Inputs!$B$24+Inputs!$B$28,IF(Skills!C13=2,90+Inputs!$B$25+Inputs!$B$28,IF(Skills!C13=3,120+Inputs!$B$26+Inputs!$B$28,MAX(0,(Inputs!$B$3-100)*3)+Inputs!$B$27+Inputs!$B$28)))</f>
        <v/>
      </c>
      <c r="E705">
        <f>INDEX(FactorTable!$B$2:$Y$301, MATCH(ROUND(MIN(300,MAX(1,D705)),0), FactorTable!$A$2:$A$301,0), Skills!M13+1)</f>
        <v/>
      </c>
      <c r="F705">
        <f>IF(Skills!N13=TRUE,(Skills!L13/10)*(E705/1000),Skills!L13/10)+Skills!O13</f>
        <v/>
      </c>
      <c r="G705">
        <f>Calc!G13</f>
        <v/>
      </c>
      <c r="H705">
        <f>Calc!H13</f>
        <v/>
      </c>
      <c r="I705">
        <f>IF(Skills!AA13&lt;&gt;"",1+(Skills!AA13/10)*(U695/1000)/100,1)</f>
        <v/>
      </c>
      <c r="J705">
        <f>(Inputs!$B$5*(1+Inputs!$B$6/100))*(F705/100)</f>
        <v/>
      </c>
      <c r="K705">
        <f>J705*(1+((Inputs!$B$11*(1+Inputs!$B$12/100))*0.01+Inputs!$B$13*0.0025)/100)*(1+Inputs!$B$14/100)*(1+IF(Inputs!$B$4="pvp",0,(1-Summary!$B$55)*(Inputs!$B$19+((C719=TRUE)*(F719-Calc!F27))+Skills!P13+B733)+Summary!$B$55*(Inputs!$B$20+Skills!Q13+B733))/100)*(1+Inputs!$B$15/100)*(5000/(6000+Inputs!$B$7*(1-Inputs!$B$18/100)))*(1+(Inputs!$B$23+((C722=TRUE)*(F722-Calc!F30)))/100)*(1+Skills!R13/100)*(1+(IF(Skills!A13="SHOWDOWN",(Inputs!$B$16+1)+((C715=TRUE)*(F715-Calc!F23)),Inputs!$B$17+((C721=TRUE)*(F721-Calc!F29))))/100)*(((1+(((C713=TRUE)*F713*IF(AND(Inputs!$B$4&lt;&gt;"pvp",Inputs!$B$35&gt;0),(((S713-1)*(Skills!Y21*(1+Inputs!$B$33/100))+MIN((Skills!Y21*(1+Inputs!$B$33/100)),MAX(0,Inputs!$B$35-((S713-1)*Skills!D21))))/Inputs!$B$35),IF(Inputs!$B$4="pvp",MIN((Skills!Y21*(1+Inputs!$B$33/100)),15)/15,(Skills!Y21*(1+Inputs!$B$33/100))/Skills!D21)))+((C720=TRUE)*(F720-Calc!F28))+((C710=TRUE)*(F710-Calc!F18)))/100)*(1+((C707=TRUE)*F707*IF(AND(Inputs!$B$4&lt;&gt;"pvp",Inputs!$B$35&gt;0),(((S707-1)*(Skills!Y15*(1+Inputs!$B$33/100))+MIN((Skills!Y15*(1+Inputs!$B$33/100)),MAX(0,Inputs!$B$35-((S707-1)*Skills!D15))))/Inputs!$B$35),IF(Inputs!$B$4="pvp",MIN((Skills!Y15*(1+Inputs!$B$33/100)),15)/15,(Skills!Y15*(1+Inputs!$B$33/100))/Skills!D15)))/100)*(1+((C698=TRUE)*F698*B726)/100))*B734*I705)</f>
        <v/>
      </c>
      <c r="L705">
        <f>K705*(MIN(Inputs!$B$21+((C716=TRUE)*(F716-Calc!F24)),Inputs!$B$22)/100+Inputs!$B$22/100)/2</f>
        <v/>
      </c>
      <c r="M705">
        <f>L705*(1+(Inputs!$B$9+((C718=TRUE)*(F718-Calc!F26))+B735)/100)</f>
        <v/>
      </c>
      <c r="N705">
        <f>L705*(1-MIN((Inputs!$B$8+((C717=TRUE)*(F717-Calc!F25))+B732),100)/100)+M705*(MIN((Inputs!$B$8+((C717=TRUE)*(F717-Calc!F25))+B732),100)/100)</f>
        <v/>
      </c>
      <c r="O705">
        <f>IF(C705,H705*N705*IF(AND(Inputs!$B$4&lt;&gt;"pvp",Inputs!$B$35&gt;0),((Skills!G13*((R705-1)*IF(Skills!H13&gt;0,Skills!I13/Skills!H13,1)+IF(Skills!H13&gt;0,MIN(Skills!I13,MAX(0,Inputs!$B$35-((R705-1)*IF(Inputs!$B$4="pvp",15,MAX(0.1,Skills!D13-IF(Skills!E13=TRUE,Inputs!$B$31,0))))))/Skills!H13,1)))/Inputs!$B$35),G705*Q705)*IF(Inputs!$B$4="pvp",1,(1-Summary!$B$55)*(1)+Summary!$B$55*(MIN(Skills!W13,Inputs!$B$37))),0)</f>
        <v/>
      </c>
      <c r="P705">
        <f>IF(B736=0,0,O705/B736)</f>
        <v/>
      </c>
      <c r="Q705">
        <f>IFERROR(1/IF(Inputs!$B$4="pvp",15,MAX(0.1,Skills!D13-IF(Skills!E13=TRUE,Inputs!$B$31,0))),0)</f>
        <v/>
      </c>
      <c r="R705">
        <f>IF(AND(Inputs!$B$4&lt;&gt;"pvp",Inputs!$B$35&gt;0),(INT(Inputs!$B$35/IF(Inputs!$B$4="pvp",15,MAX(0.1,Skills!D13-IF(Skills!E13=TRUE,Inputs!$B$31,0))))+1),0)</f>
        <v/>
      </c>
      <c r="S705">
        <f>IFERROR(O705/N705,0)</f>
        <v/>
      </c>
    </row>
    <row r="706">
      <c r="A706">
        <f>Skills!A14</f>
        <v/>
      </c>
      <c r="B706">
        <f>Skills!B14</f>
        <v/>
      </c>
      <c r="C706">
        <f>Inputs!$B$3&gt;=105</f>
        <v/>
      </c>
      <c r="D706">
        <f>IF(Skills!C14=1,60+Inputs!$B$24+Inputs!$B$28,IF(Skills!C14=2,90+Inputs!$B$25+Inputs!$B$28,IF(Skills!C14=3,120+Inputs!$B$26+Inputs!$B$28,MAX(0,(Inputs!$B$3-100)*3)+Inputs!$B$27+Inputs!$B$28)))</f>
        <v/>
      </c>
      <c r="E706">
        <f>INDEX(FactorTable!$B$2:$Y$301, MATCH(ROUND(MIN(300,MAX(1,D706)),0), FactorTable!$A$2:$A$301,0), Skills!M14+1)</f>
        <v/>
      </c>
      <c r="F706">
        <f>IF(Skills!N14=TRUE,(Skills!L14/10)*(E706/1000),Skills!L14/10)+Skills!O14</f>
        <v/>
      </c>
      <c r="G706">
        <f>Calc!G14</f>
        <v/>
      </c>
      <c r="H706">
        <f>Calc!H14</f>
        <v/>
      </c>
      <c r="I706">
        <f>IF(Skills!AA14&lt;&gt;"",1+(Skills!AA14/10)*(U695/1000)/100,1)</f>
        <v/>
      </c>
      <c r="J706">
        <f>(Inputs!$B$5*(1+Inputs!$B$6/100))*(F706/100)</f>
        <v/>
      </c>
      <c r="K706">
        <f>J706*(1+((Inputs!$B$11*(1+Inputs!$B$12/100))*0.01+Inputs!$B$13*0.0025)/100)*(1+Inputs!$B$14/100)*(1+IF(Inputs!$B$4="pvp",0,(1-Summary!$B$55)*(Inputs!$B$19+((C719=TRUE)*(F719-Calc!F27))+Skills!P14+B733)+Summary!$B$55*(Inputs!$B$20+Skills!Q14+B733))/100)*(1+Inputs!$B$15/100)*(5000/(6000+Inputs!$B$7*(1-Inputs!$B$18/100)))*(1+(Inputs!$B$23+((C722=TRUE)*(F722-Calc!F30)))/100)*(1+Skills!R14/100)*(1+(IF(Skills!A14="SHOWDOWN",(Inputs!$B$16+1)+((C715=TRUE)*(F715-Calc!F23)),Inputs!$B$17+((C721=TRUE)*(F721-Calc!F29))))/100)*(((1+(((C713=TRUE)*F713*IF(AND(Inputs!$B$4&lt;&gt;"pvp",Inputs!$B$35&gt;0),(((S713-1)*(Skills!Y21*(1+Inputs!$B$33/100))+MIN((Skills!Y21*(1+Inputs!$B$33/100)),MAX(0,Inputs!$B$35-((S713-1)*Skills!D21))))/Inputs!$B$35),IF(Inputs!$B$4="pvp",MIN((Skills!Y21*(1+Inputs!$B$33/100)),15)/15,(Skills!Y21*(1+Inputs!$B$33/100))/Skills!D21)))+((C720=TRUE)*(F720-Calc!F28))+((C710=TRUE)*(F710-Calc!F18)))/100)*(1+((C707=TRUE)*F707*IF(AND(Inputs!$B$4&lt;&gt;"pvp",Inputs!$B$35&gt;0),(((S707-1)*(Skills!Y15*(1+Inputs!$B$33/100))+MIN((Skills!Y15*(1+Inputs!$B$33/100)),MAX(0,Inputs!$B$35-((S707-1)*Skills!D15))))/Inputs!$B$35),IF(Inputs!$B$4="pvp",MIN((Skills!Y15*(1+Inputs!$B$33/100)),15)/15,(Skills!Y15*(1+Inputs!$B$33/100))/Skills!D15)))/100)*(1+((C698=TRUE)*F698*B726)/100))*B734*I706)</f>
        <v/>
      </c>
      <c r="L706">
        <f>K706*(MIN(Inputs!$B$21+((C716=TRUE)*(F716-Calc!F24)),Inputs!$B$22)/100+Inputs!$B$22/100)/2</f>
        <v/>
      </c>
      <c r="M706">
        <f>L706*(1+(Inputs!$B$9+((C718=TRUE)*(F718-Calc!F26))+B735)/100)</f>
        <v/>
      </c>
      <c r="N706">
        <f>L706*(1-MIN((Inputs!$B$8+((C717=TRUE)*(F717-Calc!F25))+B732),100)/100)+M706*(MIN((Inputs!$B$8+((C717=TRUE)*(F717-Calc!F25))+B732),100)/100)</f>
        <v/>
      </c>
      <c r="O706">
        <f>IF(C706,H706*N706*IF(AND(Inputs!$B$4&lt;&gt;"pvp",Inputs!$B$35&gt;0),((Skills!G14*((R706-1)*IF(Skills!H14&gt;0,Skills!I14/Skills!H14,1)+IF(Skills!H14&gt;0,MIN(Skills!I14,MAX(0,Inputs!$B$35-((R706-1)*IF(Inputs!$B$4="pvp",15,MAX(0.1,Skills!D14-IF(Skills!E14=TRUE,Inputs!$B$31,0))))))/Skills!H14,1)))/Inputs!$B$35),G706*Q706)*IF(Inputs!$B$4="pvp",1,(1-Summary!$B$55)*(1)+Summary!$B$55*(MIN(Skills!W14,Inputs!$B$37))),0)</f>
        <v/>
      </c>
      <c r="P706">
        <f>IF(B736=0,0,O706/B736)</f>
        <v/>
      </c>
      <c r="Q706">
        <f>IFERROR(1/IF(Inputs!$B$4="pvp",15,MAX(0.1,Skills!D14-IF(Skills!E14=TRUE,Inputs!$B$31,0))),0)</f>
        <v/>
      </c>
      <c r="R706">
        <f>IF(AND(Inputs!$B$4&lt;&gt;"pvp",Inputs!$B$35&gt;0),(INT(Inputs!$B$35/IF(Inputs!$B$4="pvp",15,MAX(0.1,Skills!D14-IF(Skills!E14=TRUE,Inputs!$B$31,0))))+1),0)</f>
        <v/>
      </c>
      <c r="S706">
        <f>IFERROR(O706/N706,0)</f>
        <v/>
      </c>
    </row>
    <row r="707">
      <c r="A707">
        <f>Skills!A15</f>
        <v/>
      </c>
      <c r="B707">
        <f>Skills!B15</f>
        <v/>
      </c>
      <c r="C707">
        <f>Inputs!$B$3&gt;=110</f>
        <v/>
      </c>
      <c r="D707">
        <f>IF(Skills!C15=1,60+Inputs!$B$24+Inputs!$B$28,IF(Skills!C15=2,90+Inputs!$B$25+Inputs!$B$28,IF(Skills!C15=3,120+Inputs!$B$26+Inputs!$B$28,MAX(0,(Inputs!$B$3-100)*3)+Inputs!$B$27+Inputs!$B$28)))</f>
        <v/>
      </c>
      <c r="E707">
        <f>INDEX(FactorTable!$B$2:$Y$301, MATCH(ROUND(MIN(300,MAX(1,D707)),0), FactorTable!$A$2:$A$301,0), Skills!M15+1)</f>
        <v/>
      </c>
      <c r="F707">
        <f>IF(Skills!N15=TRUE,(Skills!L15/10)*(E707/1000),Skills!L15/10)+Skills!O15</f>
        <v/>
      </c>
      <c r="G707">
        <f>Calc!G15</f>
        <v/>
      </c>
      <c r="H707">
        <f>Calc!H15</f>
        <v/>
      </c>
      <c r="I707">
        <f>IF(Skills!AA15&lt;&gt;"",1+(Skills!AA15/10)*(U695/1000)/100,1)</f>
        <v/>
      </c>
      <c r="J707" t="inlineStr"/>
      <c r="K707" t="inlineStr"/>
      <c r="L707" t="inlineStr"/>
      <c r="M707" t="inlineStr"/>
      <c r="N707" t="inlineStr"/>
      <c r="O707" t="n">
        <v>0</v>
      </c>
      <c r="P707">
        <f>IF(B736=0,0,O707/B736)</f>
        <v/>
      </c>
      <c r="Q707">
        <f>IFERROR(1/IF(Inputs!$B$4="pvp",15,MAX(0.1,Skills!D15-IF(Skills!E15=TRUE,Inputs!$B$31,0))),0)</f>
        <v/>
      </c>
      <c r="R707">
        <f>IF(AND(Inputs!$B$4&lt;&gt;"pvp",Inputs!$B$35&gt;0),(INT(Inputs!$B$35/IF(Inputs!$B$4="pvp",15,MAX(0.1,Skills!D15-IF(Skills!E15=TRUE,Inputs!$B$31,0))))+1),0)</f>
        <v/>
      </c>
      <c r="S707">
        <f>IFERROR(O707/N707,0)</f>
        <v/>
      </c>
    </row>
    <row r="708">
      <c r="A708">
        <f>Skills!A16</f>
        <v/>
      </c>
      <c r="B708">
        <f>Skills!B16</f>
        <v/>
      </c>
      <c r="C708">
        <f>Inputs!$B$3&gt;=110</f>
        <v/>
      </c>
      <c r="D708">
        <f>IF(Skills!C16=1,60+Inputs!$B$24+Inputs!$B$28,IF(Skills!C16=2,90+Inputs!$B$25+Inputs!$B$28,IF(Skills!C16=3,120+Inputs!$B$26+Inputs!$B$28,MAX(0,(Inputs!$B$3-100)*3)+Inputs!$B$27+Inputs!$B$28)))</f>
        <v/>
      </c>
      <c r="E708">
        <f>INDEX(FactorTable!$B$2:$Y$301, MATCH(ROUND(MIN(300,MAX(1,D708)),0), FactorTable!$A$2:$A$301,0), Skills!M16+1)</f>
        <v/>
      </c>
      <c r="F708">
        <f>IF(Skills!N16=TRUE,(Skills!L16/10)*(E708/1000),Skills!L16/10)+Skills!O16</f>
        <v/>
      </c>
      <c r="G708">
        <f>Calc!G16</f>
        <v/>
      </c>
      <c r="H708">
        <f>Calc!H16</f>
        <v/>
      </c>
      <c r="I708">
        <f>IF(Skills!AA16&lt;&gt;"",1+(Skills!AA16/10)*(U695/1000)/100,1)</f>
        <v/>
      </c>
      <c r="J708" t="inlineStr"/>
      <c r="K708" t="inlineStr"/>
      <c r="L708" t="inlineStr"/>
      <c r="M708" t="inlineStr"/>
      <c r="N708" t="inlineStr"/>
      <c r="O708" t="n">
        <v>0</v>
      </c>
      <c r="P708">
        <f>IF(B736=0,0,O708/B736)</f>
        <v/>
      </c>
      <c r="Q708">
        <f>IFERROR(1/IF(Inputs!$B$4="pvp",15,MAX(0.1,Skills!D16-IF(Skills!E16=TRUE,Inputs!$B$31,0))),0)</f>
        <v/>
      </c>
      <c r="R708">
        <f>IF(AND(Inputs!$B$4&lt;&gt;"pvp",Inputs!$B$35&gt;0),(INT(Inputs!$B$35/IF(Inputs!$B$4="pvp",15,MAX(0.1,Skills!D16-IF(Skills!E16=TRUE,Inputs!$B$31,0))))+1),0)</f>
        <v/>
      </c>
      <c r="S708">
        <f>IFERROR(O708/N708,0)</f>
        <v/>
      </c>
    </row>
    <row r="709">
      <c r="A709">
        <f>Skills!A17</f>
        <v/>
      </c>
      <c r="B709">
        <f>Skills!B17</f>
        <v/>
      </c>
      <c r="C709">
        <f>Inputs!$B$3&gt;=115</f>
        <v/>
      </c>
      <c r="D709">
        <f>IF(Skills!C17=1,60+Inputs!$B$24+Inputs!$B$28,IF(Skills!C17=2,90+Inputs!$B$25+Inputs!$B$28,IF(Skills!C17=3,120+Inputs!$B$26+Inputs!$B$28,MAX(0,(Inputs!$B$3-100)*3)+Inputs!$B$27+Inputs!$B$28)))</f>
        <v/>
      </c>
      <c r="E709">
        <f>INDEX(FactorTable!$B$2:$Y$301, MATCH(ROUND(MIN(300,MAX(1,D709)),0), FactorTable!$A$2:$A$301,0), Skills!M17+1)</f>
        <v/>
      </c>
      <c r="F709">
        <f>IF(Skills!N17=TRUE,(Skills!L17/10)*(E709/1000),Skills!L17/10)+Skills!O17</f>
        <v/>
      </c>
      <c r="G709">
        <f>Calc!G17</f>
        <v/>
      </c>
      <c r="H709">
        <f>Calc!H17</f>
        <v/>
      </c>
      <c r="I709">
        <f>IF(Skills!AA17&lt;&gt;"",1+(Skills!AA17/10)*(U695/1000)/100,1)</f>
        <v/>
      </c>
      <c r="J709">
        <f>(Inputs!$B$5*(1+Inputs!$B$6/100))*(F709/100)</f>
        <v/>
      </c>
      <c r="K709">
        <f>J709*(1+((Inputs!$B$11*(1+Inputs!$B$12/100))*0.01+Inputs!$B$13*0.0025)/100)*(1+Inputs!$B$14/100)*(1+IF(Inputs!$B$4="pvp",0,(1-Summary!$B$55)*(Inputs!$B$19+((C719=TRUE)*(F719-Calc!F27))+Skills!P17+B733)+Summary!$B$55*(Inputs!$B$20+Skills!Q17+B733))/100)*(1+Inputs!$B$15/100)*(5000/(6000+Inputs!$B$7*(1-Inputs!$B$18/100)))*(1+(Inputs!$B$23+((C722=TRUE)*(F722-Calc!F30)))/100)*(1+Skills!R17/100)*(1+(IF(Skills!A17="SHOWDOWN",(Inputs!$B$16+1)+((C715=TRUE)*(F715-Calc!F23)),Inputs!$B$17+((C721=TRUE)*(F721-Calc!F29))))/100)*(((1+(((C713=TRUE)*F713*IF(AND(Inputs!$B$4&lt;&gt;"pvp",Inputs!$B$35&gt;0),(((S713-1)*(Skills!Y21*(1+Inputs!$B$33/100))+MIN((Skills!Y21*(1+Inputs!$B$33/100)),MAX(0,Inputs!$B$35-((S713-1)*Skills!D21))))/Inputs!$B$35),IF(Inputs!$B$4="pvp",MIN((Skills!Y21*(1+Inputs!$B$33/100)),15)/15,(Skills!Y21*(1+Inputs!$B$33/100))/Skills!D21)))+((C720=TRUE)*(F720-Calc!F28))+((C710=TRUE)*(F710-Calc!F18)))/100)*(1+((C707=TRUE)*F707*IF(AND(Inputs!$B$4&lt;&gt;"pvp",Inputs!$B$35&gt;0),(((S707-1)*(Skills!Y15*(1+Inputs!$B$33/100))+MIN((Skills!Y15*(1+Inputs!$B$33/100)),MAX(0,Inputs!$B$35-((S707-1)*Skills!D15))))/Inputs!$B$35),IF(Inputs!$B$4="pvp",MIN((Skills!Y15*(1+Inputs!$B$33/100)),15)/15,(Skills!Y15*(1+Inputs!$B$33/100))/Skills!D15)))/100)*(1+((C698=TRUE)*F698*B726)/100))*B734*I709)</f>
        <v/>
      </c>
      <c r="L709">
        <f>K709*(MIN(Inputs!$B$21+((C716=TRUE)*(F716-Calc!F24)),Inputs!$B$22)/100+Inputs!$B$22/100)/2</f>
        <v/>
      </c>
      <c r="M709">
        <f>L709*(1+(Inputs!$B$9+((C718=TRUE)*(F718-Calc!F26))+B735)/100)</f>
        <v/>
      </c>
      <c r="N709">
        <f>L709*(1-MIN((Inputs!$B$8+((C717=TRUE)*(F717-Calc!F25))+B732),100)/100)+M709*(MIN((Inputs!$B$8+((C717=TRUE)*(F717-Calc!F25))+B732),100)/100)</f>
        <v/>
      </c>
      <c r="O709">
        <f>IF(C709,Inputs!$B$38*0.2*N709,0)</f>
        <v/>
      </c>
      <c r="P709">
        <f>IF(B736=0,0,O709/B736)</f>
        <v/>
      </c>
      <c r="Q709" t="n">
        <v>0</v>
      </c>
      <c r="R709" t="n">
        <v>0</v>
      </c>
      <c r="S709">
        <f>IFERROR(O709/N709,0)</f>
        <v/>
      </c>
    </row>
    <row r="710">
      <c r="A710">
        <f>Skills!A18</f>
        <v/>
      </c>
      <c r="B710">
        <f>Skills!B18</f>
        <v/>
      </c>
      <c r="C710">
        <f>Inputs!$B$3&gt;=115</f>
        <v/>
      </c>
      <c r="D710">
        <f>IF(Skills!C18=1,60+Inputs!$B$24+Inputs!$B$28,IF(Skills!C18=2,90+Inputs!$B$25+Inputs!$B$28,IF(Skills!C18=3,120+Inputs!$B$26+Inputs!$B$28,MAX(0,(Inputs!$B$3-100)*3)+Inputs!$B$27+Inputs!$B$28)))</f>
        <v/>
      </c>
      <c r="E710">
        <f>INDEX(FactorTable!$B$2:$Y$301, MATCH(ROUND(MIN(300,MAX(1,D710)),0), FactorTable!$A$2:$A$301,0), Skills!M18+1)</f>
        <v/>
      </c>
      <c r="F710">
        <f>IF(Skills!N18=TRUE,(Skills!L18/10)*(E710/1000),Skills!L18/10)+Skills!O18</f>
        <v/>
      </c>
      <c r="G710">
        <f>Calc!G18</f>
        <v/>
      </c>
      <c r="H710">
        <f>Calc!H18</f>
        <v/>
      </c>
      <c r="I710">
        <f>IF(Skills!AA18&lt;&gt;"",1+(Skills!AA18/10)*(U695/1000)/100,1)</f>
        <v/>
      </c>
      <c r="J710" t="inlineStr"/>
      <c r="K710" t="inlineStr"/>
      <c r="L710" t="inlineStr"/>
      <c r="M710" t="inlineStr"/>
      <c r="N710" t="inlineStr"/>
      <c r="O710" t="n">
        <v>0</v>
      </c>
      <c r="P710">
        <f>IF(B736=0,0,O710/B736)</f>
        <v/>
      </c>
      <c r="Q710" t="n">
        <v>0</v>
      </c>
      <c r="R710" t="n">
        <v>0</v>
      </c>
      <c r="S710">
        <f>IFERROR(O710/N710,0)</f>
        <v/>
      </c>
    </row>
    <row r="711">
      <c r="A711">
        <f>Skills!A19</f>
        <v/>
      </c>
      <c r="B711">
        <f>Skills!B19</f>
        <v/>
      </c>
      <c r="C711">
        <f>TRUE</f>
        <v/>
      </c>
      <c r="D711">
        <f>IF(Skills!C19=1,60+Inputs!$B$24+Inputs!$B$28,IF(Skills!C19=2,90+Inputs!$B$25+Inputs!$B$28,IF(Skills!C19=3,120+Inputs!$B$26+Inputs!$B$28,MAX(0,(Inputs!$B$3-100)*3)+Inputs!$B$27+Inputs!$B$28)))</f>
        <v/>
      </c>
      <c r="E711">
        <f>INDEX(FactorTable!$B$2:$Y$301, MATCH(ROUND(MIN(300,MAX(1,D711)),0), FactorTable!$A$2:$A$301,0), Skills!M19+1)</f>
        <v/>
      </c>
      <c r="F711">
        <f>IF(Skills!N19=TRUE,(Skills!L19/10)*(E711/1000),Skills!L19/10)+Skills!O19</f>
        <v/>
      </c>
      <c r="G711">
        <f>Calc!G19</f>
        <v/>
      </c>
      <c r="H711">
        <f>Calc!H19</f>
        <v/>
      </c>
      <c r="I711">
        <f>IF(Skills!AA19&lt;&gt;"",1+(Skills!AA19/10)*(U695/1000)/100,1)</f>
        <v/>
      </c>
      <c r="J711" t="inlineStr"/>
      <c r="K711" t="inlineStr"/>
      <c r="L711" t="inlineStr"/>
      <c r="M711" t="inlineStr"/>
      <c r="N711" t="inlineStr"/>
      <c r="O711" t="n">
        <v>0</v>
      </c>
      <c r="P711">
        <f>IF(B736=0,0,O711/B736)</f>
        <v/>
      </c>
      <c r="Q711">
        <f>IFERROR(1/IF(Inputs!$B$4="pvp",15,MAX(0.1,Skills!D19-IF(Skills!E19=TRUE,Inputs!$B$31,0))),0)</f>
        <v/>
      </c>
      <c r="R711">
        <f>IF(AND(Inputs!$B$4&lt;&gt;"pvp",Inputs!$B$35&gt;0),(INT(Inputs!$B$35/IF(Inputs!$B$4="pvp",15,MAX(0.1,Skills!D19-IF(Skills!E19=TRUE,Inputs!$B$31,0))))+1),0)</f>
        <v/>
      </c>
      <c r="S711">
        <f>IFERROR(O711/N711,0)</f>
        <v/>
      </c>
    </row>
    <row r="712">
      <c r="A712">
        <f>Skills!A20</f>
        <v/>
      </c>
      <c r="B712">
        <f>Skills!B20</f>
        <v/>
      </c>
      <c r="C712">
        <f>Inputs!$B$3&gt;=15</f>
        <v/>
      </c>
      <c r="D712">
        <f>IF(Skills!C20=1,60+Inputs!$B$24+Inputs!$B$28,IF(Skills!C20=2,90+Inputs!$B$25+Inputs!$B$28,IF(Skills!C20=3,120+Inputs!$B$26+Inputs!$B$28,MAX(0,(Inputs!$B$3-100)*3)+Inputs!$B$27+Inputs!$B$28)))</f>
        <v/>
      </c>
      <c r="E712">
        <f>INDEX(FactorTable!$B$2:$Y$301, MATCH(ROUND(MIN(300,MAX(1,D712)),0), FactorTable!$A$2:$A$301,0), Skills!M20+1)</f>
        <v/>
      </c>
      <c r="F712">
        <f>IF(Skills!N20=TRUE,(Skills!L20/10)*(E712/1000),Skills!L20/10)+Skills!O20</f>
        <v/>
      </c>
      <c r="G712">
        <f>Calc!G20</f>
        <v/>
      </c>
      <c r="H712">
        <f>Calc!H20</f>
        <v/>
      </c>
      <c r="I712">
        <f>IF(Skills!AA20&lt;&gt;"",1+(Skills!AA20/10)*(U695/1000)/100,1)</f>
        <v/>
      </c>
      <c r="J712" t="inlineStr"/>
      <c r="K712" t="inlineStr"/>
      <c r="L712" t="inlineStr"/>
      <c r="M712" t="inlineStr"/>
      <c r="N712" t="inlineStr"/>
      <c r="O712" t="n">
        <v>0</v>
      </c>
      <c r="P712">
        <f>IF(B736=0,0,O712/B736)</f>
        <v/>
      </c>
      <c r="Q712">
        <f>IFERROR(1/IF(Inputs!$B$4="pvp",15,MAX(0.1,Skills!D20-IF(Skills!E20=TRUE,Inputs!$B$31,0))),0)</f>
        <v/>
      </c>
      <c r="R712">
        <f>IF(AND(Inputs!$B$4&lt;&gt;"pvp",Inputs!$B$35&gt;0),(INT(Inputs!$B$35/IF(Inputs!$B$4="pvp",15,MAX(0.1,Skills!D20-IF(Skills!E20=TRUE,Inputs!$B$31,0))))+1),0)</f>
        <v/>
      </c>
      <c r="S712">
        <f>IFERROR(O712/N712,0)</f>
        <v/>
      </c>
    </row>
    <row r="713">
      <c r="A713">
        <f>Skills!A21</f>
        <v/>
      </c>
      <c r="B713">
        <f>Skills!B21</f>
        <v/>
      </c>
      <c r="C713">
        <f>Inputs!$B$3&gt;=15</f>
        <v/>
      </c>
      <c r="D713">
        <f>IF(Skills!C21=1,60+Inputs!$B$24+Inputs!$B$28,IF(Skills!C21=2,90+Inputs!$B$25+Inputs!$B$28,IF(Skills!C21=3,120+Inputs!$B$26+Inputs!$B$28,MAX(0,(Inputs!$B$3-100)*3)+Inputs!$B$27+Inputs!$B$28)))</f>
        <v/>
      </c>
      <c r="E713">
        <f>INDEX(FactorTable!$B$2:$Y$301, MATCH(ROUND(MIN(300,MAX(1,D713)),0), FactorTable!$A$2:$A$301,0), Skills!M21+1)</f>
        <v/>
      </c>
      <c r="F713">
        <f>IF(Skills!N21=TRUE,(Skills!L21/10)*(E713/1000),Skills!L21/10)+Skills!O21</f>
        <v/>
      </c>
      <c r="G713">
        <f>Calc!G21</f>
        <v/>
      </c>
      <c r="H713">
        <f>Calc!H21</f>
        <v/>
      </c>
      <c r="I713">
        <f>IF(Skills!AA21&lt;&gt;"",1+(Skills!AA21/10)*(U695/1000)/100,1)</f>
        <v/>
      </c>
      <c r="J713" t="inlineStr"/>
      <c r="K713" t="inlineStr"/>
      <c r="L713" t="inlineStr"/>
      <c r="M713" t="inlineStr"/>
      <c r="N713" t="inlineStr"/>
      <c r="O713" t="n">
        <v>0</v>
      </c>
      <c r="P713">
        <f>IF(B736=0,0,O713/B736)</f>
        <v/>
      </c>
      <c r="Q713">
        <f>IFERROR(1/IF(Inputs!$B$4="pvp",15,MAX(0.1,Skills!D21-IF(Skills!E21=TRUE,Inputs!$B$31,0))),0)</f>
        <v/>
      </c>
      <c r="R713">
        <f>IF(AND(Inputs!$B$4&lt;&gt;"pvp",Inputs!$B$35&gt;0),(INT(Inputs!$B$35/IF(Inputs!$B$4="pvp",15,MAX(0.1,Skills!D21-IF(Skills!E21=TRUE,Inputs!$B$31,0))))+1),0)</f>
        <v/>
      </c>
      <c r="S713">
        <f>IFERROR(O713/N713,0)</f>
        <v/>
      </c>
    </row>
    <row r="714">
      <c r="A714">
        <f>Skills!A22</f>
        <v/>
      </c>
      <c r="B714">
        <f>Skills!B22</f>
        <v/>
      </c>
      <c r="C714">
        <f>Inputs!$B$3&gt;=33</f>
        <v/>
      </c>
      <c r="D714">
        <f>IF(Skills!C22=1,60+Inputs!$B$24+Inputs!$B$28,IF(Skills!C22=2,90+Inputs!$B$25+Inputs!$B$28,IF(Skills!C22=3,120+Inputs!$B$26+Inputs!$B$28,MAX(0,(Inputs!$B$3-100)*3)+Inputs!$B$27+Inputs!$B$28)))</f>
        <v/>
      </c>
      <c r="E714">
        <f>INDEX(FactorTable!$B$2:$Y$301, MATCH(ROUND(MIN(300,MAX(1,D714)),0), FactorTable!$A$2:$A$301,0), Skills!M22+1)</f>
        <v/>
      </c>
      <c r="F714">
        <f>IF(Skills!N22=TRUE,(Skills!L22/10)*(E714/1000),Skills!L22/10)+Skills!O22</f>
        <v/>
      </c>
      <c r="G714">
        <f>Calc!G22</f>
        <v/>
      </c>
      <c r="H714">
        <f>Calc!H22</f>
        <v/>
      </c>
      <c r="I714">
        <f>IF(Skills!AA22&lt;&gt;"",1+(Skills!AA22/10)*(U695/1000)/100,1)</f>
        <v/>
      </c>
      <c r="J714" t="inlineStr"/>
      <c r="K714" t="inlineStr"/>
      <c r="L714" t="inlineStr"/>
      <c r="M714" t="inlineStr"/>
      <c r="N714" t="inlineStr"/>
      <c r="O714" t="n">
        <v>0</v>
      </c>
      <c r="P714">
        <f>IF(B736=0,0,O714/B736)</f>
        <v/>
      </c>
      <c r="Q714" t="n">
        <v>0</v>
      </c>
      <c r="R714" t="n">
        <v>0</v>
      </c>
      <c r="S714">
        <f>IFERROR(O714/N714,0)</f>
        <v/>
      </c>
    </row>
    <row r="715">
      <c r="A715">
        <f>Skills!A23</f>
        <v/>
      </c>
      <c r="B715">
        <f>Skills!B23</f>
        <v/>
      </c>
      <c r="C715">
        <f>Inputs!$B$3&gt;=38</f>
        <v/>
      </c>
      <c r="D715">
        <f>IF(Skills!C23=1,60+Inputs!$B$24+Inputs!$B$28,IF(Skills!C23=2,90+Inputs!$B$25+Inputs!$B$28,IF(Skills!C23=3,120+Inputs!$B$26+Inputs!$B$28,MAX(0,(Inputs!$B$3-100)*3)+Inputs!$B$27+Inputs!$B$28)))</f>
        <v/>
      </c>
      <c r="E715">
        <f>INDEX(FactorTable!$B$2:$Y$301, MATCH(ROUND(MIN(300,MAX(1,D715)),0), FactorTable!$A$2:$A$301,0), Skills!M23+1)</f>
        <v/>
      </c>
      <c r="F715">
        <f>IF(Skills!N23=TRUE,(Skills!L23/10)*(E715/1000),Skills!L23/10)+Skills!O23</f>
        <v/>
      </c>
      <c r="G715">
        <f>Calc!G23</f>
        <v/>
      </c>
      <c r="H715">
        <f>Calc!H23</f>
        <v/>
      </c>
      <c r="I715">
        <f>IF(Skills!AA23&lt;&gt;"",1+(Skills!AA23/10)*(U695/1000)/100,1)</f>
        <v/>
      </c>
      <c r="J715" t="inlineStr"/>
      <c r="K715" t="inlineStr"/>
      <c r="L715" t="inlineStr"/>
      <c r="M715" t="inlineStr"/>
      <c r="N715" t="inlineStr"/>
      <c r="O715" t="n">
        <v>0</v>
      </c>
      <c r="P715">
        <f>IF(B736=0,0,O715/B736)</f>
        <v/>
      </c>
      <c r="Q715" t="n">
        <v>0</v>
      </c>
      <c r="R715" t="n">
        <v>0</v>
      </c>
      <c r="S715">
        <f>IFERROR(O715/N715,0)</f>
        <v/>
      </c>
    </row>
    <row r="716">
      <c r="A716">
        <f>Skills!A24</f>
        <v/>
      </c>
      <c r="B716">
        <f>Skills!B24</f>
        <v/>
      </c>
      <c r="C716">
        <f>Inputs!$B$3&gt;=40</f>
        <v/>
      </c>
      <c r="D716">
        <f>IF(Skills!C24=1,60+Inputs!$B$24+Inputs!$B$28,IF(Skills!C24=2,90+Inputs!$B$25+Inputs!$B$28,IF(Skills!C24=3,120+Inputs!$B$26+Inputs!$B$28,MAX(0,(Inputs!$B$3-100)*3)+Inputs!$B$27+Inputs!$B$28)))</f>
        <v/>
      </c>
      <c r="E716">
        <f>INDEX(FactorTable!$B$2:$Y$301, MATCH(ROUND(MIN(300,MAX(1,D716)),0), FactorTable!$A$2:$A$301,0), Skills!M24+1)</f>
        <v/>
      </c>
      <c r="F716">
        <f>IF(Skills!N24=TRUE,(Skills!L24/10)*(E716/1000),Skills!L24/10)+Skills!O24</f>
        <v/>
      </c>
      <c r="G716">
        <f>Calc!G24</f>
        <v/>
      </c>
      <c r="H716">
        <f>Calc!H24</f>
        <v/>
      </c>
      <c r="I716">
        <f>IF(Skills!AA24&lt;&gt;"",1+(Skills!AA24/10)*(U695/1000)/100,1)</f>
        <v/>
      </c>
      <c r="J716" t="inlineStr"/>
      <c r="K716" t="inlineStr"/>
      <c r="L716" t="inlineStr"/>
      <c r="M716" t="inlineStr"/>
      <c r="N716" t="inlineStr"/>
      <c r="O716" t="n">
        <v>0</v>
      </c>
      <c r="P716">
        <f>IF(B736=0,0,O716/B736)</f>
        <v/>
      </c>
      <c r="Q716" t="n">
        <v>0</v>
      </c>
      <c r="R716" t="n">
        <v>0</v>
      </c>
      <c r="S716">
        <f>IFERROR(O716/N716,0)</f>
        <v/>
      </c>
    </row>
    <row r="717">
      <c r="A717">
        <f>Skills!A25</f>
        <v/>
      </c>
      <c r="B717">
        <f>Skills!B25</f>
        <v/>
      </c>
      <c r="C717">
        <f>Inputs!$B$3&gt;=45</f>
        <v/>
      </c>
      <c r="D717">
        <f>IF(Skills!C25=1,60+Inputs!$B$24+Inputs!$B$28,IF(Skills!C25=2,90+Inputs!$B$25+Inputs!$B$28,IF(Skills!C25=3,120+Inputs!$B$26+Inputs!$B$28,MAX(0,(Inputs!$B$3-100)*3)+Inputs!$B$27+Inputs!$B$28)))</f>
        <v/>
      </c>
      <c r="E717">
        <f>INDEX(FactorTable!$B$2:$Y$301, MATCH(ROUND(MIN(300,MAX(1,D717)),0), FactorTable!$A$2:$A$301,0), Skills!M25+1)</f>
        <v/>
      </c>
      <c r="F717">
        <f>IF(Skills!N25=TRUE,(Skills!L25/10)*(E717/1000),Skills!L25/10)+Skills!O25</f>
        <v/>
      </c>
      <c r="G717">
        <f>Calc!G25</f>
        <v/>
      </c>
      <c r="H717">
        <f>Calc!H25</f>
        <v/>
      </c>
      <c r="I717">
        <f>IF(Skills!AA25&lt;&gt;"",1+(Skills!AA25/10)*(U695/1000)/100,1)</f>
        <v/>
      </c>
      <c r="J717" t="inlineStr"/>
      <c r="K717" t="inlineStr"/>
      <c r="L717" t="inlineStr"/>
      <c r="M717" t="inlineStr"/>
      <c r="N717" t="inlineStr"/>
      <c r="O717" t="n">
        <v>0</v>
      </c>
      <c r="P717">
        <f>IF(B736=0,0,O717/B736)</f>
        <v/>
      </c>
      <c r="Q717" t="n">
        <v>0</v>
      </c>
      <c r="R717" t="n">
        <v>0</v>
      </c>
      <c r="S717">
        <f>IFERROR(O717/N717,0)</f>
        <v/>
      </c>
    </row>
    <row r="718">
      <c r="A718">
        <f>Skills!A26</f>
        <v/>
      </c>
      <c r="B718">
        <f>Skills!B26</f>
        <v/>
      </c>
      <c r="C718">
        <f>Inputs!$B$3&gt;=45</f>
        <v/>
      </c>
      <c r="D718">
        <f>IF(Skills!C26=1,60+Inputs!$B$24+Inputs!$B$28,IF(Skills!C26=2,90+Inputs!$B$25+Inputs!$B$28,IF(Skills!C26=3,120+Inputs!$B$26+Inputs!$B$28,MAX(0,(Inputs!$B$3-100)*3)+Inputs!$B$27+Inputs!$B$28)))</f>
        <v/>
      </c>
      <c r="E718">
        <f>INDEX(FactorTable!$B$2:$Y$301, MATCH(ROUND(MIN(300,MAX(1,D718)),0), FactorTable!$A$2:$A$301,0), Skills!M26+1)</f>
        <v/>
      </c>
      <c r="F718">
        <f>IF(Skills!N26=TRUE,(Skills!L26/10)*(E718/1000),Skills!L26/10)+Skills!O26</f>
        <v/>
      </c>
      <c r="G718">
        <f>Calc!G26</f>
        <v/>
      </c>
      <c r="H718">
        <f>Calc!H26</f>
        <v/>
      </c>
      <c r="I718">
        <f>IF(Skills!AA26&lt;&gt;"",1+(Skills!AA26/10)*(U695/1000)/100,1)</f>
        <v/>
      </c>
      <c r="J718" t="inlineStr"/>
      <c r="K718" t="inlineStr"/>
      <c r="L718" t="inlineStr"/>
      <c r="M718" t="inlineStr"/>
      <c r="N718" t="inlineStr"/>
      <c r="O718" t="n">
        <v>0</v>
      </c>
      <c r="P718">
        <f>IF(B736=0,0,O718/B736)</f>
        <v/>
      </c>
      <c r="Q718" t="n">
        <v>0</v>
      </c>
      <c r="R718" t="n">
        <v>0</v>
      </c>
      <c r="S718">
        <f>IFERROR(O718/N718,0)</f>
        <v/>
      </c>
    </row>
    <row r="719">
      <c r="A719">
        <f>Skills!A27</f>
        <v/>
      </c>
      <c r="B719">
        <f>Skills!B27</f>
        <v/>
      </c>
      <c r="C719">
        <f>Inputs!$B$3&gt;=72</f>
        <v/>
      </c>
      <c r="D719">
        <f>IF(Skills!C27=1,60+Inputs!$B$24+Inputs!$B$28,IF(Skills!C27=2,90+Inputs!$B$25+Inputs!$B$28,IF(Skills!C27=3,120+Inputs!$B$26+Inputs!$B$28,MAX(0,(Inputs!$B$3-100)*3)+Inputs!$B$27+Inputs!$B$28)))</f>
        <v/>
      </c>
      <c r="E719">
        <f>INDEX(FactorTable!$B$2:$Y$301, MATCH(ROUND(MIN(300,MAX(1,D719)),0), FactorTable!$A$2:$A$301,0), Skills!M27+1)</f>
        <v/>
      </c>
      <c r="F719">
        <f>IF(Skills!N27=TRUE,(Skills!L27/10)*(E719/1000),Skills!L27/10)+Skills!O27</f>
        <v/>
      </c>
      <c r="G719">
        <f>Calc!G27</f>
        <v/>
      </c>
      <c r="H719">
        <f>Calc!H27</f>
        <v/>
      </c>
      <c r="I719">
        <f>IF(Skills!AA27&lt;&gt;"",1+(Skills!AA27/10)*(U695/1000)/100,1)</f>
        <v/>
      </c>
      <c r="J719" t="inlineStr"/>
      <c r="K719" t="inlineStr"/>
      <c r="L719" t="inlineStr"/>
      <c r="M719" t="inlineStr"/>
      <c r="N719" t="inlineStr"/>
      <c r="O719" t="n">
        <v>0</v>
      </c>
      <c r="P719">
        <f>IF(B736=0,0,O719/B736)</f>
        <v/>
      </c>
      <c r="Q719" t="n">
        <v>0</v>
      </c>
      <c r="R719" t="n">
        <v>0</v>
      </c>
      <c r="S719">
        <f>IFERROR(O719/N719,0)</f>
        <v/>
      </c>
    </row>
    <row r="720">
      <c r="A720">
        <f>Skills!A28</f>
        <v/>
      </c>
      <c r="B720">
        <f>Skills!B28</f>
        <v/>
      </c>
      <c r="C720">
        <f>Inputs!$B$3&gt;=75</f>
        <v/>
      </c>
      <c r="D720">
        <f>IF(Skills!C28=1,60+Inputs!$B$24+Inputs!$B$28,IF(Skills!C28=2,90+Inputs!$B$25+Inputs!$B$28,IF(Skills!C28=3,120+Inputs!$B$26+Inputs!$B$28,MAX(0,(Inputs!$B$3-100)*3)+Inputs!$B$27+Inputs!$B$28)))</f>
        <v/>
      </c>
      <c r="E720">
        <f>INDEX(FactorTable!$B$2:$Y$301, MATCH(ROUND(MIN(300,MAX(1,D720)),0), FactorTable!$A$2:$A$301,0), Skills!M28+1)</f>
        <v/>
      </c>
      <c r="F720">
        <f>IF(Skills!N28=TRUE,(Skills!L28/10)*(E720/1000),Skills!L28/10)+Skills!O28</f>
        <v/>
      </c>
      <c r="G720">
        <f>Calc!G28</f>
        <v/>
      </c>
      <c r="H720">
        <f>Calc!H28</f>
        <v/>
      </c>
      <c r="I720">
        <f>IF(Skills!AA28&lt;&gt;"",1+(Skills!AA28/10)*(U695/1000)/100,1)</f>
        <v/>
      </c>
      <c r="J720" t="inlineStr"/>
      <c r="K720" t="inlineStr"/>
      <c r="L720" t="inlineStr"/>
      <c r="M720" t="inlineStr"/>
      <c r="N720" t="inlineStr"/>
      <c r="O720" t="n">
        <v>0</v>
      </c>
      <c r="P720">
        <f>IF(B736=0,0,O720/B736)</f>
        <v/>
      </c>
      <c r="Q720" t="n">
        <v>0</v>
      </c>
      <c r="R720" t="n">
        <v>0</v>
      </c>
      <c r="S720">
        <f>IFERROR(O720/N720,0)</f>
        <v/>
      </c>
    </row>
    <row r="721">
      <c r="A721">
        <f>Skills!A29</f>
        <v/>
      </c>
      <c r="B721">
        <f>Skills!B29</f>
        <v/>
      </c>
      <c r="C721">
        <f>Inputs!$B$3&gt;=120</f>
        <v/>
      </c>
      <c r="D721">
        <f>IF(Skills!C29=1,60+Inputs!$B$24+Inputs!$B$28,IF(Skills!C29=2,90+Inputs!$B$25+Inputs!$B$28,IF(Skills!C29=3,120+Inputs!$B$26+Inputs!$B$28,MAX(0,(Inputs!$B$3-100)*3)+Inputs!$B$27+Inputs!$B$28)))</f>
        <v/>
      </c>
      <c r="E721">
        <f>INDEX(FactorTable!$B$2:$Y$301, MATCH(ROUND(MIN(300,MAX(1,D721)),0), FactorTable!$A$2:$A$301,0), Skills!M29+1)</f>
        <v/>
      </c>
      <c r="F721">
        <f>IF(Skills!N29=TRUE,(Skills!L29/10)*(E721/1000),Skills!L29/10)+Skills!O29</f>
        <v/>
      </c>
      <c r="G721">
        <f>Calc!G29</f>
        <v/>
      </c>
      <c r="H721">
        <f>Calc!H29</f>
        <v/>
      </c>
      <c r="I721">
        <f>IF(Skills!AA29&lt;&gt;"",1+(Skills!AA29/10)*(U695/1000)/100,1)</f>
        <v/>
      </c>
      <c r="J721" t="inlineStr"/>
      <c r="K721" t="inlineStr"/>
      <c r="L721" t="inlineStr"/>
      <c r="M721" t="inlineStr"/>
      <c r="N721" t="inlineStr"/>
      <c r="O721" t="n">
        <v>0</v>
      </c>
      <c r="P721">
        <f>IF(B736=0,0,O721/B736)</f>
        <v/>
      </c>
      <c r="Q721" t="n">
        <v>0</v>
      </c>
      <c r="R721" t="n">
        <v>0</v>
      </c>
      <c r="S721">
        <f>IFERROR(O721/N721,0)</f>
        <v/>
      </c>
    </row>
    <row r="722">
      <c r="A722">
        <f>Skills!A30</f>
        <v/>
      </c>
      <c r="B722">
        <f>Skills!B30</f>
        <v/>
      </c>
      <c r="C722">
        <f>Inputs!$B$3&gt;=125</f>
        <v/>
      </c>
      <c r="D722">
        <f>IF(Skills!C30=1,60+Inputs!$B$24+Inputs!$B$28,IF(Skills!C30=2,90+Inputs!$B$25+Inputs!$B$28,IF(Skills!C30=3,120+Inputs!$B$26+Inputs!$B$28,MAX(0,(Inputs!$B$3-100)*3)+Inputs!$B$27+Inputs!$B$28)))</f>
        <v/>
      </c>
      <c r="E722">
        <f>INDEX(FactorTable!$B$2:$Y$301, MATCH(ROUND(MIN(300,MAX(1,D722)),0), FactorTable!$A$2:$A$301,0), Skills!M30+1)</f>
        <v/>
      </c>
      <c r="F722">
        <f>IF(Skills!N30=TRUE,(Skills!L30/10)*(E722/1000),Skills!L30/10)+Skills!O30</f>
        <v/>
      </c>
      <c r="G722">
        <f>Calc!G30</f>
        <v/>
      </c>
      <c r="H722">
        <f>Calc!H30</f>
        <v/>
      </c>
      <c r="I722">
        <f>IF(Skills!AA30&lt;&gt;"",1+(Skills!AA30/10)*(U695/1000)/100,1)</f>
        <v/>
      </c>
      <c r="J722" t="inlineStr"/>
      <c r="K722" t="inlineStr"/>
      <c r="L722" t="inlineStr"/>
      <c r="M722" t="inlineStr"/>
      <c r="N722" t="inlineStr"/>
      <c r="O722" t="n">
        <v>0</v>
      </c>
      <c r="P722">
        <f>IF(B736=0,0,O722/B736)</f>
        <v/>
      </c>
      <c r="Q722" t="n">
        <v>0</v>
      </c>
      <c r="R722" t="n">
        <v>0</v>
      </c>
      <c r="S722">
        <f>IFERROR(O722/N722,0)</f>
        <v/>
      </c>
    </row>
    <row r="723">
      <c r="A723">
        <f>Skills!A31</f>
        <v/>
      </c>
      <c r="B723">
        <f>Skills!B31</f>
        <v/>
      </c>
      <c r="C723">
        <f>Inputs!$B$3&gt;=107</f>
        <v/>
      </c>
      <c r="D723">
        <f>IF(Skills!C31=1,60+Inputs!$B$24+Inputs!$B$28,IF(Skills!C31=2,90+Inputs!$B$25+Inputs!$B$28,IF(Skills!C31=3,120+Inputs!$B$26+Inputs!$B$28,MAX(0,(Inputs!$B$3-100)*3)+Inputs!$B$27+Inputs!$B$28)))</f>
        <v/>
      </c>
      <c r="E723">
        <f>INDEX(FactorTable!$B$2:$Y$301, MATCH(ROUND(MIN(300,MAX(1,D723)),0), FactorTable!$A$2:$A$301,0), Skills!M31+1)</f>
        <v/>
      </c>
      <c r="F723">
        <f>IF(Skills!N31=TRUE,(Skills!L31/10)*(E723/1000),Skills!L31/10)+Skills!O31</f>
        <v/>
      </c>
      <c r="G723">
        <f>Calc!G31</f>
        <v/>
      </c>
      <c r="H723">
        <f>Calc!H31</f>
        <v/>
      </c>
      <c r="I723">
        <f>IF(Skills!AA31&lt;&gt;"",1+(Skills!AA31/10)*(U695/1000)/100,1)</f>
        <v/>
      </c>
      <c r="J723" t="inlineStr"/>
      <c r="K723" t="inlineStr"/>
      <c r="L723" t="inlineStr"/>
      <c r="M723" t="inlineStr"/>
      <c r="N723" t="inlineStr"/>
      <c r="O723" t="n">
        <v>0</v>
      </c>
      <c r="P723">
        <f>IF(B736=0,0,O723/B736)</f>
        <v/>
      </c>
      <c r="Q723" t="n">
        <v>0</v>
      </c>
      <c r="R723" t="n">
        <v>0</v>
      </c>
      <c r="S723">
        <f>IFERROR(O723/N723,0)</f>
        <v/>
      </c>
    </row>
    <row r="725">
      <c r="A725" t="inlineStr">
        <is>
          <t>Actions Per Second (pre-Adrenalin)</t>
        </is>
      </c>
      <c r="B725">
        <f>1+MIN(150,150*(1-(1-(Inputs!$B$10+((C714=TRUE)*(F714-Calc!F22)))/150)*(1-((C711=TRUE)*F711*IF(AND(Inputs!$B$4&lt;&gt;"pvp",Inputs!$B$35&gt;0),(((S711-1)*(Skills!Y19*(1+Inputs!$B$33/100))+MIN((Skills!Y19*(1+Inputs!$B$33/100)),MAX(0,Inputs!$B$35-((S711-1)*Skills!D19))))/Inputs!$B$35),IF(Inputs!$B$4="pvp",MIN((Skills!Y19*(1+Inputs!$B$33/100)),15)/15,(Skills!Y19*(1+Inputs!$B$33/100))/Skills!D19)))/150)))/100</f>
        <v/>
      </c>
    </row>
    <row r="726">
      <c r="A726" t="inlineStr">
        <is>
          <t>Alchemic Adrenaline Uptime</t>
        </is>
      </c>
      <c r="B726">
        <f>(Skills!Y6*(1+Inputs!$B$33/100))/((Skills!Y6*(1+Inputs!$B$33/100))+(5/B725))</f>
        <v/>
      </c>
    </row>
    <row r="727">
      <c r="A727" t="inlineStr">
        <is>
          <t>Attack Speed Buff Bonus %</t>
        </is>
      </c>
      <c r="B727">
        <f>((C711=TRUE)*F711*IF(AND(Inputs!$B$4&lt;&gt;"pvp",Inputs!$B$35&gt;0),(((S711-1)*(Skills!Y19*(1+Inputs!$B$33/100))+MIN((Skills!Y19*(1+Inputs!$B$33/100)),MAX(0,Inputs!$B$35-((S711-1)*Skills!D19))))/Inputs!$B$35),IF(Inputs!$B$4="pvp",MIN((Skills!Y19*(1+Inputs!$B$33/100)),15)/15,(Skills!Y19*(1+Inputs!$B$33/100))/Skills!D19)))+((C699=TRUE)*F699*B726)</f>
        <v/>
      </c>
    </row>
    <row r="728">
      <c r="A728" t="inlineStr">
        <is>
          <t>Actions Per Second (final)</t>
        </is>
      </c>
      <c r="B728">
        <f>1+MIN(150,150*(1-(1-(Inputs!$B$10+((C714=TRUE)*(F714-Calc!F22)))/150)*(1-B727/150)))/100</f>
        <v/>
      </c>
    </row>
    <row r="729">
      <c r="A729" t="inlineStr">
        <is>
          <t>Skill + Buff Cast Rate</t>
        </is>
      </c>
      <c r="B729">
        <f>IF(AND(Inputs!$B$4&lt;&gt;"pvp",Inputs!$B$35&gt;0),SUMPRODUCT((Skills!E2:E31=TRUE)*(C694:C723=TRUE)*R694:R723*Skills!F2:F31)/Inputs!$B$35,SUMPRODUCT((Skills!E2:E31=TRUE)*(C694:C723=TRUE)*Q694:Q723*Skills!F2:F31))</f>
        <v/>
      </c>
    </row>
    <row r="730">
      <c r="A730" t="inlineStr">
        <is>
          <t>Showdown Casts Per Second</t>
        </is>
      </c>
      <c r="B730">
        <f>MAX(0,B728-B729)</f>
        <v/>
      </c>
    </row>
    <row r="731">
      <c r="A731" t="inlineStr">
        <is>
          <t>Average Buff Multiplier</t>
        </is>
      </c>
      <c r="B731">
        <f>(1+(((C713=TRUE)*F713*IF(AND(Inputs!$B$4&lt;&gt;"pvp",Inputs!$B$35&gt;0),(((S713-1)*(Skills!Y21*(1+Inputs!$B$33/100))+MIN((Skills!Y21*(1+Inputs!$B$33/100)),MAX(0,Inputs!$B$35-((S713-1)*Skills!D21))))/Inputs!$B$35),IF(Inputs!$B$4="pvp",MIN((Skills!Y21*(1+Inputs!$B$33/100)),15)/15,(Skills!Y21*(1+Inputs!$B$33/100))/Skills!D21)))+((C720=TRUE)*(F720-Calc!F28))+((C710=TRUE)*(F710-Calc!F18)))/100)*(1+((C707=TRUE)*F707*IF(AND(Inputs!$B$4&lt;&gt;"pvp",Inputs!$B$35&gt;0),(((S707-1)*(Skills!Y15*(1+Inputs!$B$33/100))+MIN((Skills!Y15*(1+Inputs!$B$33/100)),MAX(0,Inputs!$B$35-((S707-1)*Skills!D15))))/Inputs!$B$35),IF(Inputs!$B$4="pvp",MIN((Skills!Y15*(1+Inputs!$B$33/100)),15)/15,(Skills!Y15*(1+Inputs!$B$33/100))/Skills!D15)))/100)*(1+((C698=TRUE)*F698*B726)/100)</f>
        <v/>
      </c>
    </row>
    <row r="732">
      <c r="A732" t="inlineStr">
        <is>
          <t>Global Crit Rate Bonus %</t>
        </is>
      </c>
      <c r="B732">
        <f>IF(Inputs!$B$3&gt;=47,8,0)+((C712=TRUE)*F712*IF(AND(Inputs!$B$4&lt;&gt;"pvp",Inputs!$B$35&gt;0),(((S712-1)*(Skills!Y20*(1+Inputs!$B$33/100))+MIN((Skills!Y20*(1+Inputs!$B$33/100)),MAX(0,Inputs!$B$35-((S712-1)*Skills!D20))))/Inputs!$B$35),IF(Inputs!$B$4="pvp",MIN((Skills!Y20*(1+Inputs!$B$33/100)),15)/15,(Skills!Y20*(1+Inputs!$B$33/100))/Skills!D20)))</f>
        <v/>
      </c>
    </row>
    <row r="733">
      <c r="A733" t="inlineStr">
        <is>
          <t>Global Monster Damage-Taken Bonus %</t>
        </is>
      </c>
      <c r="B733">
        <f>IF(Inputs!$B$3&gt;=82,15,0)+((C708=TRUE)*F708*IF(AND(Inputs!$B$4&lt;&gt;"pvp",Inputs!$B$35&gt;0),(((S708-1)*(Skills!Y16*(1+Inputs!$B$33/100))+MIN((Skills!Y16*(1+Inputs!$B$33/100)),MAX(0,Inputs!$B$35-((S708-1)*Skills!D16))))/Inputs!$B$35),IF(Inputs!$B$4="pvp",MIN((Skills!Y16*(1+Inputs!$B$33/100)),15)/15,(Skills!Y16*(1+Inputs!$B$33/100))/Skills!D16)))</f>
        <v/>
      </c>
    </row>
    <row r="734">
      <c r="A734" t="inlineStr">
        <is>
          <t>Shadow Partner Average Multiplier</t>
        </is>
      </c>
      <c r="B734">
        <f>1+((C703=TRUE)*F703*I703*Skills!J11/100)/100</f>
        <v/>
      </c>
    </row>
    <row r="735">
      <c r="A735" t="inlineStr">
        <is>
          <t>Global Critical Damage Bonus % (Frailty Curse Mastery Lv.111)</t>
        </is>
      </c>
      <c r="B735">
        <f>IF(Inputs!$B$3&gt;=111,30,0)*IF(AND(Inputs!$B$4&lt;&gt;"pvp",Inputs!$B$35&gt;0),(((S708-1)*(Skills!Y16*(1+Inputs!$B$33/100))+MIN((Skills!Y16*(1+Inputs!$B$33/100)),MAX(0,Inputs!$B$35-((S708-1)*Skills!D16))))/Inputs!$B$35),IF(Inputs!$B$4="pvp",MIN((Skills!Y16*(1+Inputs!$B$33/100)),15)/15,(Skills!Y16*(1+Inputs!$B$33/100))/Skills!D16))</f>
        <v/>
      </c>
    </row>
    <row r="736">
      <c r="A736" s="5" t="inlineStr">
        <is>
          <t>TOTAL DPS</t>
        </is>
      </c>
      <c r="B736" s="5">
        <f>SUM(O694:O723)</f>
        <v/>
      </c>
    </row>
    <row r="739">
      <c r="A739" s="5" t="inlineStr">
        <is>
          <t>Stat: SKILL_DAMAGE %</t>
        </is>
      </c>
    </row>
    <row r="740">
      <c r="A740" s="8" t="inlineStr">
        <is>
          <t>Key</t>
        </is>
      </c>
      <c r="B740" s="8" t="inlineStr">
        <is>
          <t>Name</t>
        </is>
      </c>
      <c r="C740" s="8" t="inlineStr">
        <is>
          <t>Unlocked</t>
        </is>
      </c>
      <c r="D740" s="8" t="inlineStr">
        <is>
          <t>InputLevel</t>
        </is>
      </c>
      <c r="E740" s="8" t="inlineStr">
        <is>
          <t>Factor</t>
        </is>
      </c>
      <c r="F740" s="8" t="inlineStr">
        <is>
          <t>CoefficientPercent</t>
        </is>
      </c>
      <c r="G740" s="8" t="inlineStr">
        <is>
          <t>EffectiveHits</t>
        </is>
      </c>
      <c r="H740" s="8" t="inlineStr">
        <is>
          <t>ProcProbability</t>
        </is>
      </c>
      <c r="I740" s="8" t="inlineStr">
        <is>
          <t>MapleHeroMultiplier</t>
        </is>
      </c>
      <c r="J740" s="8" t="inlineStr">
        <is>
          <t>BaseDamage</t>
        </is>
      </c>
      <c r="K740" s="8" t="inlineStr">
        <is>
          <t>BaseHitDamage</t>
        </is>
      </c>
      <c r="L740" s="8" t="inlineStr">
        <is>
          <t>NonCritAvg</t>
        </is>
      </c>
      <c r="M740" s="8" t="inlineStr">
        <is>
          <t>CritAvg</t>
        </is>
      </c>
      <c r="N740" s="8" t="inlineStr">
        <is>
          <t>ExpectedDamage(perHit)</t>
        </is>
      </c>
      <c r="O740" s="8" t="inlineStr">
        <is>
          <t>DPS</t>
        </is>
      </c>
      <c r="P740" s="8" t="inlineStr">
        <is>
          <t>% of Total</t>
        </is>
      </c>
      <c r="Q740" s="8" t="inlineStr">
        <is>
          <t>InvCooldown</t>
        </is>
      </c>
      <c r="R740" s="8" t="inlineStr">
        <is>
          <t>CastsInFight</t>
        </is>
      </c>
      <c r="S740" s="8" t="inlineStr">
        <is>
          <t>HitRate(perSec)</t>
        </is>
      </c>
      <c r="U740" t="inlineStr">
        <is>
          <t>helpers</t>
        </is>
      </c>
    </row>
    <row r="741">
      <c r="A741">
        <f>Skills!A2</f>
        <v/>
      </c>
      <c r="B741">
        <f>Skills!B2</f>
        <v/>
      </c>
      <c r="C741">
        <f>Inputs!$B$3&gt;=100</f>
        <v/>
      </c>
      <c r="D741" t="inlineStr"/>
      <c r="E741" t="inlineStr"/>
      <c r="F741">
        <f>U745+Skills!O2</f>
        <v/>
      </c>
      <c r="G741">
        <f>Calc!G2</f>
        <v/>
      </c>
      <c r="H741">
        <f>Calc!H2</f>
        <v/>
      </c>
      <c r="I741">
        <f>IF(Skills!AA2&lt;&gt;"",1+(Skills!AA2/10)*(U742/1000)/100,1)</f>
        <v/>
      </c>
      <c r="J741">
        <f>(Inputs!$B$5*(1+Inputs!$B$6/100))*(F741/100)</f>
        <v/>
      </c>
      <c r="K741">
        <f>J741*(1+((Inputs!$B$11*(1+Inputs!$B$12/100))*0.01+Inputs!$B$13*0.0025)/100)*(1+Inputs!$B$14/100)*(1+IF(Inputs!$B$4="pvp",0,(1-Summary!$B$55)*(Inputs!$B$19+((C766=TRUE)*(F766-Calc!F27))+Skills!P2+B780)+Summary!$B$55*(Inputs!$B$20+Skills!Q2+B780))/100)*(1+Inputs!$B$15/100)*(5000/(6000+Inputs!$B$7*(1-Inputs!$B$18/100)))*(1+(Inputs!$B$23+((C769=TRUE)*(F769-Calc!F30)))/100)*(1+Skills!R2/100)*(1+(IF(Skills!A2="SHOWDOWN",Inputs!$B$16+((C762=TRUE)*(F762-Calc!F23)),(Inputs!$B$17+1)+((C768=TRUE)*(F768-Calc!F29))))/100)*(((1+(((C760=TRUE)*F760*IF(AND(Inputs!$B$4&lt;&gt;"pvp",Inputs!$B$35&gt;0),(((S760-1)*(Skills!Y21*(1+Inputs!$B$33/100))+MIN((Skills!Y21*(1+Inputs!$B$33/100)),MAX(0,Inputs!$B$35-((S760-1)*Skills!D21))))/Inputs!$B$35),IF(Inputs!$B$4="pvp",MIN((Skills!Y21*(1+Inputs!$B$33/100)),15)/15,(Skills!Y21*(1+Inputs!$B$33/100))/Skills!D21)))+((C767=TRUE)*(F767-Calc!F28))+((C757=TRUE)*(F757-Calc!F18)))/100)*(1+((C754=TRUE)*F754*IF(AND(Inputs!$B$4&lt;&gt;"pvp",Inputs!$B$35&gt;0),(((S754-1)*(Skills!Y15*(1+Inputs!$B$33/100))+MIN((Skills!Y15*(1+Inputs!$B$33/100)),MAX(0,Inputs!$B$35-((S754-1)*Skills!D15))))/Inputs!$B$35),IF(Inputs!$B$4="pvp",MIN((Skills!Y15*(1+Inputs!$B$33/100)),15)/15,(Skills!Y15*(1+Inputs!$B$33/100))/Skills!D15)))/100)*(1+((C745=TRUE)*F745*B773)/100))*B781*I741)</f>
        <v/>
      </c>
      <c r="L741">
        <f>K741*(MIN(Inputs!$B$21+((C763=TRUE)*(F763-Calc!F24)),Inputs!$B$22)/100+Inputs!$B$22/100)/2</f>
        <v/>
      </c>
      <c r="M741">
        <f>L741*(1+(Inputs!$B$9+((C765=TRUE)*(F765-Calc!F26))+B782)/100)</f>
        <v/>
      </c>
      <c r="N741">
        <f>L741*(1-MIN((Inputs!$B$8+((C764=TRUE)*(F764-Calc!F25))+B779),100)/100)+M741*(MIN((Inputs!$B$8+((C764=TRUE)*(F764-Calc!F25))+B779),100)/100)</f>
        <v/>
      </c>
      <c r="O741">
        <f>IF(C741,Skills!G2*N741*B777*IF(Inputs!$B$4="pvp",1,(1-Summary!$B$55)*(1)+Summary!$B$55*(MIN((6+Inputs!$B$32),Inputs!$B$37))),0)</f>
        <v/>
      </c>
      <c r="P741">
        <f>IF(B783=0,0,O741/B783)</f>
        <v/>
      </c>
      <c r="Q741" t="n">
        <v>0</v>
      </c>
      <c r="R741" t="n">
        <v>0</v>
      </c>
      <c r="S741">
        <f>IFERROR(O741/N741,0)</f>
        <v/>
      </c>
      <c r="U741">
        <f>MAX(0,(Inputs!$B$3-100)*3)+Inputs!$B$27+Inputs!$B$28</f>
        <v/>
      </c>
    </row>
    <row r="742">
      <c r="A742">
        <f>Skills!A3</f>
        <v/>
      </c>
      <c r="B742">
        <f>Skills!B3</f>
        <v/>
      </c>
      <c r="C742">
        <f>Inputs!$B$3&gt;=35</f>
        <v/>
      </c>
      <c r="D742">
        <f>IF(Skills!C3=1,60+Inputs!$B$24+Inputs!$B$28,IF(Skills!C3=2,90+Inputs!$B$25+Inputs!$B$28,IF(Skills!C3=3,120+Inputs!$B$26+Inputs!$B$28,MAX(0,(Inputs!$B$3-100)*3)+Inputs!$B$27+Inputs!$B$28)))</f>
        <v/>
      </c>
      <c r="E742">
        <f>INDEX(FactorTable!$B$2:$Y$301, MATCH(ROUND(MIN(300,MAX(1,D742)),0), FactorTable!$A$2:$A$301,0), Skills!M3+1)</f>
        <v/>
      </c>
      <c r="F742">
        <f>IF(Skills!N3=TRUE,(Skills!L3/10)*(E742/1000),Skills!L3/10)+Skills!O3</f>
        <v/>
      </c>
      <c r="G742">
        <f>Calc!G3</f>
        <v/>
      </c>
      <c r="H742">
        <f>Calc!H3</f>
        <v/>
      </c>
      <c r="I742">
        <f>IF(Skills!AA3&lt;&gt;"",1+(Skills!AA3/10)*(U742/1000)/100,1)</f>
        <v/>
      </c>
      <c r="J742">
        <f>(Inputs!$B$5*(1+Inputs!$B$6/100))*(F742/100)</f>
        <v/>
      </c>
      <c r="K742">
        <f>J742*(1+((Inputs!$B$11*(1+Inputs!$B$12/100))*0.01+Inputs!$B$13*0.0025)/100)*(1+Inputs!$B$14/100)*(1+IF(Inputs!$B$4="pvp",0,(1-Summary!$B$55)*(Inputs!$B$19+((C766=TRUE)*(F766-Calc!F27))+Skills!P3+B780)+Summary!$B$55*(Inputs!$B$20+Skills!Q3+B780))/100)*(1+Inputs!$B$15/100)*(5000/(6000+Inputs!$B$7*(1-Inputs!$B$18/100)))*(1+(Inputs!$B$23+((C769=TRUE)*(F769-Calc!F30)))/100)*(1+Skills!R3/100)*(1+(IF(Skills!A3="SHOWDOWN",Inputs!$B$16+((C762=TRUE)*(F762-Calc!F23)),(Inputs!$B$17+1)+((C768=TRUE)*(F768-Calc!F29))))/100)*(((1+(((C760=TRUE)*F760*IF(AND(Inputs!$B$4&lt;&gt;"pvp",Inputs!$B$35&gt;0),(((S760-1)*(Skills!Y21*(1+Inputs!$B$33/100))+MIN((Skills!Y21*(1+Inputs!$B$33/100)),MAX(0,Inputs!$B$35-((S760-1)*Skills!D21))))/Inputs!$B$35),IF(Inputs!$B$4="pvp",MIN((Skills!Y21*(1+Inputs!$B$33/100)),15)/15,(Skills!Y21*(1+Inputs!$B$33/100))/Skills!D21)))+((C767=TRUE)*(F767-Calc!F28))+((C757=TRUE)*(F757-Calc!F18)))/100)*(1+((C754=TRUE)*F754*IF(AND(Inputs!$B$4&lt;&gt;"pvp",Inputs!$B$35&gt;0),(((S754-1)*(Skills!Y15*(1+Inputs!$B$33/100))+MIN((Skills!Y15*(1+Inputs!$B$33/100)),MAX(0,Inputs!$B$35-((S754-1)*Skills!D15))))/Inputs!$B$35),IF(Inputs!$B$4="pvp",MIN((Skills!Y15*(1+Inputs!$B$33/100)),15)/15,(Skills!Y15*(1+Inputs!$B$33/100))/Skills!D15)))/100)*(1+((C745=TRUE)*F745*B773)/100))*B781*I742)</f>
        <v/>
      </c>
      <c r="L742">
        <f>K742*(MIN(Inputs!$B$21+((C763=TRUE)*(F763-Calc!F24)),Inputs!$B$22)/100+Inputs!$B$22/100)/2</f>
        <v/>
      </c>
      <c r="M742">
        <f>L742*(1+(Inputs!$B$9+((C765=TRUE)*(F765-Calc!F26))+B782)/100)</f>
        <v/>
      </c>
      <c r="N742">
        <f>L742*(1-MIN((Inputs!$B$8+((C764=TRUE)*(F764-Calc!F25))+B779),100)/100)+M742*(MIN((Inputs!$B$8+((C764=TRUE)*(F764-Calc!F25))+B779),100)/100)</f>
        <v/>
      </c>
      <c r="O742">
        <f>IF(C742,H742*N742*IF(AND(Inputs!$B$4&lt;&gt;"pvp",Inputs!$B$35&gt;0),((Skills!G3*((R742-1)*IF(Skills!H3&gt;0,Skills!I3/Skills!H3,1)+IF(Skills!H3&gt;0,MIN(Skills!I3,MAX(0,Inputs!$B$35-((R742-1)*IF(Inputs!$B$4="pvp",15,MAX(0.1,Skills!D3-IF(Skills!E3=TRUE,Inputs!$B$31,0))))))/Skills!H3,1)))/Inputs!$B$35),G742*Q742)*IF(Inputs!$B$4="pvp",1,(1-Summary!$B$55)*(1)+Summary!$B$55*(MIN(Skills!W3,Inputs!$B$37))),0)</f>
        <v/>
      </c>
      <c r="P742">
        <f>IF(B783=0,0,O742/B783)</f>
        <v/>
      </c>
      <c r="Q742">
        <f>IFERROR(1/IF(Inputs!$B$4="pvp",15,MAX(0.1,Skills!D3-IF(Skills!E3=TRUE,Inputs!$B$31,0))),0)</f>
        <v/>
      </c>
      <c r="R742">
        <f>IF(AND(Inputs!$B$4&lt;&gt;"pvp",Inputs!$B$35&gt;0),(INT(Inputs!$B$35/IF(Inputs!$B$4="pvp",15,MAX(0.1,Skills!D3-IF(Skills!E3=TRUE,Inputs!$B$31,0))))+1),0)</f>
        <v/>
      </c>
      <c r="S742">
        <f>IFERROR(O742/N742,0)</f>
        <v/>
      </c>
      <c r="U742">
        <f>INDEX(FactorTable!$B$2:$Y$301, MATCH(ROUND(MIN(300,MAX(1,U741)),0), FactorTable!$A$2:$A$301,0), 24)</f>
        <v/>
      </c>
    </row>
    <row r="743">
      <c r="A743">
        <f>Skills!A4</f>
        <v/>
      </c>
      <c r="B743">
        <f>Skills!B4</f>
        <v/>
      </c>
      <c r="C743">
        <f>Inputs!$B$3&gt;=40</f>
        <v/>
      </c>
      <c r="D743">
        <f>IF(Skills!C4=1,60+Inputs!$B$24+Inputs!$B$28,IF(Skills!C4=2,90+Inputs!$B$25+Inputs!$B$28,IF(Skills!C4=3,120+Inputs!$B$26+Inputs!$B$28,MAX(0,(Inputs!$B$3-100)*3)+Inputs!$B$27+Inputs!$B$28)))</f>
        <v/>
      </c>
      <c r="E743">
        <f>INDEX(FactorTable!$B$2:$Y$301, MATCH(ROUND(MIN(300,MAX(1,D743)),0), FactorTable!$A$2:$A$301,0), Skills!M4+1)</f>
        <v/>
      </c>
      <c r="F743">
        <f>IF(Skills!N4=TRUE,(Skills!L4/10)*(E743/1000),Skills!L4/10)+Skills!O4</f>
        <v/>
      </c>
      <c r="G743">
        <f>Calc!G4</f>
        <v/>
      </c>
      <c r="H743">
        <f>Calc!H4</f>
        <v/>
      </c>
      <c r="I743">
        <f>IF(Skills!AA4&lt;&gt;"",1+(Skills!AA4/10)*(U742/1000)/100,1)</f>
        <v/>
      </c>
      <c r="J743">
        <f>(Inputs!$B$5*(1+Inputs!$B$6/100))*(F743/100)</f>
        <v/>
      </c>
      <c r="K743">
        <f>J743*(1+((Inputs!$B$11*(1+Inputs!$B$12/100))*0.01+Inputs!$B$13*0.0025)/100)*(1+Inputs!$B$14/100)*(1+IF(Inputs!$B$4="pvp",0,(1-Summary!$B$55)*(Inputs!$B$19+((C766=TRUE)*(F766-Calc!F27))+Skills!P4+B780)+Summary!$B$55*(Inputs!$B$20+Skills!Q4+B780))/100)*(1+Inputs!$B$15/100)*(5000/(6000+Inputs!$B$7*(1-Inputs!$B$18/100)))*(1+(Inputs!$B$23+((C769=TRUE)*(F769-Calc!F30)))/100)*(1+Skills!R4/100)*(1+(IF(Skills!A4="SHOWDOWN",Inputs!$B$16+((C762=TRUE)*(F762-Calc!F23)),(Inputs!$B$17+1)+((C768=TRUE)*(F768-Calc!F29))))/100)*(((1+(((C760=TRUE)*F760*IF(AND(Inputs!$B$4&lt;&gt;"pvp",Inputs!$B$35&gt;0),(((S760-1)*(Skills!Y21*(1+Inputs!$B$33/100))+MIN((Skills!Y21*(1+Inputs!$B$33/100)),MAX(0,Inputs!$B$35-((S760-1)*Skills!D21))))/Inputs!$B$35),IF(Inputs!$B$4="pvp",MIN((Skills!Y21*(1+Inputs!$B$33/100)),15)/15,(Skills!Y21*(1+Inputs!$B$33/100))/Skills!D21)))+((C767=TRUE)*(F767-Calc!F28))+((C757=TRUE)*(F757-Calc!F18)))/100)*(1+((C754=TRUE)*F754*IF(AND(Inputs!$B$4&lt;&gt;"pvp",Inputs!$B$35&gt;0),(((S754-1)*(Skills!Y15*(1+Inputs!$B$33/100))+MIN((Skills!Y15*(1+Inputs!$B$33/100)),MAX(0,Inputs!$B$35-((S754-1)*Skills!D15))))/Inputs!$B$35),IF(Inputs!$B$4="pvp",MIN((Skills!Y15*(1+Inputs!$B$33/100)),15)/15,(Skills!Y15*(1+Inputs!$B$33/100))/Skills!D15)))/100)*(1+((C745=TRUE)*F745*B773)/100))*B781*I743)</f>
        <v/>
      </c>
      <c r="L743">
        <f>K743*(MIN(Inputs!$B$21+((C763=TRUE)*(F763-Calc!F24)),Inputs!$B$22)/100+Inputs!$B$22/100)/2</f>
        <v/>
      </c>
      <c r="M743">
        <f>L743*(1+(Inputs!$B$9+((C765=TRUE)*(F765-Calc!F26))+B782)/100)</f>
        <v/>
      </c>
      <c r="N743">
        <f>L743*(1-MIN((Inputs!$B$8+((C764=TRUE)*(F764-Calc!F25))+B779),100)/100)+M743*(MIN((Inputs!$B$8+((C764=TRUE)*(F764-Calc!F25))+B779),100)/100)</f>
        <v/>
      </c>
      <c r="O743">
        <f>IF(C743,H743*N743*IF(AND(Inputs!$B$4&lt;&gt;"pvp",Inputs!$B$35&gt;0),((Skills!G4*((R743-1)*IF(Skills!H4&gt;0,Skills!I4/Skills!H4,1)+IF(Skills!H4&gt;0,MIN(Skills!I4,MAX(0,Inputs!$B$35-((R743-1)*IF(Inputs!$B$4="pvp",15,MAX(0.1,Skills!D4-IF(Skills!E4=TRUE,Inputs!$B$31,0))))))/Skills!H4,1)))/Inputs!$B$35),G743*Q743)*IF(Inputs!$B$4="pvp",1,(1-Summary!$B$55)*(1)+Summary!$B$55*(MIN(Skills!W4,Inputs!$B$37))),0)</f>
        <v/>
      </c>
      <c r="P743">
        <f>IF(B783=0,0,O743/B783)</f>
        <v/>
      </c>
      <c r="Q743">
        <f>IFERROR(1/IF(Inputs!$B$4="pvp",15,MAX(0.1,Skills!D4-IF(Skills!E4=TRUE,Inputs!$B$31,0))),0)</f>
        <v/>
      </c>
      <c r="R743">
        <f>IF(AND(Inputs!$B$4&lt;&gt;"pvp",Inputs!$B$35&gt;0),(INT(Inputs!$B$35/IF(Inputs!$B$4="pvp",15,MAX(0.1,Skills!D4-IF(Skills!E4=TRUE,Inputs!$B$31,0))))+1),0)</f>
        <v/>
      </c>
      <c r="S743">
        <f>IFERROR(O743/N743,0)</f>
        <v/>
      </c>
      <c r="U743">
        <f>MAX(0,(Inputs!$B$3-100)*3)+Inputs!$B$27+Inputs!$B$28</f>
        <v/>
      </c>
    </row>
    <row r="744">
      <c r="A744">
        <f>Skills!A5</f>
        <v/>
      </c>
      <c r="B744">
        <f>Skills!B5</f>
        <v/>
      </c>
      <c r="C744">
        <f>Inputs!$B$3&gt;=63</f>
        <v/>
      </c>
      <c r="D744">
        <f>IF(Skills!C5=1,60+Inputs!$B$24+Inputs!$B$28,IF(Skills!C5=2,90+Inputs!$B$25+Inputs!$B$28,IF(Skills!C5=3,120+Inputs!$B$26+Inputs!$B$28,MAX(0,(Inputs!$B$3-100)*3)+Inputs!$B$27+Inputs!$B$28)))</f>
        <v/>
      </c>
      <c r="E744">
        <f>INDEX(FactorTable!$B$2:$Y$301, MATCH(ROUND(MIN(300,MAX(1,D744)),0), FactorTable!$A$2:$A$301,0), Skills!M5+1)</f>
        <v/>
      </c>
      <c r="F744">
        <f>IF(Skills!N5=TRUE,(Skills!L5/10)*(E744/1000),Skills!L5/10)+Skills!O5</f>
        <v/>
      </c>
      <c r="G744">
        <f>Calc!G5</f>
        <v/>
      </c>
      <c r="H744">
        <f>Calc!H5</f>
        <v/>
      </c>
      <c r="I744">
        <f>IF(Skills!AA5&lt;&gt;"",1+(Skills!AA5/10)*(U742/1000)/100,1)</f>
        <v/>
      </c>
      <c r="J744">
        <f>(Inputs!$B$5*(1+Inputs!$B$6/100))*(F744/100)</f>
        <v/>
      </c>
      <c r="K744">
        <f>J744*(1+((Inputs!$B$11*(1+Inputs!$B$12/100))*0.01+Inputs!$B$13*0.0025)/100)*(1+Inputs!$B$14/100)*(1+IF(Inputs!$B$4="pvp",0,(1-Summary!$B$55)*(Inputs!$B$19+((C766=TRUE)*(F766-Calc!F27))+Skills!P5+B780)+Summary!$B$55*(Inputs!$B$20+Skills!Q5+B780))/100)*(1+Inputs!$B$15/100)*(5000/(6000+Inputs!$B$7*(1-Inputs!$B$18/100)))*(1+(Inputs!$B$23+((C769=TRUE)*(F769-Calc!F30)))/100)*(1+Skills!R5/100)*(1+(IF(Skills!A5="SHOWDOWN",Inputs!$B$16+((C762=TRUE)*(F762-Calc!F23)),(Inputs!$B$17+1)+((C768=TRUE)*(F768-Calc!F29))))/100)*(((1+(((C760=TRUE)*F760*IF(AND(Inputs!$B$4&lt;&gt;"pvp",Inputs!$B$35&gt;0),(((S760-1)*(Skills!Y21*(1+Inputs!$B$33/100))+MIN((Skills!Y21*(1+Inputs!$B$33/100)),MAX(0,Inputs!$B$35-((S760-1)*Skills!D21))))/Inputs!$B$35),IF(Inputs!$B$4="pvp",MIN((Skills!Y21*(1+Inputs!$B$33/100)),15)/15,(Skills!Y21*(1+Inputs!$B$33/100))/Skills!D21)))+((C767=TRUE)*(F767-Calc!F28))+((C757=TRUE)*(F757-Calc!F18)))/100)*(1+((C754=TRUE)*F754*IF(AND(Inputs!$B$4&lt;&gt;"pvp",Inputs!$B$35&gt;0),(((S754-1)*(Skills!Y15*(1+Inputs!$B$33/100))+MIN((Skills!Y15*(1+Inputs!$B$33/100)),MAX(0,Inputs!$B$35-((S754-1)*Skills!D15))))/Inputs!$B$35),IF(Inputs!$B$4="pvp",MIN((Skills!Y15*(1+Inputs!$B$33/100)),15)/15,(Skills!Y15*(1+Inputs!$B$33/100))/Skills!D15)))/100)*(1+((C745=TRUE)*F745*B773)/100))*B781*I744)</f>
        <v/>
      </c>
      <c r="L744">
        <f>K744*(MIN(Inputs!$B$21+((C763=TRUE)*(F763-Calc!F24)),Inputs!$B$22)/100+Inputs!$B$22/100)/2</f>
        <v/>
      </c>
      <c r="M744">
        <f>L744*(1+(Inputs!$B$9+((C765=TRUE)*(F765-Calc!F26))+B782)/100)</f>
        <v/>
      </c>
      <c r="N744">
        <f>L744*(1-MIN((Inputs!$B$8+((C764=TRUE)*(F764-Calc!F25))+B779),100)/100)+M744*(MIN((Inputs!$B$8+((C764=TRUE)*(F764-Calc!F25))+B779),100)/100)</f>
        <v/>
      </c>
      <c r="O744">
        <f>IF(C744,H744*N744*IF(AND(Inputs!$B$4&lt;&gt;"pvp",Inputs!$B$35&gt;0),((Skills!G5*((R744-1)*IF(Skills!H5&gt;0,Skills!I5/Skills!H5,1)+IF(Skills!H5&gt;0,MIN(Skills!I5,MAX(0,Inputs!$B$35-((R744-1)*IF(Inputs!$B$4="pvp",15,MAX(0.1,Skills!D5-IF(Skills!E5=TRUE,Inputs!$B$31,0))))))/Skills!H5,1)))/Inputs!$B$35),G744*Q744)*IF(Inputs!$B$4="pvp",1,(1-Summary!$B$55)*(1)+Summary!$B$55*(MIN(Skills!W5,Inputs!$B$37))),0)</f>
        <v/>
      </c>
      <c r="P744">
        <f>IF(B783=0,0,O744/B783)</f>
        <v/>
      </c>
      <c r="Q744">
        <f>IFERROR(1/IF(Inputs!$B$4="pvp",15,MAX(0.1,Skills!D5-IF(Skills!E5=TRUE,Inputs!$B$31,0))),0)</f>
        <v/>
      </c>
      <c r="R744">
        <f>IF(AND(Inputs!$B$4&lt;&gt;"pvp",Inputs!$B$35&gt;0),(INT(Inputs!$B$35/IF(Inputs!$B$4="pvp",15,MAX(0.1,Skills!D5-IF(Skills!E5=TRUE,Inputs!$B$31,0))))+1),0)</f>
        <v/>
      </c>
      <c r="S744">
        <f>IFERROR(O744/N744,0)</f>
        <v/>
      </c>
      <c r="U744">
        <f>INDEX(FactorTable!$B$2:$Y$301, MATCH(ROUND(MIN(300,MAX(1,U743)),0), FactorTable!$A$2:$A$301,0), 22)</f>
        <v/>
      </c>
    </row>
    <row r="745">
      <c r="A745">
        <f>Skills!A6</f>
        <v/>
      </c>
      <c r="B745">
        <f>Skills!B6</f>
        <v/>
      </c>
      <c r="C745">
        <f>Inputs!$B$3&gt;=66</f>
        <v/>
      </c>
      <c r="D745">
        <f>IF(Skills!C6=1,60+Inputs!$B$24+Inputs!$B$28,IF(Skills!C6=2,90+Inputs!$B$25+Inputs!$B$28,IF(Skills!C6=3,120+Inputs!$B$26+Inputs!$B$28,MAX(0,(Inputs!$B$3-100)*3)+Inputs!$B$27+Inputs!$B$28)))</f>
        <v/>
      </c>
      <c r="E745">
        <f>INDEX(FactorTable!$B$2:$Y$301, MATCH(ROUND(MIN(300,MAX(1,D745)),0), FactorTable!$A$2:$A$301,0), Skills!M6+1)</f>
        <v/>
      </c>
      <c r="F745">
        <f>IF(Skills!N6=TRUE,(Skills!L6/10)*(E745/1000),Skills!L6/10)+Skills!O6</f>
        <v/>
      </c>
      <c r="G745">
        <f>Calc!G6</f>
        <v/>
      </c>
      <c r="H745">
        <f>Calc!H6</f>
        <v/>
      </c>
      <c r="I745">
        <f>IF(Skills!AA6&lt;&gt;"",1+(Skills!AA6/10)*(U742/1000)/100,1)</f>
        <v/>
      </c>
      <c r="J745" t="inlineStr"/>
      <c r="K745" t="inlineStr"/>
      <c r="L745" t="inlineStr"/>
      <c r="M745" t="inlineStr"/>
      <c r="N745" t="inlineStr"/>
      <c r="O745" t="n">
        <v>0</v>
      </c>
      <c r="P745">
        <f>IF(B783=0,0,O745/B783)</f>
        <v/>
      </c>
      <c r="Q745" t="n">
        <v>0</v>
      </c>
      <c r="R745" t="n">
        <v>0</v>
      </c>
      <c r="S745">
        <f>IFERROR(O745/N745,0)</f>
        <v/>
      </c>
      <c r="U745">
        <f>290*U744/1000</f>
        <v/>
      </c>
    </row>
    <row r="746">
      <c r="A746">
        <f>Skills!A7</f>
        <v/>
      </c>
      <c r="B746">
        <f>Skills!B7</f>
        <v/>
      </c>
      <c r="C746">
        <f>Inputs!$B$3&gt;=66</f>
        <v/>
      </c>
      <c r="D746">
        <f>IF(Skills!C7=1,60+Inputs!$B$24+Inputs!$B$28,IF(Skills!C7=2,90+Inputs!$B$25+Inputs!$B$28,IF(Skills!C7=3,120+Inputs!$B$26+Inputs!$B$28,MAX(0,(Inputs!$B$3-100)*3)+Inputs!$B$27+Inputs!$B$28)))</f>
        <v/>
      </c>
      <c r="E746">
        <f>INDEX(FactorTable!$B$2:$Y$301, MATCH(ROUND(MIN(300,MAX(1,D746)),0), FactorTable!$A$2:$A$301,0), Skills!M7+1)</f>
        <v/>
      </c>
      <c r="F746">
        <f>IF(Skills!N7=TRUE,(Skills!L7/10)*(E746/1000),Skills!L7/10)+Skills!O7</f>
        <v/>
      </c>
      <c r="G746">
        <f>Calc!G7</f>
        <v/>
      </c>
      <c r="H746">
        <f>Calc!H7</f>
        <v/>
      </c>
      <c r="I746">
        <f>IF(Skills!AA7&lt;&gt;"",1+(Skills!AA7/10)*(U742/1000)/100,1)</f>
        <v/>
      </c>
      <c r="J746" t="inlineStr"/>
      <c r="K746" t="inlineStr"/>
      <c r="L746" t="inlineStr"/>
      <c r="M746" t="inlineStr"/>
      <c r="N746" t="inlineStr"/>
      <c r="O746" t="n">
        <v>0</v>
      </c>
      <c r="P746">
        <f>IF(B783=0,0,O746/B783)</f>
        <v/>
      </c>
      <c r="Q746" t="n">
        <v>0</v>
      </c>
      <c r="R746" t="n">
        <v>0</v>
      </c>
      <c r="S746">
        <f>IFERROR(O746/N746,0)</f>
        <v/>
      </c>
    </row>
    <row r="747">
      <c r="A747">
        <f>Skills!A8</f>
        <v/>
      </c>
      <c r="B747">
        <f>Skills!B8</f>
        <v/>
      </c>
      <c r="C747">
        <f>Inputs!$B$3&gt;=69</f>
        <v/>
      </c>
      <c r="D747">
        <f>IF(Skills!C8=1,60+Inputs!$B$24+Inputs!$B$28,IF(Skills!C8=2,90+Inputs!$B$25+Inputs!$B$28,IF(Skills!C8=3,120+Inputs!$B$26+Inputs!$B$28,MAX(0,(Inputs!$B$3-100)*3)+Inputs!$B$27+Inputs!$B$28)))</f>
        <v/>
      </c>
      <c r="E747">
        <f>INDEX(FactorTable!$B$2:$Y$301, MATCH(ROUND(MIN(300,MAX(1,D747)),0), FactorTable!$A$2:$A$301,0), Skills!M8+1)</f>
        <v/>
      </c>
      <c r="F747">
        <f>IF(Skills!N8=TRUE,(Skills!L8/10)*(E747/1000),Skills!L8/10)+Skills!O8</f>
        <v/>
      </c>
      <c r="G747">
        <f>Calc!G8</f>
        <v/>
      </c>
      <c r="H747">
        <f>Calc!H8</f>
        <v/>
      </c>
      <c r="I747">
        <f>IF(Skills!AA8&lt;&gt;"",1+(Skills!AA8/10)*(U742/1000)/100,1)</f>
        <v/>
      </c>
      <c r="J747">
        <f>(Inputs!$B$5*(1+Inputs!$B$6/100))*(F747/100)</f>
        <v/>
      </c>
      <c r="K747">
        <f>J747*(1+((Inputs!$B$11*(1+Inputs!$B$12/100))*0.01+Inputs!$B$13*0.0025)/100)*(1+Inputs!$B$14/100)*(1+IF(Inputs!$B$4="pvp",0,(1-Summary!$B$55)*(Inputs!$B$19+((C766=TRUE)*(F766-Calc!F27))+Skills!P8+B780)+Summary!$B$55*(Inputs!$B$20+Skills!Q8+B780))/100)*(1+Inputs!$B$15/100)*(5000/(6000+Inputs!$B$7*(1-Inputs!$B$18/100)))*(1+(Inputs!$B$23+((C769=TRUE)*(F769-Calc!F30)))/100)*(1+Skills!R8/100)*(1+(IF(Skills!A8="SHOWDOWN",Inputs!$B$16+((C762=TRUE)*(F762-Calc!F23)),(Inputs!$B$17+1)+((C768=TRUE)*(F768-Calc!F29))))/100)*(((1+(((C760=TRUE)*F760*IF(AND(Inputs!$B$4&lt;&gt;"pvp",Inputs!$B$35&gt;0),(((S760-1)*(Skills!Y21*(1+Inputs!$B$33/100))+MIN((Skills!Y21*(1+Inputs!$B$33/100)),MAX(0,Inputs!$B$35-((S760-1)*Skills!D21))))/Inputs!$B$35),IF(Inputs!$B$4="pvp",MIN((Skills!Y21*(1+Inputs!$B$33/100)),15)/15,(Skills!Y21*(1+Inputs!$B$33/100))/Skills!D21)))+((C767=TRUE)*(F767-Calc!F28))+((C757=TRUE)*(F757-Calc!F18)))/100)*(1+((C754=TRUE)*F754*IF(AND(Inputs!$B$4&lt;&gt;"pvp",Inputs!$B$35&gt;0),(((S754-1)*(Skills!Y15*(1+Inputs!$B$33/100))+MIN((Skills!Y15*(1+Inputs!$B$33/100)),MAX(0,Inputs!$B$35-((S754-1)*Skills!D15))))/Inputs!$B$35),IF(Inputs!$B$4="pvp",MIN((Skills!Y15*(1+Inputs!$B$33/100)),15)/15,(Skills!Y15*(1+Inputs!$B$33/100))/Skills!D15)))/100)*(1+((C745=TRUE)*F745*B773)/100))*B781*I747)</f>
        <v/>
      </c>
      <c r="L747">
        <f>K747*(MIN(Inputs!$B$21+((C763=TRUE)*(F763-Calc!F24)),Inputs!$B$22)/100+Inputs!$B$22/100)/2</f>
        <v/>
      </c>
      <c r="M747">
        <f>L747*(1+(Inputs!$B$9+((C765=TRUE)*(F765-Calc!F26))+B782)/100)</f>
        <v/>
      </c>
      <c r="N747">
        <f>L747*(1-MIN((Inputs!$B$8+((C764=TRUE)*(F764-Calc!F25))+B779),100)/100)+M747*(MIN((Inputs!$B$8+((C764=TRUE)*(F764-Calc!F25))+B779),100)/100)</f>
        <v/>
      </c>
      <c r="O747">
        <f>IF(C747,H747*N747*IF(AND(Inputs!$B$4&lt;&gt;"pvp",Inputs!$B$35&gt;0),((Skills!G8*((R747-1)*IF(Skills!H8&gt;0,Skills!I8/Skills!H8,1)+IF(Skills!H8&gt;0,MIN(Skills!I8,MAX(0,Inputs!$B$35-((R747-1)*IF(Inputs!$B$4="pvp",15,MAX(0.1,Skills!D8-IF(Skills!E8=TRUE,Inputs!$B$31,0))))))/Skills!H8,1)))/Inputs!$B$35),G747*Q747)*IF(Inputs!$B$4="pvp",1,(1-Summary!$B$55)*(1)+Summary!$B$55*(MIN(Skills!W8,Inputs!$B$37))),0)</f>
        <v/>
      </c>
      <c r="P747">
        <f>IF(B783=0,0,O747/B783)</f>
        <v/>
      </c>
      <c r="Q747">
        <f>IFERROR(1/IF(Inputs!$B$4="pvp",15,MAX(0.1,Skills!D8-IF(Skills!E8=TRUE,Inputs!$B$31,0))),0)</f>
        <v/>
      </c>
      <c r="R747">
        <f>IF(AND(Inputs!$B$4&lt;&gt;"pvp",Inputs!$B$35&gt;0),(INT(Inputs!$B$35/IF(Inputs!$B$4="pvp",15,MAX(0.1,Skills!D8-IF(Skills!E8=TRUE,Inputs!$B$31,0))))+1),0)</f>
        <v/>
      </c>
      <c r="S747">
        <f>IFERROR(O747/N747,0)</f>
        <v/>
      </c>
    </row>
    <row r="748">
      <c r="A748">
        <f>Skills!A9</f>
        <v/>
      </c>
      <c r="B748">
        <f>Skills!B9</f>
        <v/>
      </c>
      <c r="C748">
        <f>Inputs!$B$3&gt;=72</f>
        <v/>
      </c>
      <c r="D748">
        <f>IF(Skills!C9=1,60+Inputs!$B$24+Inputs!$B$28,IF(Skills!C9=2,90+Inputs!$B$25+Inputs!$B$28,IF(Skills!C9=3,120+Inputs!$B$26+Inputs!$B$28,MAX(0,(Inputs!$B$3-100)*3)+Inputs!$B$27+Inputs!$B$28)))</f>
        <v/>
      </c>
      <c r="E748">
        <f>INDEX(FactorTable!$B$2:$Y$301, MATCH(ROUND(MIN(300,MAX(1,D748)),0), FactorTable!$A$2:$A$301,0), Skills!M9+1)</f>
        <v/>
      </c>
      <c r="F748">
        <f>IF(Skills!N9=TRUE,(Skills!L9/10)*(E748/1000),Skills!L9/10)+Skills!O9</f>
        <v/>
      </c>
      <c r="G748">
        <f>Calc!G9</f>
        <v/>
      </c>
      <c r="H748">
        <f>Calc!H9</f>
        <v/>
      </c>
      <c r="I748">
        <f>IF(Skills!AA9&lt;&gt;"",1+(Skills!AA9/10)*(U742/1000)/100,1)</f>
        <v/>
      </c>
      <c r="J748">
        <f>(Inputs!$B$5*(1+Inputs!$B$6/100))*(F748/100)</f>
        <v/>
      </c>
      <c r="K748">
        <f>J748*(1+((Inputs!$B$11*(1+Inputs!$B$12/100))*0.01+Inputs!$B$13*0.0025)/100)*(1+Inputs!$B$14/100)*(1+IF(Inputs!$B$4="pvp",0,(1-Summary!$B$55)*(Inputs!$B$19+((C766=TRUE)*(F766-Calc!F27))+Skills!P9+B780)+Summary!$B$55*(Inputs!$B$20+Skills!Q9+B780))/100)*(1+Inputs!$B$15/100)*(5000/(6000+Inputs!$B$7*(1-Inputs!$B$18/100)))*(1+(Inputs!$B$23+((C769=TRUE)*(F769-Calc!F30)))/100)*(1+Skills!R9/100)*(1+(IF(Skills!A9="SHOWDOWN",Inputs!$B$16+((C762=TRUE)*(F762-Calc!F23)),(Inputs!$B$17+1)+((C768=TRUE)*(F768-Calc!F29))))/100)*(((1+(((C760=TRUE)*F760*IF(AND(Inputs!$B$4&lt;&gt;"pvp",Inputs!$B$35&gt;0),(((S760-1)*(Skills!Y21*(1+Inputs!$B$33/100))+MIN((Skills!Y21*(1+Inputs!$B$33/100)),MAX(0,Inputs!$B$35-((S760-1)*Skills!D21))))/Inputs!$B$35),IF(Inputs!$B$4="pvp",MIN((Skills!Y21*(1+Inputs!$B$33/100)),15)/15,(Skills!Y21*(1+Inputs!$B$33/100))/Skills!D21)))+((C767=TRUE)*(F767-Calc!F28))+((C757=TRUE)*(F757-Calc!F18)))/100)*(1+((C754=TRUE)*F754*IF(AND(Inputs!$B$4&lt;&gt;"pvp",Inputs!$B$35&gt;0),(((S754-1)*(Skills!Y15*(1+Inputs!$B$33/100))+MIN((Skills!Y15*(1+Inputs!$B$33/100)),MAX(0,Inputs!$B$35-((S754-1)*Skills!D15))))/Inputs!$B$35),IF(Inputs!$B$4="pvp",MIN((Skills!Y15*(1+Inputs!$B$33/100)),15)/15,(Skills!Y15*(1+Inputs!$B$33/100))/Skills!D15)))/100)*(1+((C745=TRUE)*F745*B773)/100))*B781*I748)</f>
        <v/>
      </c>
      <c r="L748">
        <f>K748*(MIN(Inputs!$B$21+((C763=TRUE)*(F763-Calc!F24)),Inputs!$B$22)/100+Inputs!$B$22/100)/2</f>
        <v/>
      </c>
      <c r="M748">
        <f>L748*(1+(Inputs!$B$9+((C765=TRUE)*(F765-Calc!F26))+B782)/100)</f>
        <v/>
      </c>
      <c r="N748">
        <f>L748*(1-MIN((Inputs!$B$8+((C764=TRUE)*(F764-Calc!F25))+B779),100)/100)+M748*(MIN((Inputs!$B$8+((C764=TRUE)*(F764-Calc!F25))+B779),100)/100)</f>
        <v/>
      </c>
      <c r="O748">
        <f>IF(C748,H748*N748*IF(AND(Inputs!$B$4&lt;&gt;"pvp",Inputs!$B$35&gt;0),((Skills!G9*((R748-1)*IF(Skills!H9&gt;0,Skills!I9/Skills!H9,1)+IF(Skills!H9&gt;0,MIN(Skills!I9,MAX(0,Inputs!$B$35-((R748-1)*IF(Inputs!$B$4="pvp",15,MAX(0.1,Skills!D9-IF(Skills!E9=TRUE,Inputs!$B$31,0))))))/Skills!H9,1)))/Inputs!$B$35),G748*Q748)*IF(Inputs!$B$4="pvp",1,(1-Summary!$B$55)*(1)+Summary!$B$55*(MIN(Skills!W9,Inputs!$B$37))),0)</f>
        <v/>
      </c>
      <c r="P748">
        <f>IF(B783=0,0,O748/B783)</f>
        <v/>
      </c>
      <c r="Q748">
        <f>IFERROR(1/IF(Inputs!$B$4="pvp",15,MAX(0.1,Skills!D9-IF(Skills!E9=TRUE,Inputs!$B$31,0))),0)</f>
        <v/>
      </c>
      <c r="R748">
        <f>IF(AND(Inputs!$B$4&lt;&gt;"pvp",Inputs!$B$35&gt;0),(INT(Inputs!$B$35/IF(Inputs!$B$4="pvp",15,MAX(0.1,Skills!D9-IF(Skills!E9=TRUE,Inputs!$B$31,0))))+1),0)</f>
        <v/>
      </c>
      <c r="S748">
        <f>IFERROR(O748/N748,0)</f>
        <v/>
      </c>
    </row>
    <row r="749">
      <c r="A749">
        <f>Skills!A10</f>
        <v/>
      </c>
      <c r="B749">
        <f>Skills!B10</f>
        <v/>
      </c>
      <c r="C749">
        <f>Inputs!$B$3&gt;=117</f>
        <v/>
      </c>
      <c r="D749">
        <f>IF(Skills!C10=1,60+Inputs!$B$24+Inputs!$B$28,IF(Skills!C10=2,90+Inputs!$B$25+Inputs!$B$28,IF(Skills!C10=3,120+Inputs!$B$26+Inputs!$B$28,MAX(0,(Inputs!$B$3-100)*3)+Inputs!$B$27+Inputs!$B$28)))</f>
        <v/>
      </c>
      <c r="E749">
        <f>INDEX(FactorTable!$B$2:$Y$301, MATCH(ROUND(MIN(300,MAX(1,D749)),0), FactorTable!$A$2:$A$301,0), Skills!M10+1)</f>
        <v/>
      </c>
      <c r="F749">
        <f>IF(Skills!N10=TRUE,(Skills!L10/10)*(E749/1000),Skills!L10/10)+Skills!O10</f>
        <v/>
      </c>
      <c r="G749">
        <f>Calc!G10</f>
        <v/>
      </c>
      <c r="H749">
        <f>Calc!H10</f>
        <v/>
      </c>
      <c r="I749">
        <f>IF(Skills!AA10&lt;&gt;"",1+(Skills!AA10/10)*(U742/1000)/100,1)</f>
        <v/>
      </c>
      <c r="J749">
        <f>(Inputs!$B$5*(1+Inputs!$B$6/100))*(F749/100)</f>
        <v/>
      </c>
      <c r="K749">
        <f>J749*(1+((Inputs!$B$11*(1+Inputs!$B$12/100))*0.01+Inputs!$B$13*0.0025)/100)*(1+Inputs!$B$14/100)*(1+IF(Inputs!$B$4="pvp",0,(1-Summary!$B$55)*(Inputs!$B$19+((C766=TRUE)*(F766-Calc!F27))+Skills!P10+B780)+Summary!$B$55*(Inputs!$B$20+Skills!Q10+B780))/100)*(1+Inputs!$B$15/100)*(5000/(6000+Inputs!$B$7*(1-Inputs!$B$18/100)))*(1+(Inputs!$B$23+((C769=TRUE)*(F769-Calc!F30)))/100)*(1+Skills!R10/100)*(1+(IF(Skills!A10="SHOWDOWN",Inputs!$B$16+((C762=TRUE)*(F762-Calc!F23)),(Inputs!$B$17+1)+((C768=TRUE)*(F768-Calc!F29))))/100)*(((1+(((C760=TRUE)*F760*IF(AND(Inputs!$B$4&lt;&gt;"pvp",Inputs!$B$35&gt;0),(((S760-1)*(Skills!Y21*(1+Inputs!$B$33/100))+MIN((Skills!Y21*(1+Inputs!$B$33/100)),MAX(0,Inputs!$B$35-((S760-1)*Skills!D21))))/Inputs!$B$35),IF(Inputs!$B$4="pvp",MIN((Skills!Y21*(1+Inputs!$B$33/100)),15)/15,(Skills!Y21*(1+Inputs!$B$33/100))/Skills!D21)))+((C767=TRUE)*(F767-Calc!F28))+((C757=TRUE)*(F757-Calc!F18)))/100)*(1+((C754=TRUE)*F754*IF(AND(Inputs!$B$4&lt;&gt;"pvp",Inputs!$B$35&gt;0),(((S754-1)*(Skills!Y15*(1+Inputs!$B$33/100))+MIN((Skills!Y15*(1+Inputs!$B$33/100)),MAX(0,Inputs!$B$35-((S754-1)*Skills!D15))))/Inputs!$B$35),IF(Inputs!$B$4="pvp",MIN((Skills!Y15*(1+Inputs!$B$33/100)),15)/15,(Skills!Y15*(1+Inputs!$B$33/100))/Skills!D15)))/100)*(1+((C745=TRUE)*F745*B773)/100))*B781*I749)</f>
        <v/>
      </c>
      <c r="L749">
        <f>K749*(MIN(Inputs!$B$21+((C763=TRUE)*(F763-Calc!F24)),Inputs!$B$22)/100+Inputs!$B$22/100)/2</f>
        <v/>
      </c>
      <c r="M749">
        <f>L749*(1+(Inputs!$B$9+((C765=TRUE)*(F765-Calc!F26))+B782)/100)</f>
        <v/>
      </c>
      <c r="N749">
        <f>L749*(1-MIN((Inputs!$B$8+((C764=TRUE)*(F764-Calc!F25))+B779),100)/100)+M749*(MIN((Inputs!$B$8+((C764=TRUE)*(F764-Calc!F25))+B779),100)/100)</f>
        <v/>
      </c>
      <c r="O749">
        <f>IF(C749,0.2*SUMPRODUCT((Skills!Z2:Z31=TRUE)*(C741:C770=TRUE)*S741:S770)*N749,0)</f>
        <v/>
      </c>
      <c r="P749">
        <f>IF(B783=0,0,O749/B783)</f>
        <v/>
      </c>
      <c r="Q749" t="n">
        <v>0</v>
      </c>
      <c r="R749" t="n">
        <v>0</v>
      </c>
      <c r="S749" t="n">
        <v>0</v>
      </c>
    </row>
    <row r="750">
      <c r="A750">
        <f>Skills!A11</f>
        <v/>
      </c>
      <c r="B750">
        <f>Skills!B11</f>
        <v/>
      </c>
      <c r="C750">
        <f>Inputs!$B$3&gt;=60</f>
        <v/>
      </c>
      <c r="D750">
        <f>IF(Skills!C11=1,60+Inputs!$B$24+Inputs!$B$28,IF(Skills!C11=2,90+Inputs!$B$25+Inputs!$B$28,IF(Skills!C11=3,120+Inputs!$B$26+Inputs!$B$28,MAX(0,(Inputs!$B$3-100)*3)+Inputs!$B$27+Inputs!$B$28)))</f>
        <v/>
      </c>
      <c r="E750">
        <f>INDEX(FactorTable!$B$2:$Y$301, MATCH(ROUND(MIN(300,MAX(1,D750)),0), FactorTable!$A$2:$A$301,0), Skills!M11+1)</f>
        <v/>
      </c>
      <c r="F750">
        <f>IF(Skills!N11=TRUE,(Skills!L11/10)*(E750/1000),Skills!L11/10)+Skills!O11</f>
        <v/>
      </c>
      <c r="G750">
        <f>Calc!G11</f>
        <v/>
      </c>
      <c r="H750">
        <f>Calc!H11</f>
        <v/>
      </c>
      <c r="I750">
        <f>IF(Skills!AA11&lt;&gt;"",1+(Skills!AA11/10)*(U742/1000)/100,1)</f>
        <v/>
      </c>
      <c r="J750" t="inlineStr"/>
      <c r="K750" t="inlineStr"/>
      <c r="L750" t="inlineStr"/>
      <c r="M750" t="inlineStr"/>
      <c r="N750" t="inlineStr"/>
      <c r="O750" t="n">
        <v>0</v>
      </c>
      <c r="P750">
        <f>IF(B783=0,0,O750/B783)</f>
        <v/>
      </c>
      <c r="Q750" t="n">
        <v>0</v>
      </c>
      <c r="R750" t="n">
        <v>0</v>
      </c>
      <c r="S750">
        <f>IFERROR(O750/N750,0)</f>
        <v/>
      </c>
    </row>
    <row r="751">
      <c r="A751">
        <f>Skills!A12</f>
        <v/>
      </c>
      <c r="B751">
        <f>Skills!B12</f>
        <v/>
      </c>
      <c r="C751">
        <f>Inputs!$B$3&gt;=103</f>
        <v/>
      </c>
      <c r="D751">
        <f>IF(Skills!C12=1,60+Inputs!$B$24+Inputs!$B$28,IF(Skills!C12=2,90+Inputs!$B$25+Inputs!$B$28,IF(Skills!C12=3,120+Inputs!$B$26+Inputs!$B$28,MAX(0,(Inputs!$B$3-100)*3)+Inputs!$B$27+Inputs!$B$28)))</f>
        <v/>
      </c>
      <c r="E751">
        <f>INDEX(FactorTable!$B$2:$Y$301, MATCH(ROUND(MIN(300,MAX(1,D751)),0), FactorTable!$A$2:$A$301,0), Skills!M12+1)</f>
        <v/>
      </c>
      <c r="F751">
        <f>IF(Skills!N12=TRUE,(Skills!L12/10)*(E751/1000),Skills!L12/10)+Skills!O12</f>
        <v/>
      </c>
      <c r="G751">
        <f>Calc!G12</f>
        <v/>
      </c>
      <c r="H751">
        <f>Calc!H12</f>
        <v/>
      </c>
      <c r="I751">
        <f>IF(Skills!AA12&lt;&gt;"",1+(Skills!AA12/10)*(U742/1000)/100,1)</f>
        <v/>
      </c>
      <c r="J751">
        <f>(Inputs!$B$5*(1+Inputs!$B$6/100))*(F751/100)</f>
        <v/>
      </c>
      <c r="K751">
        <f>J751*(1+((Inputs!$B$11*(1+Inputs!$B$12/100))*0.01+Inputs!$B$13*0.0025)/100)*(1+Inputs!$B$14/100)*(1+IF(Inputs!$B$4="pvp",0,(1-Summary!$B$55)*(Inputs!$B$19+((C766=TRUE)*(F766-Calc!F27))+Skills!P12+B780)+Summary!$B$55*(Inputs!$B$20+Skills!Q12+B780))/100)*(1+Inputs!$B$15/100)*(5000/(6000+Inputs!$B$7*(1-Inputs!$B$18/100)))*(1+(Inputs!$B$23+((C769=TRUE)*(F769-Calc!F30)))/100)*(1+Skills!R12/100)*(1+(IF(Skills!A12="SHOWDOWN",Inputs!$B$16+((C762=TRUE)*(F762-Calc!F23)),(Inputs!$B$17+1)+((C768=TRUE)*(F768-Calc!F29))))/100)*(((1+(((C760=TRUE)*F760*IF(AND(Inputs!$B$4&lt;&gt;"pvp",Inputs!$B$35&gt;0),(((S760-1)*(Skills!Y21*(1+Inputs!$B$33/100))+MIN((Skills!Y21*(1+Inputs!$B$33/100)),MAX(0,Inputs!$B$35-((S760-1)*Skills!D21))))/Inputs!$B$35),IF(Inputs!$B$4="pvp",MIN((Skills!Y21*(1+Inputs!$B$33/100)),15)/15,(Skills!Y21*(1+Inputs!$B$33/100))/Skills!D21)))+((C767=TRUE)*(F767-Calc!F28))+((C757=TRUE)*(F757-Calc!F18)))/100)*(1+((C754=TRUE)*F754*IF(AND(Inputs!$B$4&lt;&gt;"pvp",Inputs!$B$35&gt;0),(((S754-1)*(Skills!Y15*(1+Inputs!$B$33/100))+MIN((Skills!Y15*(1+Inputs!$B$33/100)),MAX(0,Inputs!$B$35-((S754-1)*Skills!D15))))/Inputs!$B$35),IF(Inputs!$B$4="pvp",MIN((Skills!Y15*(1+Inputs!$B$33/100)),15)/15,(Skills!Y15*(1+Inputs!$B$33/100))/Skills!D15)))/100)*(1+((C745=TRUE)*F745*B773)/100))*B781*I751)</f>
        <v/>
      </c>
      <c r="L751">
        <f>K751*(MIN(Inputs!$B$21+((C763=TRUE)*(F763-Calc!F24)),Inputs!$B$22)/100+Inputs!$B$22/100)/2</f>
        <v/>
      </c>
      <c r="M751">
        <f>L751*(1+(Inputs!$B$9+((C765=TRUE)*(F765-Calc!F26))+B782)/100)</f>
        <v/>
      </c>
      <c r="N751">
        <f>L751*(1-MIN((Inputs!$B$8+((C764=TRUE)*(F764-Calc!F25))+B779),100)/100)+M751*(MIN((Inputs!$B$8+((C764=TRUE)*(F764-Calc!F25))+B779),100)/100)</f>
        <v/>
      </c>
      <c r="O751">
        <f>IF(C751,H751*N751*IF(AND(Inputs!$B$4&lt;&gt;"pvp",Inputs!$B$35&gt;0),((Skills!G12*((R751-1)*IF(Skills!H12&gt;0,Skills!I12/Skills!H12,1)+IF(Skills!H12&gt;0,MIN(Skills!I12,MAX(0,Inputs!$B$35-((R751-1)*IF(Inputs!$B$4="pvp",15,MAX(0.1,Skills!D12-IF(Skills!E12=TRUE,Inputs!$B$31,0))))))/Skills!H12,1)))/Inputs!$B$35),G751*Q751)*IF(Inputs!$B$4="pvp",1,(1-Summary!$B$55)*(1)+Summary!$B$55*(MIN(Skills!W12,Inputs!$B$37))),0)</f>
        <v/>
      </c>
      <c r="P751">
        <f>IF(B783=0,0,O751/B783)</f>
        <v/>
      </c>
      <c r="Q751">
        <f>IFERROR(1/IF(Inputs!$B$4="pvp",15,MAX(0.1,Skills!D12-IF(Skills!E12=TRUE,Inputs!$B$31,0))),0)</f>
        <v/>
      </c>
      <c r="R751">
        <f>IF(AND(Inputs!$B$4&lt;&gt;"pvp",Inputs!$B$35&gt;0),(INT(Inputs!$B$35/IF(Inputs!$B$4="pvp",15,MAX(0.1,Skills!D12-IF(Skills!E12=TRUE,Inputs!$B$31,0))))+1),0)</f>
        <v/>
      </c>
      <c r="S751">
        <f>IFERROR(O751/N751,0)</f>
        <v/>
      </c>
    </row>
    <row r="752">
      <c r="A752">
        <f>Skills!A13</f>
        <v/>
      </c>
      <c r="B752">
        <f>Skills!B13</f>
        <v/>
      </c>
      <c r="C752">
        <f>Inputs!$B$3&gt;=105</f>
        <v/>
      </c>
      <c r="D752">
        <f>IF(Skills!C13=1,60+Inputs!$B$24+Inputs!$B$28,IF(Skills!C13=2,90+Inputs!$B$25+Inputs!$B$28,IF(Skills!C13=3,120+Inputs!$B$26+Inputs!$B$28,MAX(0,(Inputs!$B$3-100)*3)+Inputs!$B$27+Inputs!$B$28)))</f>
        <v/>
      </c>
      <c r="E752">
        <f>INDEX(FactorTable!$B$2:$Y$301, MATCH(ROUND(MIN(300,MAX(1,D752)),0), FactorTable!$A$2:$A$301,0), Skills!M13+1)</f>
        <v/>
      </c>
      <c r="F752">
        <f>IF(Skills!N13=TRUE,(Skills!L13/10)*(E752/1000),Skills!L13/10)+Skills!O13</f>
        <v/>
      </c>
      <c r="G752">
        <f>Calc!G13</f>
        <v/>
      </c>
      <c r="H752">
        <f>Calc!H13</f>
        <v/>
      </c>
      <c r="I752">
        <f>IF(Skills!AA13&lt;&gt;"",1+(Skills!AA13/10)*(U742/1000)/100,1)</f>
        <v/>
      </c>
      <c r="J752">
        <f>(Inputs!$B$5*(1+Inputs!$B$6/100))*(F752/100)</f>
        <v/>
      </c>
      <c r="K752">
        <f>J752*(1+((Inputs!$B$11*(1+Inputs!$B$12/100))*0.01+Inputs!$B$13*0.0025)/100)*(1+Inputs!$B$14/100)*(1+IF(Inputs!$B$4="pvp",0,(1-Summary!$B$55)*(Inputs!$B$19+((C766=TRUE)*(F766-Calc!F27))+Skills!P13+B780)+Summary!$B$55*(Inputs!$B$20+Skills!Q13+B780))/100)*(1+Inputs!$B$15/100)*(5000/(6000+Inputs!$B$7*(1-Inputs!$B$18/100)))*(1+(Inputs!$B$23+((C769=TRUE)*(F769-Calc!F30)))/100)*(1+Skills!R13/100)*(1+(IF(Skills!A13="SHOWDOWN",Inputs!$B$16+((C762=TRUE)*(F762-Calc!F23)),(Inputs!$B$17+1)+((C768=TRUE)*(F768-Calc!F29))))/100)*(((1+(((C760=TRUE)*F760*IF(AND(Inputs!$B$4&lt;&gt;"pvp",Inputs!$B$35&gt;0),(((S760-1)*(Skills!Y21*(1+Inputs!$B$33/100))+MIN((Skills!Y21*(1+Inputs!$B$33/100)),MAX(0,Inputs!$B$35-((S760-1)*Skills!D21))))/Inputs!$B$35),IF(Inputs!$B$4="pvp",MIN((Skills!Y21*(1+Inputs!$B$33/100)),15)/15,(Skills!Y21*(1+Inputs!$B$33/100))/Skills!D21)))+((C767=TRUE)*(F767-Calc!F28))+((C757=TRUE)*(F757-Calc!F18)))/100)*(1+((C754=TRUE)*F754*IF(AND(Inputs!$B$4&lt;&gt;"pvp",Inputs!$B$35&gt;0),(((S754-1)*(Skills!Y15*(1+Inputs!$B$33/100))+MIN((Skills!Y15*(1+Inputs!$B$33/100)),MAX(0,Inputs!$B$35-((S754-1)*Skills!D15))))/Inputs!$B$35),IF(Inputs!$B$4="pvp",MIN((Skills!Y15*(1+Inputs!$B$33/100)),15)/15,(Skills!Y15*(1+Inputs!$B$33/100))/Skills!D15)))/100)*(1+((C745=TRUE)*F745*B773)/100))*B781*I752)</f>
        <v/>
      </c>
      <c r="L752">
        <f>K752*(MIN(Inputs!$B$21+((C763=TRUE)*(F763-Calc!F24)),Inputs!$B$22)/100+Inputs!$B$22/100)/2</f>
        <v/>
      </c>
      <c r="M752">
        <f>L752*(1+(Inputs!$B$9+((C765=TRUE)*(F765-Calc!F26))+B782)/100)</f>
        <v/>
      </c>
      <c r="N752">
        <f>L752*(1-MIN((Inputs!$B$8+((C764=TRUE)*(F764-Calc!F25))+B779),100)/100)+M752*(MIN((Inputs!$B$8+((C764=TRUE)*(F764-Calc!F25))+B779),100)/100)</f>
        <v/>
      </c>
      <c r="O752">
        <f>IF(C752,H752*N752*IF(AND(Inputs!$B$4&lt;&gt;"pvp",Inputs!$B$35&gt;0),((Skills!G13*((R752-1)*IF(Skills!H13&gt;0,Skills!I13/Skills!H13,1)+IF(Skills!H13&gt;0,MIN(Skills!I13,MAX(0,Inputs!$B$35-((R752-1)*IF(Inputs!$B$4="pvp",15,MAX(0.1,Skills!D13-IF(Skills!E13=TRUE,Inputs!$B$31,0))))))/Skills!H13,1)))/Inputs!$B$35),G752*Q752)*IF(Inputs!$B$4="pvp",1,(1-Summary!$B$55)*(1)+Summary!$B$55*(MIN(Skills!W13,Inputs!$B$37))),0)</f>
        <v/>
      </c>
      <c r="P752">
        <f>IF(B783=0,0,O752/B783)</f>
        <v/>
      </c>
      <c r="Q752">
        <f>IFERROR(1/IF(Inputs!$B$4="pvp",15,MAX(0.1,Skills!D13-IF(Skills!E13=TRUE,Inputs!$B$31,0))),0)</f>
        <v/>
      </c>
      <c r="R752">
        <f>IF(AND(Inputs!$B$4&lt;&gt;"pvp",Inputs!$B$35&gt;0),(INT(Inputs!$B$35/IF(Inputs!$B$4="pvp",15,MAX(0.1,Skills!D13-IF(Skills!E13=TRUE,Inputs!$B$31,0))))+1),0)</f>
        <v/>
      </c>
      <c r="S752">
        <f>IFERROR(O752/N752,0)</f>
        <v/>
      </c>
    </row>
    <row r="753">
      <c r="A753">
        <f>Skills!A14</f>
        <v/>
      </c>
      <c r="B753">
        <f>Skills!B14</f>
        <v/>
      </c>
      <c r="C753">
        <f>Inputs!$B$3&gt;=105</f>
        <v/>
      </c>
      <c r="D753">
        <f>IF(Skills!C14=1,60+Inputs!$B$24+Inputs!$B$28,IF(Skills!C14=2,90+Inputs!$B$25+Inputs!$B$28,IF(Skills!C14=3,120+Inputs!$B$26+Inputs!$B$28,MAX(0,(Inputs!$B$3-100)*3)+Inputs!$B$27+Inputs!$B$28)))</f>
        <v/>
      </c>
      <c r="E753">
        <f>INDEX(FactorTable!$B$2:$Y$301, MATCH(ROUND(MIN(300,MAX(1,D753)),0), FactorTable!$A$2:$A$301,0), Skills!M14+1)</f>
        <v/>
      </c>
      <c r="F753">
        <f>IF(Skills!N14=TRUE,(Skills!L14/10)*(E753/1000),Skills!L14/10)+Skills!O14</f>
        <v/>
      </c>
      <c r="G753">
        <f>Calc!G14</f>
        <v/>
      </c>
      <c r="H753">
        <f>Calc!H14</f>
        <v/>
      </c>
      <c r="I753">
        <f>IF(Skills!AA14&lt;&gt;"",1+(Skills!AA14/10)*(U742/1000)/100,1)</f>
        <v/>
      </c>
      <c r="J753">
        <f>(Inputs!$B$5*(1+Inputs!$B$6/100))*(F753/100)</f>
        <v/>
      </c>
      <c r="K753">
        <f>J753*(1+((Inputs!$B$11*(1+Inputs!$B$12/100))*0.01+Inputs!$B$13*0.0025)/100)*(1+Inputs!$B$14/100)*(1+IF(Inputs!$B$4="pvp",0,(1-Summary!$B$55)*(Inputs!$B$19+((C766=TRUE)*(F766-Calc!F27))+Skills!P14+B780)+Summary!$B$55*(Inputs!$B$20+Skills!Q14+B780))/100)*(1+Inputs!$B$15/100)*(5000/(6000+Inputs!$B$7*(1-Inputs!$B$18/100)))*(1+(Inputs!$B$23+((C769=TRUE)*(F769-Calc!F30)))/100)*(1+Skills!R14/100)*(1+(IF(Skills!A14="SHOWDOWN",Inputs!$B$16+((C762=TRUE)*(F762-Calc!F23)),(Inputs!$B$17+1)+((C768=TRUE)*(F768-Calc!F29))))/100)*(((1+(((C760=TRUE)*F760*IF(AND(Inputs!$B$4&lt;&gt;"pvp",Inputs!$B$35&gt;0),(((S760-1)*(Skills!Y21*(1+Inputs!$B$33/100))+MIN((Skills!Y21*(1+Inputs!$B$33/100)),MAX(0,Inputs!$B$35-((S760-1)*Skills!D21))))/Inputs!$B$35),IF(Inputs!$B$4="pvp",MIN((Skills!Y21*(1+Inputs!$B$33/100)),15)/15,(Skills!Y21*(1+Inputs!$B$33/100))/Skills!D21)))+((C767=TRUE)*(F767-Calc!F28))+((C757=TRUE)*(F757-Calc!F18)))/100)*(1+((C754=TRUE)*F754*IF(AND(Inputs!$B$4&lt;&gt;"pvp",Inputs!$B$35&gt;0),(((S754-1)*(Skills!Y15*(1+Inputs!$B$33/100))+MIN((Skills!Y15*(1+Inputs!$B$33/100)),MAX(0,Inputs!$B$35-((S754-1)*Skills!D15))))/Inputs!$B$35),IF(Inputs!$B$4="pvp",MIN((Skills!Y15*(1+Inputs!$B$33/100)),15)/15,(Skills!Y15*(1+Inputs!$B$33/100))/Skills!D15)))/100)*(1+((C745=TRUE)*F745*B773)/100))*B781*I753)</f>
        <v/>
      </c>
      <c r="L753">
        <f>K753*(MIN(Inputs!$B$21+((C763=TRUE)*(F763-Calc!F24)),Inputs!$B$22)/100+Inputs!$B$22/100)/2</f>
        <v/>
      </c>
      <c r="M753">
        <f>L753*(1+(Inputs!$B$9+((C765=TRUE)*(F765-Calc!F26))+B782)/100)</f>
        <v/>
      </c>
      <c r="N753">
        <f>L753*(1-MIN((Inputs!$B$8+((C764=TRUE)*(F764-Calc!F25))+B779),100)/100)+M753*(MIN((Inputs!$B$8+((C764=TRUE)*(F764-Calc!F25))+B779),100)/100)</f>
        <v/>
      </c>
      <c r="O753">
        <f>IF(C753,H753*N753*IF(AND(Inputs!$B$4&lt;&gt;"pvp",Inputs!$B$35&gt;0),((Skills!G14*((R753-1)*IF(Skills!H14&gt;0,Skills!I14/Skills!H14,1)+IF(Skills!H14&gt;0,MIN(Skills!I14,MAX(0,Inputs!$B$35-((R753-1)*IF(Inputs!$B$4="pvp",15,MAX(0.1,Skills!D14-IF(Skills!E14=TRUE,Inputs!$B$31,0))))))/Skills!H14,1)))/Inputs!$B$35),G753*Q753)*IF(Inputs!$B$4="pvp",1,(1-Summary!$B$55)*(1)+Summary!$B$55*(MIN(Skills!W14,Inputs!$B$37))),0)</f>
        <v/>
      </c>
      <c r="P753">
        <f>IF(B783=0,0,O753/B783)</f>
        <v/>
      </c>
      <c r="Q753">
        <f>IFERROR(1/IF(Inputs!$B$4="pvp",15,MAX(0.1,Skills!D14-IF(Skills!E14=TRUE,Inputs!$B$31,0))),0)</f>
        <v/>
      </c>
      <c r="R753">
        <f>IF(AND(Inputs!$B$4&lt;&gt;"pvp",Inputs!$B$35&gt;0),(INT(Inputs!$B$35/IF(Inputs!$B$4="pvp",15,MAX(0.1,Skills!D14-IF(Skills!E14=TRUE,Inputs!$B$31,0))))+1),0)</f>
        <v/>
      </c>
      <c r="S753">
        <f>IFERROR(O753/N753,0)</f>
        <v/>
      </c>
    </row>
    <row r="754">
      <c r="A754">
        <f>Skills!A15</f>
        <v/>
      </c>
      <c r="B754">
        <f>Skills!B15</f>
        <v/>
      </c>
      <c r="C754">
        <f>Inputs!$B$3&gt;=110</f>
        <v/>
      </c>
      <c r="D754">
        <f>IF(Skills!C15=1,60+Inputs!$B$24+Inputs!$B$28,IF(Skills!C15=2,90+Inputs!$B$25+Inputs!$B$28,IF(Skills!C15=3,120+Inputs!$B$26+Inputs!$B$28,MAX(0,(Inputs!$B$3-100)*3)+Inputs!$B$27+Inputs!$B$28)))</f>
        <v/>
      </c>
      <c r="E754">
        <f>INDEX(FactorTable!$B$2:$Y$301, MATCH(ROUND(MIN(300,MAX(1,D754)),0), FactorTable!$A$2:$A$301,0), Skills!M15+1)</f>
        <v/>
      </c>
      <c r="F754">
        <f>IF(Skills!N15=TRUE,(Skills!L15/10)*(E754/1000),Skills!L15/10)+Skills!O15</f>
        <v/>
      </c>
      <c r="G754">
        <f>Calc!G15</f>
        <v/>
      </c>
      <c r="H754">
        <f>Calc!H15</f>
        <v/>
      </c>
      <c r="I754">
        <f>IF(Skills!AA15&lt;&gt;"",1+(Skills!AA15/10)*(U742/1000)/100,1)</f>
        <v/>
      </c>
      <c r="J754" t="inlineStr"/>
      <c r="K754" t="inlineStr"/>
      <c r="L754" t="inlineStr"/>
      <c r="M754" t="inlineStr"/>
      <c r="N754" t="inlineStr"/>
      <c r="O754" t="n">
        <v>0</v>
      </c>
      <c r="P754">
        <f>IF(B783=0,0,O754/B783)</f>
        <v/>
      </c>
      <c r="Q754">
        <f>IFERROR(1/IF(Inputs!$B$4="pvp",15,MAX(0.1,Skills!D15-IF(Skills!E15=TRUE,Inputs!$B$31,0))),0)</f>
        <v/>
      </c>
      <c r="R754">
        <f>IF(AND(Inputs!$B$4&lt;&gt;"pvp",Inputs!$B$35&gt;0),(INT(Inputs!$B$35/IF(Inputs!$B$4="pvp",15,MAX(0.1,Skills!D15-IF(Skills!E15=TRUE,Inputs!$B$31,0))))+1),0)</f>
        <v/>
      </c>
      <c r="S754">
        <f>IFERROR(O754/N754,0)</f>
        <v/>
      </c>
    </row>
    <row r="755">
      <c r="A755">
        <f>Skills!A16</f>
        <v/>
      </c>
      <c r="B755">
        <f>Skills!B16</f>
        <v/>
      </c>
      <c r="C755">
        <f>Inputs!$B$3&gt;=110</f>
        <v/>
      </c>
      <c r="D755">
        <f>IF(Skills!C16=1,60+Inputs!$B$24+Inputs!$B$28,IF(Skills!C16=2,90+Inputs!$B$25+Inputs!$B$28,IF(Skills!C16=3,120+Inputs!$B$26+Inputs!$B$28,MAX(0,(Inputs!$B$3-100)*3)+Inputs!$B$27+Inputs!$B$28)))</f>
        <v/>
      </c>
      <c r="E755">
        <f>INDEX(FactorTable!$B$2:$Y$301, MATCH(ROUND(MIN(300,MAX(1,D755)),0), FactorTable!$A$2:$A$301,0), Skills!M16+1)</f>
        <v/>
      </c>
      <c r="F755">
        <f>IF(Skills!N16=TRUE,(Skills!L16/10)*(E755/1000),Skills!L16/10)+Skills!O16</f>
        <v/>
      </c>
      <c r="G755">
        <f>Calc!G16</f>
        <v/>
      </c>
      <c r="H755">
        <f>Calc!H16</f>
        <v/>
      </c>
      <c r="I755">
        <f>IF(Skills!AA16&lt;&gt;"",1+(Skills!AA16/10)*(U742/1000)/100,1)</f>
        <v/>
      </c>
      <c r="J755" t="inlineStr"/>
      <c r="K755" t="inlineStr"/>
      <c r="L755" t="inlineStr"/>
      <c r="M755" t="inlineStr"/>
      <c r="N755" t="inlineStr"/>
      <c r="O755" t="n">
        <v>0</v>
      </c>
      <c r="P755">
        <f>IF(B783=0,0,O755/B783)</f>
        <v/>
      </c>
      <c r="Q755">
        <f>IFERROR(1/IF(Inputs!$B$4="pvp",15,MAX(0.1,Skills!D16-IF(Skills!E16=TRUE,Inputs!$B$31,0))),0)</f>
        <v/>
      </c>
      <c r="R755">
        <f>IF(AND(Inputs!$B$4&lt;&gt;"pvp",Inputs!$B$35&gt;0),(INT(Inputs!$B$35/IF(Inputs!$B$4="pvp",15,MAX(0.1,Skills!D16-IF(Skills!E16=TRUE,Inputs!$B$31,0))))+1),0)</f>
        <v/>
      </c>
      <c r="S755">
        <f>IFERROR(O755/N755,0)</f>
        <v/>
      </c>
    </row>
    <row r="756">
      <c r="A756">
        <f>Skills!A17</f>
        <v/>
      </c>
      <c r="B756">
        <f>Skills!B17</f>
        <v/>
      </c>
      <c r="C756">
        <f>Inputs!$B$3&gt;=115</f>
        <v/>
      </c>
      <c r="D756">
        <f>IF(Skills!C17=1,60+Inputs!$B$24+Inputs!$B$28,IF(Skills!C17=2,90+Inputs!$B$25+Inputs!$B$28,IF(Skills!C17=3,120+Inputs!$B$26+Inputs!$B$28,MAX(0,(Inputs!$B$3-100)*3)+Inputs!$B$27+Inputs!$B$28)))</f>
        <v/>
      </c>
      <c r="E756">
        <f>INDEX(FactorTable!$B$2:$Y$301, MATCH(ROUND(MIN(300,MAX(1,D756)),0), FactorTable!$A$2:$A$301,0), Skills!M17+1)</f>
        <v/>
      </c>
      <c r="F756">
        <f>IF(Skills!N17=TRUE,(Skills!L17/10)*(E756/1000),Skills!L17/10)+Skills!O17</f>
        <v/>
      </c>
      <c r="G756">
        <f>Calc!G17</f>
        <v/>
      </c>
      <c r="H756">
        <f>Calc!H17</f>
        <v/>
      </c>
      <c r="I756">
        <f>IF(Skills!AA17&lt;&gt;"",1+(Skills!AA17/10)*(U742/1000)/100,1)</f>
        <v/>
      </c>
      <c r="J756">
        <f>(Inputs!$B$5*(1+Inputs!$B$6/100))*(F756/100)</f>
        <v/>
      </c>
      <c r="K756">
        <f>J756*(1+((Inputs!$B$11*(1+Inputs!$B$12/100))*0.01+Inputs!$B$13*0.0025)/100)*(1+Inputs!$B$14/100)*(1+IF(Inputs!$B$4="pvp",0,(1-Summary!$B$55)*(Inputs!$B$19+((C766=TRUE)*(F766-Calc!F27))+Skills!P17+B780)+Summary!$B$55*(Inputs!$B$20+Skills!Q17+B780))/100)*(1+Inputs!$B$15/100)*(5000/(6000+Inputs!$B$7*(1-Inputs!$B$18/100)))*(1+(Inputs!$B$23+((C769=TRUE)*(F769-Calc!F30)))/100)*(1+Skills!R17/100)*(1+(IF(Skills!A17="SHOWDOWN",Inputs!$B$16+((C762=TRUE)*(F762-Calc!F23)),(Inputs!$B$17+1)+((C768=TRUE)*(F768-Calc!F29))))/100)*(((1+(((C760=TRUE)*F760*IF(AND(Inputs!$B$4&lt;&gt;"pvp",Inputs!$B$35&gt;0),(((S760-1)*(Skills!Y21*(1+Inputs!$B$33/100))+MIN((Skills!Y21*(1+Inputs!$B$33/100)),MAX(0,Inputs!$B$35-((S760-1)*Skills!D21))))/Inputs!$B$35),IF(Inputs!$B$4="pvp",MIN((Skills!Y21*(1+Inputs!$B$33/100)),15)/15,(Skills!Y21*(1+Inputs!$B$33/100))/Skills!D21)))+((C767=TRUE)*(F767-Calc!F28))+((C757=TRUE)*(F757-Calc!F18)))/100)*(1+((C754=TRUE)*F754*IF(AND(Inputs!$B$4&lt;&gt;"pvp",Inputs!$B$35&gt;0),(((S754-1)*(Skills!Y15*(1+Inputs!$B$33/100))+MIN((Skills!Y15*(1+Inputs!$B$33/100)),MAX(0,Inputs!$B$35-((S754-1)*Skills!D15))))/Inputs!$B$35),IF(Inputs!$B$4="pvp",MIN((Skills!Y15*(1+Inputs!$B$33/100)),15)/15,(Skills!Y15*(1+Inputs!$B$33/100))/Skills!D15)))/100)*(1+((C745=TRUE)*F745*B773)/100))*B781*I756)</f>
        <v/>
      </c>
      <c r="L756">
        <f>K756*(MIN(Inputs!$B$21+((C763=TRUE)*(F763-Calc!F24)),Inputs!$B$22)/100+Inputs!$B$22/100)/2</f>
        <v/>
      </c>
      <c r="M756">
        <f>L756*(1+(Inputs!$B$9+((C765=TRUE)*(F765-Calc!F26))+B782)/100)</f>
        <v/>
      </c>
      <c r="N756">
        <f>L756*(1-MIN((Inputs!$B$8+((C764=TRUE)*(F764-Calc!F25))+B779),100)/100)+M756*(MIN((Inputs!$B$8+((C764=TRUE)*(F764-Calc!F25))+B779),100)/100)</f>
        <v/>
      </c>
      <c r="O756">
        <f>IF(C756,Inputs!$B$38*0.2*N756,0)</f>
        <v/>
      </c>
      <c r="P756">
        <f>IF(B783=0,0,O756/B783)</f>
        <v/>
      </c>
      <c r="Q756" t="n">
        <v>0</v>
      </c>
      <c r="R756" t="n">
        <v>0</v>
      </c>
      <c r="S756">
        <f>IFERROR(O756/N756,0)</f>
        <v/>
      </c>
    </row>
    <row r="757">
      <c r="A757">
        <f>Skills!A18</f>
        <v/>
      </c>
      <c r="B757">
        <f>Skills!B18</f>
        <v/>
      </c>
      <c r="C757">
        <f>Inputs!$B$3&gt;=115</f>
        <v/>
      </c>
      <c r="D757">
        <f>IF(Skills!C18=1,60+Inputs!$B$24+Inputs!$B$28,IF(Skills!C18=2,90+Inputs!$B$25+Inputs!$B$28,IF(Skills!C18=3,120+Inputs!$B$26+Inputs!$B$28,MAX(0,(Inputs!$B$3-100)*3)+Inputs!$B$27+Inputs!$B$28)))</f>
        <v/>
      </c>
      <c r="E757">
        <f>INDEX(FactorTable!$B$2:$Y$301, MATCH(ROUND(MIN(300,MAX(1,D757)),0), FactorTable!$A$2:$A$301,0), Skills!M18+1)</f>
        <v/>
      </c>
      <c r="F757">
        <f>IF(Skills!N18=TRUE,(Skills!L18/10)*(E757/1000),Skills!L18/10)+Skills!O18</f>
        <v/>
      </c>
      <c r="G757">
        <f>Calc!G18</f>
        <v/>
      </c>
      <c r="H757">
        <f>Calc!H18</f>
        <v/>
      </c>
      <c r="I757">
        <f>IF(Skills!AA18&lt;&gt;"",1+(Skills!AA18/10)*(U742/1000)/100,1)</f>
        <v/>
      </c>
      <c r="J757" t="inlineStr"/>
      <c r="K757" t="inlineStr"/>
      <c r="L757" t="inlineStr"/>
      <c r="M757" t="inlineStr"/>
      <c r="N757" t="inlineStr"/>
      <c r="O757" t="n">
        <v>0</v>
      </c>
      <c r="P757">
        <f>IF(B783=0,0,O757/B783)</f>
        <v/>
      </c>
      <c r="Q757" t="n">
        <v>0</v>
      </c>
      <c r="R757" t="n">
        <v>0</v>
      </c>
      <c r="S757">
        <f>IFERROR(O757/N757,0)</f>
        <v/>
      </c>
    </row>
    <row r="758">
      <c r="A758">
        <f>Skills!A19</f>
        <v/>
      </c>
      <c r="B758">
        <f>Skills!B19</f>
        <v/>
      </c>
      <c r="C758">
        <f>TRUE</f>
        <v/>
      </c>
      <c r="D758">
        <f>IF(Skills!C19=1,60+Inputs!$B$24+Inputs!$B$28,IF(Skills!C19=2,90+Inputs!$B$25+Inputs!$B$28,IF(Skills!C19=3,120+Inputs!$B$26+Inputs!$B$28,MAX(0,(Inputs!$B$3-100)*3)+Inputs!$B$27+Inputs!$B$28)))</f>
        <v/>
      </c>
      <c r="E758">
        <f>INDEX(FactorTable!$B$2:$Y$301, MATCH(ROUND(MIN(300,MAX(1,D758)),0), FactorTable!$A$2:$A$301,0), Skills!M19+1)</f>
        <v/>
      </c>
      <c r="F758">
        <f>IF(Skills!N19=TRUE,(Skills!L19/10)*(E758/1000),Skills!L19/10)+Skills!O19</f>
        <v/>
      </c>
      <c r="G758">
        <f>Calc!G19</f>
        <v/>
      </c>
      <c r="H758">
        <f>Calc!H19</f>
        <v/>
      </c>
      <c r="I758">
        <f>IF(Skills!AA19&lt;&gt;"",1+(Skills!AA19/10)*(U742/1000)/100,1)</f>
        <v/>
      </c>
      <c r="J758" t="inlineStr"/>
      <c r="K758" t="inlineStr"/>
      <c r="L758" t="inlineStr"/>
      <c r="M758" t="inlineStr"/>
      <c r="N758" t="inlineStr"/>
      <c r="O758" t="n">
        <v>0</v>
      </c>
      <c r="P758">
        <f>IF(B783=0,0,O758/B783)</f>
        <v/>
      </c>
      <c r="Q758">
        <f>IFERROR(1/IF(Inputs!$B$4="pvp",15,MAX(0.1,Skills!D19-IF(Skills!E19=TRUE,Inputs!$B$31,0))),0)</f>
        <v/>
      </c>
      <c r="R758">
        <f>IF(AND(Inputs!$B$4&lt;&gt;"pvp",Inputs!$B$35&gt;0),(INT(Inputs!$B$35/IF(Inputs!$B$4="pvp",15,MAX(0.1,Skills!D19-IF(Skills!E19=TRUE,Inputs!$B$31,0))))+1),0)</f>
        <v/>
      </c>
      <c r="S758">
        <f>IFERROR(O758/N758,0)</f>
        <v/>
      </c>
    </row>
    <row r="759">
      <c r="A759">
        <f>Skills!A20</f>
        <v/>
      </c>
      <c r="B759">
        <f>Skills!B20</f>
        <v/>
      </c>
      <c r="C759">
        <f>Inputs!$B$3&gt;=15</f>
        <v/>
      </c>
      <c r="D759">
        <f>IF(Skills!C20=1,60+Inputs!$B$24+Inputs!$B$28,IF(Skills!C20=2,90+Inputs!$B$25+Inputs!$B$28,IF(Skills!C20=3,120+Inputs!$B$26+Inputs!$B$28,MAX(0,(Inputs!$B$3-100)*3)+Inputs!$B$27+Inputs!$B$28)))</f>
        <v/>
      </c>
      <c r="E759">
        <f>INDEX(FactorTable!$B$2:$Y$301, MATCH(ROUND(MIN(300,MAX(1,D759)),0), FactorTable!$A$2:$A$301,0), Skills!M20+1)</f>
        <v/>
      </c>
      <c r="F759">
        <f>IF(Skills!N20=TRUE,(Skills!L20/10)*(E759/1000),Skills!L20/10)+Skills!O20</f>
        <v/>
      </c>
      <c r="G759">
        <f>Calc!G20</f>
        <v/>
      </c>
      <c r="H759">
        <f>Calc!H20</f>
        <v/>
      </c>
      <c r="I759">
        <f>IF(Skills!AA20&lt;&gt;"",1+(Skills!AA20/10)*(U742/1000)/100,1)</f>
        <v/>
      </c>
      <c r="J759" t="inlineStr"/>
      <c r="K759" t="inlineStr"/>
      <c r="L759" t="inlineStr"/>
      <c r="M759" t="inlineStr"/>
      <c r="N759" t="inlineStr"/>
      <c r="O759" t="n">
        <v>0</v>
      </c>
      <c r="P759">
        <f>IF(B783=0,0,O759/B783)</f>
        <v/>
      </c>
      <c r="Q759">
        <f>IFERROR(1/IF(Inputs!$B$4="pvp",15,MAX(0.1,Skills!D20-IF(Skills!E20=TRUE,Inputs!$B$31,0))),0)</f>
        <v/>
      </c>
      <c r="R759">
        <f>IF(AND(Inputs!$B$4&lt;&gt;"pvp",Inputs!$B$35&gt;0),(INT(Inputs!$B$35/IF(Inputs!$B$4="pvp",15,MAX(0.1,Skills!D20-IF(Skills!E20=TRUE,Inputs!$B$31,0))))+1),0)</f>
        <v/>
      </c>
      <c r="S759">
        <f>IFERROR(O759/N759,0)</f>
        <v/>
      </c>
    </row>
    <row r="760">
      <c r="A760">
        <f>Skills!A21</f>
        <v/>
      </c>
      <c r="B760">
        <f>Skills!B21</f>
        <v/>
      </c>
      <c r="C760">
        <f>Inputs!$B$3&gt;=15</f>
        <v/>
      </c>
      <c r="D760">
        <f>IF(Skills!C21=1,60+Inputs!$B$24+Inputs!$B$28,IF(Skills!C21=2,90+Inputs!$B$25+Inputs!$B$28,IF(Skills!C21=3,120+Inputs!$B$26+Inputs!$B$28,MAX(0,(Inputs!$B$3-100)*3)+Inputs!$B$27+Inputs!$B$28)))</f>
        <v/>
      </c>
      <c r="E760">
        <f>INDEX(FactorTable!$B$2:$Y$301, MATCH(ROUND(MIN(300,MAX(1,D760)),0), FactorTable!$A$2:$A$301,0), Skills!M21+1)</f>
        <v/>
      </c>
      <c r="F760">
        <f>IF(Skills!N21=TRUE,(Skills!L21/10)*(E760/1000),Skills!L21/10)+Skills!O21</f>
        <v/>
      </c>
      <c r="G760">
        <f>Calc!G21</f>
        <v/>
      </c>
      <c r="H760">
        <f>Calc!H21</f>
        <v/>
      </c>
      <c r="I760">
        <f>IF(Skills!AA21&lt;&gt;"",1+(Skills!AA21/10)*(U742/1000)/100,1)</f>
        <v/>
      </c>
      <c r="J760" t="inlineStr"/>
      <c r="K760" t="inlineStr"/>
      <c r="L760" t="inlineStr"/>
      <c r="M760" t="inlineStr"/>
      <c r="N760" t="inlineStr"/>
      <c r="O760" t="n">
        <v>0</v>
      </c>
      <c r="P760">
        <f>IF(B783=0,0,O760/B783)</f>
        <v/>
      </c>
      <c r="Q760">
        <f>IFERROR(1/IF(Inputs!$B$4="pvp",15,MAX(0.1,Skills!D21-IF(Skills!E21=TRUE,Inputs!$B$31,0))),0)</f>
        <v/>
      </c>
      <c r="R760">
        <f>IF(AND(Inputs!$B$4&lt;&gt;"pvp",Inputs!$B$35&gt;0),(INT(Inputs!$B$35/IF(Inputs!$B$4="pvp",15,MAX(0.1,Skills!D21-IF(Skills!E21=TRUE,Inputs!$B$31,0))))+1),0)</f>
        <v/>
      </c>
      <c r="S760">
        <f>IFERROR(O760/N760,0)</f>
        <v/>
      </c>
    </row>
    <row r="761">
      <c r="A761">
        <f>Skills!A22</f>
        <v/>
      </c>
      <c r="B761">
        <f>Skills!B22</f>
        <v/>
      </c>
      <c r="C761">
        <f>Inputs!$B$3&gt;=33</f>
        <v/>
      </c>
      <c r="D761">
        <f>IF(Skills!C22=1,60+Inputs!$B$24+Inputs!$B$28,IF(Skills!C22=2,90+Inputs!$B$25+Inputs!$B$28,IF(Skills!C22=3,120+Inputs!$B$26+Inputs!$B$28,MAX(0,(Inputs!$B$3-100)*3)+Inputs!$B$27+Inputs!$B$28)))</f>
        <v/>
      </c>
      <c r="E761">
        <f>INDEX(FactorTable!$B$2:$Y$301, MATCH(ROUND(MIN(300,MAX(1,D761)),0), FactorTable!$A$2:$A$301,0), Skills!M22+1)</f>
        <v/>
      </c>
      <c r="F761">
        <f>IF(Skills!N22=TRUE,(Skills!L22/10)*(E761/1000),Skills!L22/10)+Skills!O22</f>
        <v/>
      </c>
      <c r="G761">
        <f>Calc!G22</f>
        <v/>
      </c>
      <c r="H761">
        <f>Calc!H22</f>
        <v/>
      </c>
      <c r="I761">
        <f>IF(Skills!AA22&lt;&gt;"",1+(Skills!AA22/10)*(U742/1000)/100,1)</f>
        <v/>
      </c>
      <c r="J761" t="inlineStr"/>
      <c r="K761" t="inlineStr"/>
      <c r="L761" t="inlineStr"/>
      <c r="M761" t="inlineStr"/>
      <c r="N761" t="inlineStr"/>
      <c r="O761" t="n">
        <v>0</v>
      </c>
      <c r="P761">
        <f>IF(B783=0,0,O761/B783)</f>
        <v/>
      </c>
      <c r="Q761" t="n">
        <v>0</v>
      </c>
      <c r="R761" t="n">
        <v>0</v>
      </c>
      <c r="S761">
        <f>IFERROR(O761/N761,0)</f>
        <v/>
      </c>
    </row>
    <row r="762">
      <c r="A762">
        <f>Skills!A23</f>
        <v/>
      </c>
      <c r="B762">
        <f>Skills!B23</f>
        <v/>
      </c>
      <c r="C762">
        <f>Inputs!$B$3&gt;=38</f>
        <v/>
      </c>
      <c r="D762">
        <f>IF(Skills!C23=1,60+Inputs!$B$24+Inputs!$B$28,IF(Skills!C23=2,90+Inputs!$B$25+Inputs!$B$28,IF(Skills!C23=3,120+Inputs!$B$26+Inputs!$B$28,MAX(0,(Inputs!$B$3-100)*3)+Inputs!$B$27+Inputs!$B$28)))</f>
        <v/>
      </c>
      <c r="E762">
        <f>INDEX(FactorTable!$B$2:$Y$301, MATCH(ROUND(MIN(300,MAX(1,D762)),0), FactorTable!$A$2:$A$301,0), Skills!M23+1)</f>
        <v/>
      </c>
      <c r="F762">
        <f>IF(Skills!N23=TRUE,(Skills!L23/10)*(E762/1000),Skills!L23/10)+Skills!O23</f>
        <v/>
      </c>
      <c r="G762">
        <f>Calc!G23</f>
        <v/>
      </c>
      <c r="H762">
        <f>Calc!H23</f>
        <v/>
      </c>
      <c r="I762">
        <f>IF(Skills!AA23&lt;&gt;"",1+(Skills!AA23/10)*(U742/1000)/100,1)</f>
        <v/>
      </c>
      <c r="J762" t="inlineStr"/>
      <c r="K762" t="inlineStr"/>
      <c r="L762" t="inlineStr"/>
      <c r="M762" t="inlineStr"/>
      <c r="N762" t="inlineStr"/>
      <c r="O762" t="n">
        <v>0</v>
      </c>
      <c r="P762">
        <f>IF(B783=0,0,O762/B783)</f>
        <v/>
      </c>
      <c r="Q762" t="n">
        <v>0</v>
      </c>
      <c r="R762" t="n">
        <v>0</v>
      </c>
      <c r="S762">
        <f>IFERROR(O762/N762,0)</f>
        <v/>
      </c>
    </row>
    <row r="763">
      <c r="A763">
        <f>Skills!A24</f>
        <v/>
      </c>
      <c r="B763">
        <f>Skills!B24</f>
        <v/>
      </c>
      <c r="C763">
        <f>Inputs!$B$3&gt;=40</f>
        <v/>
      </c>
      <c r="D763">
        <f>IF(Skills!C24=1,60+Inputs!$B$24+Inputs!$B$28,IF(Skills!C24=2,90+Inputs!$B$25+Inputs!$B$28,IF(Skills!C24=3,120+Inputs!$B$26+Inputs!$B$28,MAX(0,(Inputs!$B$3-100)*3)+Inputs!$B$27+Inputs!$B$28)))</f>
        <v/>
      </c>
      <c r="E763">
        <f>INDEX(FactorTable!$B$2:$Y$301, MATCH(ROUND(MIN(300,MAX(1,D763)),0), FactorTable!$A$2:$A$301,0), Skills!M24+1)</f>
        <v/>
      </c>
      <c r="F763">
        <f>IF(Skills!N24=TRUE,(Skills!L24/10)*(E763/1000),Skills!L24/10)+Skills!O24</f>
        <v/>
      </c>
      <c r="G763">
        <f>Calc!G24</f>
        <v/>
      </c>
      <c r="H763">
        <f>Calc!H24</f>
        <v/>
      </c>
      <c r="I763">
        <f>IF(Skills!AA24&lt;&gt;"",1+(Skills!AA24/10)*(U742/1000)/100,1)</f>
        <v/>
      </c>
      <c r="J763" t="inlineStr"/>
      <c r="K763" t="inlineStr"/>
      <c r="L763" t="inlineStr"/>
      <c r="M763" t="inlineStr"/>
      <c r="N763" t="inlineStr"/>
      <c r="O763" t="n">
        <v>0</v>
      </c>
      <c r="P763">
        <f>IF(B783=0,0,O763/B783)</f>
        <v/>
      </c>
      <c r="Q763" t="n">
        <v>0</v>
      </c>
      <c r="R763" t="n">
        <v>0</v>
      </c>
      <c r="S763">
        <f>IFERROR(O763/N763,0)</f>
        <v/>
      </c>
    </row>
    <row r="764">
      <c r="A764">
        <f>Skills!A25</f>
        <v/>
      </c>
      <c r="B764">
        <f>Skills!B25</f>
        <v/>
      </c>
      <c r="C764">
        <f>Inputs!$B$3&gt;=45</f>
        <v/>
      </c>
      <c r="D764">
        <f>IF(Skills!C25=1,60+Inputs!$B$24+Inputs!$B$28,IF(Skills!C25=2,90+Inputs!$B$25+Inputs!$B$28,IF(Skills!C25=3,120+Inputs!$B$26+Inputs!$B$28,MAX(0,(Inputs!$B$3-100)*3)+Inputs!$B$27+Inputs!$B$28)))</f>
        <v/>
      </c>
      <c r="E764">
        <f>INDEX(FactorTable!$B$2:$Y$301, MATCH(ROUND(MIN(300,MAX(1,D764)),0), FactorTable!$A$2:$A$301,0), Skills!M25+1)</f>
        <v/>
      </c>
      <c r="F764">
        <f>IF(Skills!N25=TRUE,(Skills!L25/10)*(E764/1000),Skills!L25/10)+Skills!O25</f>
        <v/>
      </c>
      <c r="G764">
        <f>Calc!G25</f>
        <v/>
      </c>
      <c r="H764">
        <f>Calc!H25</f>
        <v/>
      </c>
      <c r="I764">
        <f>IF(Skills!AA25&lt;&gt;"",1+(Skills!AA25/10)*(U742/1000)/100,1)</f>
        <v/>
      </c>
      <c r="J764" t="inlineStr"/>
      <c r="K764" t="inlineStr"/>
      <c r="L764" t="inlineStr"/>
      <c r="M764" t="inlineStr"/>
      <c r="N764" t="inlineStr"/>
      <c r="O764" t="n">
        <v>0</v>
      </c>
      <c r="P764">
        <f>IF(B783=0,0,O764/B783)</f>
        <v/>
      </c>
      <c r="Q764" t="n">
        <v>0</v>
      </c>
      <c r="R764" t="n">
        <v>0</v>
      </c>
      <c r="S764">
        <f>IFERROR(O764/N764,0)</f>
        <v/>
      </c>
    </row>
    <row r="765">
      <c r="A765">
        <f>Skills!A26</f>
        <v/>
      </c>
      <c r="B765">
        <f>Skills!B26</f>
        <v/>
      </c>
      <c r="C765">
        <f>Inputs!$B$3&gt;=45</f>
        <v/>
      </c>
      <c r="D765">
        <f>IF(Skills!C26=1,60+Inputs!$B$24+Inputs!$B$28,IF(Skills!C26=2,90+Inputs!$B$25+Inputs!$B$28,IF(Skills!C26=3,120+Inputs!$B$26+Inputs!$B$28,MAX(0,(Inputs!$B$3-100)*3)+Inputs!$B$27+Inputs!$B$28)))</f>
        <v/>
      </c>
      <c r="E765">
        <f>INDEX(FactorTable!$B$2:$Y$301, MATCH(ROUND(MIN(300,MAX(1,D765)),0), FactorTable!$A$2:$A$301,0), Skills!M26+1)</f>
        <v/>
      </c>
      <c r="F765">
        <f>IF(Skills!N26=TRUE,(Skills!L26/10)*(E765/1000),Skills!L26/10)+Skills!O26</f>
        <v/>
      </c>
      <c r="G765">
        <f>Calc!G26</f>
        <v/>
      </c>
      <c r="H765">
        <f>Calc!H26</f>
        <v/>
      </c>
      <c r="I765">
        <f>IF(Skills!AA26&lt;&gt;"",1+(Skills!AA26/10)*(U742/1000)/100,1)</f>
        <v/>
      </c>
      <c r="J765" t="inlineStr"/>
      <c r="K765" t="inlineStr"/>
      <c r="L765" t="inlineStr"/>
      <c r="M765" t="inlineStr"/>
      <c r="N765" t="inlineStr"/>
      <c r="O765" t="n">
        <v>0</v>
      </c>
      <c r="P765">
        <f>IF(B783=0,0,O765/B783)</f>
        <v/>
      </c>
      <c r="Q765" t="n">
        <v>0</v>
      </c>
      <c r="R765" t="n">
        <v>0</v>
      </c>
      <c r="S765">
        <f>IFERROR(O765/N765,0)</f>
        <v/>
      </c>
    </row>
    <row r="766">
      <c r="A766">
        <f>Skills!A27</f>
        <v/>
      </c>
      <c r="B766">
        <f>Skills!B27</f>
        <v/>
      </c>
      <c r="C766">
        <f>Inputs!$B$3&gt;=72</f>
        <v/>
      </c>
      <c r="D766">
        <f>IF(Skills!C27=1,60+Inputs!$B$24+Inputs!$B$28,IF(Skills!C27=2,90+Inputs!$B$25+Inputs!$B$28,IF(Skills!C27=3,120+Inputs!$B$26+Inputs!$B$28,MAX(0,(Inputs!$B$3-100)*3)+Inputs!$B$27+Inputs!$B$28)))</f>
        <v/>
      </c>
      <c r="E766">
        <f>INDEX(FactorTable!$B$2:$Y$301, MATCH(ROUND(MIN(300,MAX(1,D766)),0), FactorTable!$A$2:$A$301,0), Skills!M27+1)</f>
        <v/>
      </c>
      <c r="F766">
        <f>IF(Skills!N27=TRUE,(Skills!L27/10)*(E766/1000),Skills!L27/10)+Skills!O27</f>
        <v/>
      </c>
      <c r="G766">
        <f>Calc!G27</f>
        <v/>
      </c>
      <c r="H766">
        <f>Calc!H27</f>
        <v/>
      </c>
      <c r="I766">
        <f>IF(Skills!AA27&lt;&gt;"",1+(Skills!AA27/10)*(U742/1000)/100,1)</f>
        <v/>
      </c>
      <c r="J766" t="inlineStr"/>
      <c r="K766" t="inlineStr"/>
      <c r="L766" t="inlineStr"/>
      <c r="M766" t="inlineStr"/>
      <c r="N766" t="inlineStr"/>
      <c r="O766" t="n">
        <v>0</v>
      </c>
      <c r="P766">
        <f>IF(B783=0,0,O766/B783)</f>
        <v/>
      </c>
      <c r="Q766" t="n">
        <v>0</v>
      </c>
      <c r="R766" t="n">
        <v>0</v>
      </c>
      <c r="S766">
        <f>IFERROR(O766/N766,0)</f>
        <v/>
      </c>
    </row>
    <row r="767">
      <c r="A767">
        <f>Skills!A28</f>
        <v/>
      </c>
      <c r="B767">
        <f>Skills!B28</f>
        <v/>
      </c>
      <c r="C767">
        <f>Inputs!$B$3&gt;=75</f>
        <v/>
      </c>
      <c r="D767">
        <f>IF(Skills!C28=1,60+Inputs!$B$24+Inputs!$B$28,IF(Skills!C28=2,90+Inputs!$B$25+Inputs!$B$28,IF(Skills!C28=3,120+Inputs!$B$26+Inputs!$B$28,MAX(0,(Inputs!$B$3-100)*3)+Inputs!$B$27+Inputs!$B$28)))</f>
        <v/>
      </c>
      <c r="E767">
        <f>INDEX(FactorTable!$B$2:$Y$301, MATCH(ROUND(MIN(300,MAX(1,D767)),0), FactorTable!$A$2:$A$301,0), Skills!M28+1)</f>
        <v/>
      </c>
      <c r="F767">
        <f>IF(Skills!N28=TRUE,(Skills!L28/10)*(E767/1000),Skills!L28/10)+Skills!O28</f>
        <v/>
      </c>
      <c r="G767">
        <f>Calc!G28</f>
        <v/>
      </c>
      <c r="H767">
        <f>Calc!H28</f>
        <v/>
      </c>
      <c r="I767">
        <f>IF(Skills!AA28&lt;&gt;"",1+(Skills!AA28/10)*(U742/1000)/100,1)</f>
        <v/>
      </c>
      <c r="J767" t="inlineStr"/>
      <c r="K767" t="inlineStr"/>
      <c r="L767" t="inlineStr"/>
      <c r="M767" t="inlineStr"/>
      <c r="N767" t="inlineStr"/>
      <c r="O767" t="n">
        <v>0</v>
      </c>
      <c r="P767">
        <f>IF(B783=0,0,O767/B783)</f>
        <v/>
      </c>
      <c r="Q767" t="n">
        <v>0</v>
      </c>
      <c r="R767" t="n">
        <v>0</v>
      </c>
      <c r="S767">
        <f>IFERROR(O767/N767,0)</f>
        <v/>
      </c>
    </row>
    <row r="768">
      <c r="A768">
        <f>Skills!A29</f>
        <v/>
      </c>
      <c r="B768">
        <f>Skills!B29</f>
        <v/>
      </c>
      <c r="C768">
        <f>Inputs!$B$3&gt;=120</f>
        <v/>
      </c>
      <c r="D768">
        <f>IF(Skills!C29=1,60+Inputs!$B$24+Inputs!$B$28,IF(Skills!C29=2,90+Inputs!$B$25+Inputs!$B$28,IF(Skills!C29=3,120+Inputs!$B$26+Inputs!$B$28,MAX(0,(Inputs!$B$3-100)*3)+Inputs!$B$27+Inputs!$B$28)))</f>
        <v/>
      </c>
      <c r="E768">
        <f>INDEX(FactorTable!$B$2:$Y$301, MATCH(ROUND(MIN(300,MAX(1,D768)),0), FactorTable!$A$2:$A$301,0), Skills!M29+1)</f>
        <v/>
      </c>
      <c r="F768">
        <f>IF(Skills!N29=TRUE,(Skills!L29/10)*(E768/1000),Skills!L29/10)+Skills!O29</f>
        <v/>
      </c>
      <c r="G768">
        <f>Calc!G29</f>
        <v/>
      </c>
      <c r="H768">
        <f>Calc!H29</f>
        <v/>
      </c>
      <c r="I768">
        <f>IF(Skills!AA29&lt;&gt;"",1+(Skills!AA29/10)*(U742/1000)/100,1)</f>
        <v/>
      </c>
      <c r="J768" t="inlineStr"/>
      <c r="K768" t="inlineStr"/>
      <c r="L768" t="inlineStr"/>
      <c r="M768" t="inlineStr"/>
      <c r="N768" t="inlineStr"/>
      <c r="O768" t="n">
        <v>0</v>
      </c>
      <c r="P768">
        <f>IF(B783=0,0,O768/B783)</f>
        <v/>
      </c>
      <c r="Q768" t="n">
        <v>0</v>
      </c>
      <c r="R768" t="n">
        <v>0</v>
      </c>
      <c r="S768">
        <f>IFERROR(O768/N768,0)</f>
        <v/>
      </c>
    </row>
    <row r="769">
      <c r="A769">
        <f>Skills!A30</f>
        <v/>
      </c>
      <c r="B769">
        <f>Skills!B30</f>
        <v/>
      </c>
      <c r="C769">
        <f>Inputs!$B$3&gt;=125</f>
        <v/>
      </c>
      <c r="D769">
        <f>IF(Skills!C30=1,60+Inputs!$B$24+Inputs!$B$28,IF(Skills!C30=2,90+Inputs!$B$25+Inputs!$B$28,IF(Skills!C30=3,120+Inputs!$B$26+Inputs!$B$28,MAX(0,(Inputs!$B$3-100)*3)+Inputs!$B$27+Inputs!$B$28)))</f>
        <v/>
      </c>
      <c r="E769">
        <f>INDEX(FactorTable!$B$2:$Y$301, MATCH(ROUND(MIN(300,MAX(1,D769)),0), FactorTable!$A$2:$A$301,0), Skills!M30+1)</f>
        <v/>
      </c>
      <c r="F769">
        <f>IF(Skills!N30=TRUE,(Skills!L30/10)*(E769/1000),Skills!L30/10)+Skills!O30</f>
        <v/>
      </c>
      <c r="G769">
        <f>Calc!G30</f>
        <v/>
      </c>
      <c r="H769">
        <f>Calc!H30</f>
        <v/>
      </c>
      <c r="I769">
        <f>IF(Skills!AA30&lt;&gt;"",1+(Skills!AA30/10)*(U742/1000)/100,1)</f>
        <v/>
      </c>
      <c r="J769" t="inlineStr"/>
      <c r="K769" t="inlineStr"/>
      <c r="L769" t="inlineStr"/>
      <c r="M769" t="inlineStr"/>
      <c r="N769" t="inlineStr"/>
      <c r="O769" t="n">
        <v>0</v>
      </c>
      <c r="P769">
        <f>IF(B783=0,0,O769/B783)</f>
        <v/>
      </c>
      <c r="Q769" t="n">
        <v>0</v>
      </c>
      <c r="R769" t="n">
        <v>0</v>
      </c>
      <c r="S769">
        <f>IFERROR(O769/N769,0)</f>
        <v/>
      </c>
    </row>
    <row r="770">
      <c r="A770">
        <f>Skills!A31</f>
        <v/>
      </c>
      <c r="B770">
        <f>Skills!B31</f>
        <v/>
      </c>
      <c r="C770">
        <f>Inputs!$B$3&gt;=107</f>
        <v/>
      </c>
      <c r="D770">
        <f>IF(Skills!C31=1,60+Inputs!$B$24+Inputs!$B$28,IF(Skills!C31=2,90+Inputs!$B$25+Inputs!$B$28,IF(Skills!C31=3,120+Inputs!$B$26+Inputs!$B$28,MAX(0,(Inputs!$B$3-100)*3)+Inputs!$B$27+Inputs!$B$28)))</f>
        <v/>
      </c>
      <c r="E770">
        <f>INDEX(FactorTable!$B$2:$Y$301, MATCH(ROUND(MIN(300,MAX(1,D770)),0), FactorTable!$A$2:$A$301,0), Skills!M31+1)</f>
        <v/>
      </c>
      <c r="F770">
        <f>IF(Skills!N31=TRUE,(Skills!L31/10)*(E770/1000),Skills!L31/10)+Skills!O31</f>
        <v/>
      </c>
      <c r="G770">
        <f>Calc!G31</f>
        <v/>
      </c>
      <c r="H770">
        <f>Calc!H31</f>
        <v/>
      </c>
      <c r="I770">
        <f>IF(Skills!AA31&lt;&gt;"",1+(Skills!AA31/10)*(U742/1000)/100,1)</f>
        <v/>
      </c>
      <c r="J770" t="inlineStr"/>
      <c r="K770" t="inlineStr"/>
      <c r="L770" t="inlineStr"/>
      <c r="M770" t="inlineStr"/>
      <c r="N770" t="inlineStr"/>
      <c r="O770" t="n">
        <v>0</v>
      </c>
      <c r="P770">
        <f>IF(B783=0,0,O770/B783)</f>
        <v/>
      </c>
      <c r="Q770" t="n">
        <v>0</v>
      </c>
      <c r="R770" t="n">
        <v>0</v>
      </c>
      <c r="S770">
        <f>IFERROR(O770/N770,0)</f>
        <v/>
      </c>
    </row>
    <row r="772">
      <c r="A772" t="inlineStr">
        <is>
          <t>Actions Per Second (pre-Adrenalin)</t>
        </is>
      </c>
      <c r="B772">
        <f>1+MIN(150,150*(1-(1-(Inputs!$B$10+((C761=TRUE)*(F761-Calc!F22)))/150)*(1-((C758=TRUE)*F758*IF(AND(Inputs!$B$4&lt;&gt;"pvp",Inputs!$B$35&gt;0),(((S758-1)*(Skills!Y19*(1+Inputs!$B$33/100))+MIN((Skills!Y19*(1+Inputs!$B$33/100)),MAX(0,Inputs!$B$35-((S758-1)*Skills!D19))))/Inputs!$B$35),IF(Inputs!$B$4="pvp",MIN((Skills!Y19*(1+Inputs!$B$33/100)),15)/15,(Skills!Y19*(1+Inputs!$B$33/100))/Skills!D19)))/150)))/100</f>
        <v/>
      </c>
    </row>
    <row r="773">
      <c r="A773" t="inlineStr">
        <is>
          <t>Alchemic Adrenaline Uptime</t>
        </is>
      </c>
      <c r="B773">
        <f>(Skills!Y6*(1+Inputs!$B$33/100))/((Skills!Y6*(1+Inputs!$B$33/100))+(5/B772))</f>
        <v/>
      </c>
    </row>
    <row r="774">
      <c r="A774" t="inlineStr">
        <is>
          <t>Attack Speed Buff Bonus %</t>
        </is>
      </c>
      <c r="B774">
        <f>((C758=TRUE)*F758*IF(AND(Inputs!$B$4&lt;&gt;"pvp",Inputs!$B$35&gt;0),(((S758-1)*(Skills!Y19*(1+Inputs!$B$33/100))+MIN((Skills!Y19*(1+Inputs!$B$33/100)),MAX(0,Inputs!$B$35-((S758-1)*Skills!D19))))/Inputs!$B$35),IF(Inputs!$B$4="pvp",MIN((Skills!Y19*(1+Inputs!$B$33/100)),15)/15,(Skills!Y19*(1+Inputs!$B$33/100))/Skills!D19)))+((C746=TRUE)*F746*B773)</f>
        <v/>
      </c>
    </row>
    <row r="775">
      <c r="A775" t="inlineStr">
        <is>
          <t>Actions Per Second (final)</t>
        </is>
      </c>
      <c r="B775">
        <f>1+MIN(150,150*(1-(1-(Inputs!$B$10+((C761=TRUE)*(F761-Calc!F22)))/150)*(1-B774/150)))/100</f>
        <v/>
      </c>
    </row>
    <row r="776">
      <c r="A776" t="inlineStr">
        <is>
          <t>Skill + Buff Cast Rate</t>
        </is>
      </c>
      <c r="B776">
        <f>IF(AND(Inputs!$B$4&lt;&gt;"pvp",Inputs!$B$35&gt;0),SUMPRODUCT((Skills!E2:E31=TRUE)*(C741:C770=TRUE)*R741:R770*Skills!F2:F31)/Inputs!$B$35,SUMPRODUCT((Skills!E2:E31=TRUE)*(C741:C770=TRUE)*Q741:Q770*Skills!F2:F31))</f>
        <v/>
      </c>
    </row>
    <row r="777">
      <c r="A777" t="inlineStr">
        <is>
          <t>Showdown Casts Per Second</t>
        </is>
      </c>
      <c r="B777">
        <f>MAX(0,B775-B776)</f>
        <v/>
      </c>
    </row>
    <row r="778">
      <c r="A778" t="inlineStr">
        <is>
          <t>Average Buff Multiplier</t>
        </is>
      </c>
      <c r="B778">
        <f>(1+(((C760=TRUE)*F760*IF(AND(Inputs!$B$4&lt;&gt;"pvp",Inputs!$B$35&gt;0),(((S760-1)*(Skills!Y21*(1+Inputs!$B$33/100))+MIN((Skills!Y21*(1+Inputs!$B$33/100)),MAX(0,Inputs!$B$35-((S760-1)*Skills!D21))))/Inputs!$B$35),IF(Inputs!$B$4="pvp",MIN((Skills!Y21*(1+Inputs!$B$33/100)),15)/15,(Skills!Y21*(1+Inputs!$B$33/100))/Skills!D21)))+((C767=TRUE)*(F767-Calc!F28))+((C757=TRUE)*(F757-Calc!F18)))/100)*(1+((C754=TRUE)*F754*IF(AND(Inputs!$B$4&lt;&gt;"pvp",Inputs!$B$35&gt;0),(((S754-1)*(Skills!Y15*(1+Inputs!$B$33/100))+MIN((Skills!Y15*(1+Inputs!$B$33/100)),MAX(0,Inputs!$B$35-((S754-1)*Skills!D15))))/Inputs!$B$35),IF(Inputs!$B$4="pvp",MIN((Skills!Y15*(1+Inputs!$B$33/100)),15)/15,(Skills!Y15*(1+Inputs!$B$33/100))/Skills!D15)))/100)*(1+((C745=TRUE)*F745*B773)/100)</f>
        <v/>
      </c>
    </row>
    <row r="779">
      <c r="A779" t="inlineStr">
        <is>
          <t>Global Crit Rate Bonus %</t>
        </is>
      </c>
      <c r="B779">
        <f>IF(Inputs!$B$3&gt;=47,8,0)+((C759=TRUE)*F759*IF(AND(Inputs!$B$4&lt;&gt;"pvp",Inputs!$B$35&gt;0),(((S759-1)*(Skills!Y20*(1+Inputs!$B$33/100))+MIN((Skills!Y20*(1+Inputs!$B$33/100)),MAX(0,Inputs!$B$35-((S759-1)*Skills!D20))))/Inputs!$B$35),IF(Inputs!$B$4="pvp",MIN((Skills!Y20*(1+Inputs!$B$33/100)),15)/15,(Skills!Y20*(1+Inputs!$B$33/100))/Skills!D20)))</f>
        <v/>
      </c>
    </row>
    <row r="780">
      <c r="A780" t="inlineStr">
        <is>
          <t>Global Monster Damage-Taken Bonus %</t>
        </is>
      </c>
      <c r="B780">
        <f>IF(Inputs!$B$3&gt;=82,15,0)+((C755=TRUE)*F755*IF(AND(Inputs!$B$4&lt;&gt;"pvp",Inputs!$B$35&gt;0),(((S755-1)*(Skills!Y16*(1+Inputs!$B$33/100))+MIN((Skills!Y16*(1+Inputs!$B$33/100)),MAX(0,Inputs!$B$35-((S755-1)*Skills!D16))))/Inputs!$B$35),IF(Inputs!$B$4="pvp",MIN((Skills!Y16*(1+Inputs!$B$33/100)),15)/15,(Skills!Y16*(1+Inputs!$B$33/100))/Skills!D16)))</f>
        <v/>
      </c>
    </row>
    <row r="781">
      <c r="A781" t="inlineStr">
        <is>
          <t>Shadow Partner Average Multiplier</t>
        </is>
      </c>
      <c r="B781">
        <f>1+((C750=TRUE)*F750*I750*Skills!J11/100)/100</f>
        <v/>
      </c>
    </row>
    <row r="782">
      <c r="A782" t="inlineStr">
        <is>
          <t>Global Critical Damage Bonus % (Frailty Curse Mastery Lv.111)</t>
        </is>
      </c>
      <c r="B782">
        <f>IF(Inputs!$B$3&gt;=111,30,0)*IF(AND(Inputs!$B$4&lt;&gt;"pvp",Inputs!$B$35&gt;0),(((S755-1)*(Skills!Y16*(1+Inputs!$B$33/100))+MIN((Skills!Y16*(1+Inputs!$B$33/100)),MAX(0,Inputs!$B$35-((S755-1)*Skills!D16))))/Inputs!$B$35),IF(Inputs!$B$4="pvp",MIN((Skills!Y16*(1+Inputs!$B$33/100)),15)/15,(Skills!Y16*(1+Inputs!$B$33/100))/Skills!D16))</f>
        <v/>
      </c>
    </row>
    <row r="783">
      <c r="A783" s="5" t="inlineStr">
        <is>
          <t>TOTAL DPS</t>
        </is>
      </c>
      <c r="B783" s="5">
        <f>SUM(O741:O770)</f>
        <v/>
      </c>
    </row>
    <row r="786">
      <c r="A786" s="5" t="inlineStr">
        <is>
          <t>Stat: Skill Level Bonus — 1st Job</t>
        </is>
      </c>
    </row>
    <row r="787">
      <c r="A787" s="8" t="inlineStr">
        <is>
          <t>Key</t>
        </is>
      </c>
      <c r="B787" s="8" t="inlineStr">
        <is>
          <t>Name</t>
        </is>
      </c>
      <c r="C787" s="8" t="inlineStr">
        <is>
          <t>Unlocked</t>
        </is>
      </c>
      <c r="D787" s="8" t="inlineStr">
        <is>
          <t>InputLevel</t>
        </is>
      </c>
      <c r="E787" s="8" t="inlineStr">
        <is>
          <t>Factor</t>
        </is>
      </c>
      <c r="F787" s="8" t="inlineStr">
        <is>
          <t>CoefficientPercent</t>
        </is>
      </c>
      <c r="G787" s="8" t="inlineStr">
        <is>
          <t>EffectiveHits</t>
        </is>
      </c>
      <c r="H787" s="8" t="inlineStr">
        <is>
          <t>ProcProbability</t>
        </is>
      </c>
      <c r="I787" s="8" t="inlineStr">
        <is>
          <t>MapleHeroMultiplier</t>
        </is>
      </c>
      <c r="J787" s="8" t="inlineStr">
        <is>
          <t>BaseDamage</t>
        </is>
      </c>
      <c r="K787" s="8" t="inlineStr">
        <is>
          <t>BaseHitDamage</t>
        </is>
      </c>
      <c r="L787" s="8" t="inlineStr">
        <is>
          <t>NonCritAvg</t>
        </is>
      </c>
      <c r="M787" s="8" t="inlineStr">
        <is>
          <t>CritAvg</t>
        </is>
      </c>
      <c r="N787" s="8" t="inlineStr">
        <is>
          <t>ExpectedDamage(perHit)</t>
        </is>
      </c>
      <c r="O787" s="8" t="inlineStr">
        <is>
          <t>DPS</t>
        </is>
      </c>
      <c r="P787" s="8" t="inlineStr">
        <is>
          <t>% of Total</t>
        </is>
      </c>
      <c r="Q787" s="8" t="inlineStr">
        <is>
          <t>InvCooldown</t>
        </is>
      </c>
      <c r="R787" s="8" t="inlineStr">
        <is>
          <t>CastsInFight</t>
        </is>
      </c>
      <c r="S787" s="8" t="inlineStr">
        <is>
          <t>HitRate(perSec)</t>
        </is>
      </c>
      <c r="U787" t="inlineStr">
        <is>
          <t>helpers</t>
        </is>
      </c>
    </row>
    <row r="788">
      <c r="A788">
        <f>Skills!A2</f>
        <v/>
      </c>
      <c r="B788">
        <f>Skills!B2</f>
        <v/>
      </c>
      <c r="C788">
        <f>Inputs!$B$3&gt;=100</f>
        <v/>
      </c>
      <c r="D788" t="inlineStr"/>
      <c r="E788" t="inlineStr"/>
      <c r="F788">
        <f>U792+Skills!O2</f>
        <v/>
      </c>
      <c r="G788">
        <f>Calc!G2</f>
        <v/>
      </c>
      <c r="H788">
        <f>Calc!H2</f>
        <v/>
      </c>
      <c r="I788">
        <f>IF(Skills!AA2&lt;&gt;"",1+(Skills!AA2/10)*(U789/1000)/100,1)</f>
        <v/>
      </c>
      <c r="J788">
        <f>(Inputs!$B$5*(1+Inputs!$B$6/100))*(F788/100)</f>
        <v/>
      </c>
      <c r="K788">
        <f>J788*(1+((Inputs!$B$11*(1+Inputs!$B$12/100))*0.01+Inputs!$B$13*0.0025)/100)*(1+Inputs!$B$14/100)*(1+IF(Inputs!$B$4="pvp",0,(1-Summary!$B$55)*(Inputs!$B$19+((C813=TRUE)*(F813-Calc!F27))+Skills!P2+B827)+Summary!$B$55*(Inputs!$B$20+Skills!Q2+B827))/100)*(1+Inputs!$B$15/100)*(5000/(6000+Inputs!$B$7*(1-Inputs!$B$18/100)))*(1+(Inputs!$B$23+((C816=TRUE)*(F816-Calc!F30)))/100)*(1+Skills!R2/100)*(1+(IF(Skills!A2="SHOWDOWN",Inputs!$B$16+((C809=TRUE)*(F809-Calc!F23)),Inputs!$B$17+((C815=TRUE)*(F815-Calc!F29))))/100)*(((1+(((C807=TRUE)*F807*IF(AND(Inputs!$B$4&lt;&gt;"pvp",Inputs!$B$35&gt;0),(((S807-1)*(Skills!Y21*(1+Inputs!$B$33/100))+MIN((Skills!Y21*(1+Inputs!$B$33/100)),MAX(0,Inputs!$B$35-((S807-1)*Skills!D21))))/Inputs!$B$35),IF(Inputs!$B$4="pvp",MIN((Skills!Y21*(1+Inputs!$B$33/100)),15)/15,(Skills!Y21*(1+Inputs!$B$33/100))/Skills!D21)))+((C814=TRUE)*(F814-Calc!F28))+((C804=TRUE)*(F804-Calc!F18)))/100)*(1+((C801=TRUE)*F801*IF(AND(Inputs!$B$4&lt;&gt;"pvp",Inputs!$B$35&gt;0),(((S801-1)*(Skills!Y15*(1+Inputs!$B$33/100))+MIN((Skills!Y15*(1+Inputs!$B$33/100)),MAX(0,Inputs!$B$35-((S801-1)*Skills!D15))))/Inputs!$B$35),IF(Inputs!$B$4="pvp",MIN((Skills!Y15*(1+Inputs!$B$33/100)),15)/15,(Skills!Y15*(1+Inputs!$B$33/100))/Skills!D15)))/100)*(1+((C792=TRUE)*F792*B820)/100))*B828*I788)</f>
        <v/>
      </c>
      <c r="L788">
        <f>K788*(MIN(Inputs!$B$21+((C810=TRUE)*(F810-Calc!F24)),Inputs!$B$22)/100+Inputs!$B$22/100)/2</f>
        <v/>
      </c>
      <c r="M788">
        <f>L788*(1+(Inputs!$B$9+((C812=TRUE)*(F812-Calc!F26))+B829)/100)</f>
        <v/>
      </c>
      <c r="N788">
        <f>L788*(1-MIN((Inputs!$B$8+((C811=TRUE)*(F811-Calc!F25))+B826),100)/100)+M788*(MIN((Inputs!$B$8+((C811=TRUE)*(F811-Calc!F25))+B826),100)/100)</f>
        <v/>
      </c>
      <c r="O788">
        <f>IF(C788,Skills!G2*N788*B824*IF(Inputs!$B$4="pvp",1,(1-Summary!$B$55)*(1)+Summary!$B$55*(MIN((6+Inputs!$B$32),Inputs!$B$37))),0)</f>
        <v/>
      </c>
      <c r="P788">
        <f>IF(B830=0,0,O788/B830)</f>
        <v/>
      </c>
      <c r="Q788" t="n">
        <v>0</v>
      </c>
      <c r="R788" t="n">
        <v>0</v>
      </c>
      <c r="S788">
        <f>IFERROR(O788/N788,0)</f>
        <v/>
      </c>
      <c r="U788">
        <f>MAX(0,(Inputs!$B$3-100)*3)+Inputs!$B$27+Inputs!$B$28</f>
        <v/>
      </c>
    </row>
    <row r="789">
      <c r="A789">
        <f>Skills!A3</f>
        <v/>
      </c>
      <c r="B789">
        <f>Skills!B3</f>
        <v/>
      </c>
      <c r="C789">
        <f>Inputs!$B$3&gt;=35</f>
        <v/>
      </c>
      <c r="D789">
        <f>IF(Skills!C3=1,60+(Inputs!$B$24+1)+Inputs!$B$28,IF(Skills!C3=2,90+Inputs!$B$25+Inputs!$B$28,IF(Skills!C3=3,120+Inputs!$B$26+Inputs!$B$28,MAX(0,(Inputs!$B$3-100)*3)+Inputs!$B$27+Inputs!$B$28)))</f>
        <v/>
      </c>
      <c r="E789">
        <f>INDEX(FactorTable!$B$2:$Y$301, MATCH(ROUND(MIN(300,MAX(1,D789)),0), FactorTable!$A$2:$A$301,0), Skills!M3+1)</f>
        <v/>
      </c>
      <c r="F789">
        <f>IF(Skills!N3=TRUE,(Skills!L3/10)*(E789/1000),Skills!L3/10)+Skills!O3</f>
        <v/>
      </c>
      <c r="G789">
        <f>Calc!G3</f>
        <v/>
      </c>
      <c r="H789">
        <f>Calc!H3</f>
        <v/>
      </c>
      <c r="I789">
        <f>IF(Skills!AA3&lt;&gt;"",1+(Skills!AA3/10)*(U789/1000)/100,1)</f>
        <v/>
      </c>
      <c r="J789">
        <f>(Inputs!$B$5*(1+Inputs!$B$6/100))*(F789/100)</f>
        <v/>
      </c>
      <c r="K789">
        <f>J789*(1+((Inputs!$B$11*(1+Inputs!$B$12/100))*0.01+Inputs!$B$13*0.0025)/100)*(1+Inputs!$B$14/100)*(1+IF(Inputs!$B$4="pvp",0,(1-Summary!$B$55)*(Inputs!$B$19+((C813=TRUE)*(F813-Calc!F27))+Skills!P3+B827)+Summary!$B$55*(Inputs!$B$20+Skills!Q3+B827))/100)*(1+Inputs!$B$15/100)*(5000/(6000+Inputs!$B$7*(1-Inputs!$B$18/100)))*(1+(Inputs!$B$23+((C816=TRUE)*(F816-Calc!F30)))/100)*(1+Skills!R3/100)*(1+(IF(Skills!A3="SHOWDOWN",Inputs!$B$16+((C809=TRUE)*(F809-Calc!F23)),Inputs!$B$17+((C815=TRUE)*(F815-Calc!F29))))/100)*(((1+(((C807=TRUE)*F807*IF(AND(Inputs!$B$4&lt;&gt;"pvp",Inputs!$B$35&gt;0),(((S807-1)*(Skills!Y21*(1+Inputs!$B$33/100))+MIN((Skills!Y21*(1+Inputs!$B$33/100)),MAX(0,Inputs!$B$35-((S807-1)*Skills!D21))))/Inputs!$B$35),IF(Inputs!$B$4="pvp",MIN((Skills!Y21*(1+Inputs!$B$33/100)),15)/15,(Skills!Y21*(1+Inputs!$B$33/100))/Skills!D21)))+((C814=TRUE)*(F814-Calc!F28))+((C804=TRUE)*(F804-Calc!F18)))/100)*(1+((C801=TRUE)*F801*IF(AND(Inputs!$B$4&lt;&gt;"pvp",Inputs!$B$35&gt;0),(((S801-1)*(Skills!Y15*(1+Inputs!$B$33/100))+MIN((Skills!Y15*(1+Inputs!$B$33/100)),MAX(0,Inputs!$B$35-((S801-1)*Skills!D15))))/Inputs!$B$35),IF(Inputs!$B$4="pvp",MIN((Skills!Y15*(1+Inputs!$B$33/100)),15)/15,(Skills!Y15*(1+Inputs!$B$33/100))/Skills!D15)))/100)*(1+((C792=TRUE)*F792*B820)/100))*B828*I789)</f>
        <v/>
      </c>
      <c r="L789">
        <f>K789*(MIN(Inputs!$B$21+((C810=TRUE)*(F810-Calc!F24)),Inputs!$B$22)/100+Inputs!$B$22/100)/2</f>
        <v/>
      </c>
      <c r="M789">
        <f>L789*(1+(Inputs!$B$9+((C812=TRUE)*(F812-Calc!F26))+B829)/100)</f>
        <v/>
      </c>
      <c r="N789">
        <f>L789*(1-MIN((Inputs!$B$8+((C811=TRUE)*(F811-Calc!F25))+B826),100)/100)+M789*(MIN((Inputs!$B$8+((C811=TRUE)*(F811-Calc!F25))+B826),100)/100)</f>
        <v/>
      </c>
      <c r="O789">
        <f>IF(C789,H789*N789*IF(AND(Inputs!$B$4&lt;&gt;"pvp",Inputs!$B$35&gt;0),((Skills!G3*((R789-1)*IF(Skills!H3&gt;0,Skills!I3/Skills!H3,1)+IF(Skills!H3&gt;0,MIN(Skills!I3,MAX(0,Inputs!$B$35-((R789-1)*IF(Inputs!$B$4="pvp",15,MAX(0.1,Skills!D3-IF(Skills!E3=TRUE,Inputs!$B$31,0))))))/Skills!H3,1)))/Inputs!$B$35),G789*Q789)*IF(Inputs!$B$4="pvp",1,(1-Summary!$B$55)*(1)+Summary!$B$55*(MIN(Skills!W3,Inputs!$B$37))),0)</f>
        <v/>
      </c>
      <c r="P789">
        <f>IF(B830=0,0,O789/B830)</f>
        <v/>
      </c>
      <c r="Q789">
        <f>IFERROR(1/IF(Inputs!$B$4="pvp",15,MAX(0.1,Skills!D3-IF(Skills!E3=TRUE,Inputs!$B$31,0))),0)</f>
        <v/>
      </c>
      <c r="R789">
        <f>IF(AND(Inputs!$B$4&lt;&gt;"pvp",Inputs!$B$35&gt;0),(INT(Inputs!$B$35/IF(Inputs!$B$4="pvp",15,MAX(0.1,Skills!D3-IF(Skills!E3=TRUE,Inputs!$B$31,0))))+1),0)</f>
        <v/>
      </c>
      <c r="S789">
        <f>IFERROR(O789/N789,0)</f>
        <v/>
      </c>
      <c r="U789">
        <f>INDEX(FactorTable!$B$2:$Y$301, MATCH(ROUND(MIN(300,MAX(1,U788)),0), FactorTable!$A$2:$A$301,0), 24)</f>
        <v/>
      </c>
    </row>
    <row r="790">
      <c r="A790">
        <f>Skills!A4</f>
        <v/>
      </c>
      <c r="B790">
        <f>Skills!B4</f>
        <v/>
      </c>
      <c r="C790">
        <f>Inputs!$B$3&gt;=40</f>
        <v/>
      </c>
      <c r="D790">
        <f>IF(Skills!C4=1,60+(Inputs!$B$24+1)+Inputs!$B$28,IF(Skills!C4=2,90+Inputs!$B$25+Inputs!$B$28,IF(Skills!C4=3,120+Inputs!$B$26+Inputs!$B$28,MAX(0,(Inputs!$B$3-100)*3)+Inputs!$B$27+Inputs!$B$28)))</f>
        <v/>
      </c>
      <c r="E790">
        <f>INDEX(FactorTable!$B$2:$Y$301, MATCH(ROUND(MIN(300,MAX(1,D790)),0), FactorTable!$A$2:$A$301,0), Skills!M4+1)</f>
        <v/>
      </c>
      <c r="F790">
        <f>IF(Skills!N4=TRUE,(Skills!L4/10)*(E790/1000),Skills!L4/10)+Skills!O4</f>
        <v/>
      </c>
      <c r="G790">
        <f>Calc!G4</f>
        <v/>
      </c>
      <c r="H790">
        <f>Calc!H4</f>
        <v/>
      </c>
      <c r="I790">
        <f>IF(Skills!AA4&lt;&gt;"",1+(Skills!AA4/10)*(U789/1000)/100,1)</f>
        <v/>
      </c>
      <c r="J790">
        <f>(Inputs!$B$5*(1+Inputs!$B$6/100))*(F790/100)</f>
        <v/>
      </c>
      <c r="K790">
        <f>J790*(1+((Inputs!$B$11*(1+Inputs!$B$12/100))*0.01+Inputs!$B$13*0.0025)/100)*(1+Inputs!$B$14/100)*(1+IF(Inputs!$B$4="pvp",0,(1-Summary!$B$55)*(Inputs!$B$19+((C813=TRUE)*(F813-Calc!F27))+Skills!P4+B827)+Summary!$B$55*(Inputs!$B$20+Skills!Q4+B827))/100)*(1+Inputs!$B$15/100)*(5000/(6000+Inputs!$B$7*(1-Inputs!$B$18/100)))*(1+(Inputs!$B$23+((C816=TRUE)*(F816-Calc!F30)))/100)*(1+Skills!R4/100)*(1+(IF(Skills!A4="SHOWDOWN",Inputs!$B$16+((C809=TRUE)*(F809-Calc!F23)),Inputs!$B$17+((C815=TRUE)*(F815-Calc!F29))))/100)*(((1+(((C807=TRUE)*F807*IF(AND(Inputs!$B$4&lt;&gt;"pvp",Inputs!$B$35&gt;0),(((S807-1)*(Skills!Y21*(1+Inputs!$B$33/100))+MIN((Skills!Y21*(1+Inputs!$B$33/100)),MAX(0,Inputs!$B$35-((S807-1)*Skills!D21))))/Inputs!$B$35),IF(Inputs!$B$4="pvp",MIN((Skills!Y21*(1+Inputs!$B$33/100)),15)/15,(Skills!Y21*(1+Inputs!$B$33/100))/Skills!D21)))+((C814=TRUE)*(F814-Calc!F28))+((C804=TRUE)*(F804-Calc!F18)))/100)*(1+((C801=TRUE)*F801*IF(AND(Inputs!$B$4&lt;&gt;"pvp",Inputs!$B$35&gt;0),(((S801-1)*(Skills!Y15*(1+Inputs!$B$33/100))+MIN((Skills!Y15*(1+Inputs!$B$33/100)),MAX(0,Inputs!$B$35-((S801-1)*Skills!D15))))/Inputs!$B$35),IF(Inputs!$B$4="pvp",MIN((Skills!Y15*(1+Inputs!$B$33/100)),15)/15,(Skills!Y15*(1+Inputs!$B$33/100))/Skills!D15)))/100)*(1+((C792=TRUE)*F792*B820)/100))*B828*I790)</f>
        <v/>
      </c>
      <c r="L790">
        <f>K790*(MIN(Inputs!$B$21+((C810=TRUE)*(F810-Calc!F24)),Inputs!$B$22)/100+Inputs!$B$22/100)/2</f>
        <v/>
      </c>
      <c r="M790">
        <f>L790*(1+(Inputs!$B$9+((C812=TRUE)*(F812-Calc!F26))+B829)/100)</f>
        <v/>
      </c>
      <c r="N790">
        <f>L790*(1-MIN((Inputs!$B$8+((C811=TRUE)*(F811-Calc!F25))+B826),100)/100)+M790*(MIN((Inputs!$B$8+((C811=TRUE)*(F811-Calc!F25))+B826),100)/100)</f>
        <v/>
      </c>
      <c r="O790">
        <f>IF(C790,H790*N790*IF(AND(Inputs!$B$4&lt;&gt;"pvp",Inputs!$B$35&gt;0),((Skills!G4*((R790-1)*IF(Skills!H4&gt;0,Skills!I4/Skills!H4,1)+IF(Skills!H4&gt;0,MIN(Skills!I4,MAX(0,Inputs!$B$35-((R790-1)*IF(Inputs!$B$4="pvp",15,MAX(0.1,Skills!D4-IF(Skills!E4=TRUE,Inputs!$B$31,0))))))/Skills!H4,1)))/Inputs!$B$35),G790*Q790)*IF(Inputs!$B$4="pvp",1,(1-Summary!$B$55)*(1)+Summary!$B$55*(MIN(Skills!W4,Inputs!$B$37))),0)</f>
        <v/>
      </c>
      <c r="P790">
        <f>IF(B830=0,0,O790/B830)</f>
        <v/>
      </c>
      <c r="Q790">
        <f>IFERROR(1/IF(Inputs!$B$4="pvp",15,MAX(0.1,Skills!D4-IF(Skills!E4=TRUE,Inputs!$B$31,0))),0)</f>
        <v/>
      </c>
      <c r="R790">
        <f>IF(AND(Inputs!$B$4&lt;&gt;"pvp",Inputs!$B$35&gt;0),(INT(Inputs!$B$35/IF(Inputs!$B$4="pvp",15,MAX(0.1,Skills!D4-IF(Skills!E4=TRUE,Inputs!$B$31,0))))+1),0)</f>
        <v/>
      </c>
      <c r="S790">
        <f>IFERROR(O790/N790,0)</f>
        <v/>
      </c>
      <c r="U790">
        <f>MAX(0,(Inputs!$B$3-100)*3)+Inputs!$B$27+Inputs!$B$28</f>
        <v/>
      </c>
    </row>
    <row r="791">
      <c r="A791">
        <f>Skills!A5</f>
        <v/>
      </c>
      <c r="B791">
        <f>Skills!B5</f>
        <v/>
      </c>
      <c r="C791">
        <f>Inputs!$B$3&gt;=63</f>
        <v/>
      </c>
      <c r="D791">
        <f>IF(Skills!C5=1,60+(Inputs!$B$24+1)+Inputs!$B$28,IF(Skills!C5=2,90+Inputs!$B$25+Inputs!$B$28,IF(Skills!C5=3,120+Inputs!$B$26+Inputs!$B$28,MAX(0,(Inputs!$B$3-100)*3)+Inputs!$B$27+Inputs!$B$28)))</f>
        <v/>
      </c>
      <c r="E791">
        <f>INDEX(FactorTable!$B$2:$Y$301, MATCH(ROUND(MIN(300,MAX(1,D791)),0), FactorTable!$A$2:$A$301,0), Skills!M5+1)</f>
        <v/>
      </c>
      <c r="F791">
        <f>IF(Skills!N5=TRUE,(Skills!L5/10)*(E791/1000),Skills!L5/10)+Skills!O5</f>
        <v/>
      </c>
      <c r="G791">
        <f>Calc!G5</f>
        <v/>
      </c>
      <c r="H791">
        <f>Calc!H5</f>
        <v/>
      </c>
      <c r="I791">
        <f>IF(Skills!AA5&lt;&gt;"",1+(Skills!AA5/10)*(U789/1000)/100,1)</f>
        <v/>
      </c>
      <c r="J791">
        <f>(Inputs!$B$5*(1+Inputs!$B$6/100))*(F791/100)</f>
        <v/>
      </c>
      <c r="K791">
        <f>J791*(1+((Inputs!$B$11*(1+Inputs!$B$12/100))*0.01+Inputs!$B$13*0.0025)/100)*(1+Inputs!$B$14/100)*(1+IF(Inputs!$B$4="pvp",0,(1-Summary!$B$55)*(Inputs!$B$19+((C813=TRUE)*(F813-Calc!F27))+Skills!P5+B827)+Summary!$B$55*(Inputs!$B$20+Skills!Q5+B827))/100)*(1+Inputs!$B$15/100)*(5000/(6000+Inputs!$B$7*(1-Inputs!$B$18/100)))*(1+(Inputs!$B$23+((C816=TRUE)*(F816-Calc!F30)))/100)*(1+Skills!R5/100)*(1+(IF(Skills!A5="SHOWDOWN",Inputs!$B$16+((C809=TRUE)*(F809-Calc!F23)),Inputs!$B$17+((C815=TRUE)*(F815-Calc!F29))))/100)*(((1+(((C807=TRUE)*F807*IF(AND(Inputs!$B$4&lt;&gt;"pvp",Inputs!$B$35&gt;0),(((S807-1)*(Skills!Y21*(1+Inputs!$B$33/100))+MIN((Skills!Y21*(1+Inputs!$B$33/100)),MAX(0,Inputs!$B$35-((S807-1)*Skills!D21))))/Inputs!$B$35),IF(Inputs!$B$4="pvp",MIN((Skills!Y21*(1+Inputs!$B$33/100)),15)/15,(Skills!Y21*(1+Inputs!$B$33/100))/Skills!D21)))+((C814=TRUE)*(F814-Calc!F28))+((C804=TRUE)*(F804-Calc!F18)))/100)*(1+((C801=TRUE)*F801*IF(AND(Inputs!$B$4&lt;&gt;"pvp",Inputs!$B$35&gt;0),(((S801-1)*(Skills!Y15*(1+Inputs!$B$33/100))+MIN((Skills!Y15*(1+Inputs!$B$33/100)),MAX(0,Inputs!$B$35-((S801-1)*Skills!D15))))/Inputs!$B$35),IF(Inputs!$B$4="pvp",MIN((Skills!Y15*(1+Inputs!$B$33/100)),15)/15,(Skills!Y15*(1+Inputs!$B$33/100))/Skills!D15)))/100)*(1+((C792=TRUE)*F792*B820)/100))*B828*I791)</f>
        <v/>
      </c>
      <c r="L791">
        <f>K791*(MIN(Inputs!$B$21+((C810=TRUE)*(F810-Calc!F24)),Inputs!$B$22)/100+Inputs!$B$22/100)/2</f>
        <v/>
      </c>
      <c r="M791">
        <f>L791*(1+(Inputs!$B$9+((C812=TRUE)*(F812-Calc!F26))+B829)/100)</f>
        <v/>
      </c>
      <c r="N791">
        <f>L791*(1-MIN((Inputs!$B$8+((C811=TRUE)*(F811-Calc!F25))+B826),100)/100)+M791*(MIN((Inputs!$B$8+((C811=TRUE)*(F811-Calc!F25))+B826),100)/100)</f>
        <v/>
      </c>
      <c r="O791">
        <f>IF(C791,H791*N791*IF(AND(Inputs!$B$4&lt;&gt;"pvp",Inputs!$B$35&gt;0),((Skills!G5*((R791-1)*IF(Skills!H5&gt;0,Skills!I5/Skills!H5,1)+IF(Skills!H5&gt;0,MIN(Skills!I5,MAX(0,Inputs!$B$35-((R791-1)*IF(Inputs!$B$4="pvp",15,MAX(0.1,Skills!D5-IF(Skills!E5=TRUE,Inputs!$B$31,0))))))/Skills!H5,1)))/Inputs!$B$35),G791*Q791)*IF(Inputs!$B$4="pvp",1,(1-Summary!$B$55)*(1)+Summary!$B$55*(MIN(Skills!W5,Inputs!$B$37))),0)</f>
        <v/>
      </c>
      <c r="P791">
        <f>IF(B830=0,0,O791/B830)</f>
        <v/>
      </c>
      <c r="Q791">
        <f>IFERROR(1/IF(Inputs!$B$4="pvp",15,MAX(0.1,Skills!D5-IF(Skills!E5=TRUE,Inputs!$B$31,0))),0)</f>
        <v/>
      </c>
      <c r="R791">
        <f>IF(AND(Inputs!$B$4&lt;&gt;"pvp",Inputs!$B$35&gt;0),(INT(Inputs!$B$35/IF(Inputs!$B$4="pvp",15,MAX(0.1,Skills!D5-IF(Skills!E5=TRUE,Inputs!$B$31,0))))+1),0)</f>
        <v/>
      </c>
      <c r="S791">
        <f>IFERROR(O791/N791,0)</f>
        <v/>
      </c>
      <c r="U791">
        <f>INDEX(FactorTable!$B$2:$Y$301, MATCH(ROUND(MIN(300,MAX(1,U790)),0), FactorTable!$A$2:$A$301,0), 22)</f>
        <v/>
      </c>
    </row>
    <row r="792">
      <c r="A792">
        <f>Skills!A6</f>
        <v/>
      </c>
      <c r="B792">
        <f>Skills!B6</f>
        <v/>
      </c>
      <c r="C792">
        <f>Inputs!$B$3&gt;=66</f>
        <v/>
      </c>
      <c r="D792">
        <f>IF(Skills!C6=1,60+(Inputs!$B$24+1)+Inputs!$B$28,IF(Skills!C6=2,90+Inputs!$B$25+Inputs!$B$28,IF(Skills!C6=3,120+Inputs!$B$26+Inputs!$B$28,MAX(0,(Inputs!$B$3-100)*3)+Inputs!$B$27+Inputs!$B$28)))</f>
        <v/>
      </c>
      <c r="E792">
        <f>INDEX(FactorTable!$B$2:$Y$301, MATCH(ROUND(MIN(300,MAX(1,D792)),0), FactorTable!$A$2:$A$301,0), Skills!M6+1)</f>
        <v/>
      </c>
      <c r="F792">
        <f>IF(Skills!N6=TRUE,(Skills!L6/10)*(E792/1000),Skills!L6/10)+Skills!O6</f>
        <v/>
      </c>
      <c r="G792">
        <f>Calc!G6</f>
        <v/>
      </c>
      <c r="H792">
        <f>Calc!H6</f>
        <v/>
      </c>
      <c r="I792">
        <f>IF(Skills!AA6&lt;&gt;"",1+(Skills!AA6/10)*(U789/1000)/100,1)</f>
        <v/>
      </c>
      <c r="J792" t="inlineStr"/>
      <c r="K792" t="inlineStr"/>
      <c r="L792" t="inlineStr"/>
      <c r="M792" t="inlineStr"/>
      <c r="N792" t="inlineStr"/>
      <c r="O792" t="n">
        <v>0</v>
      </c>
      <c r="P792">
        <f>IF(B830=0,0,O792/B830)</f>
        <v/>
      </c>
      <c r="Q792" t="n">
        <v>0</v>
      </c>
      <c r="R792" t="n">
        <v>0</v>
      </c>
      <c r="S792">
        <f>IFERROR(O792/N792,0)</f>
        <v/>
      </c>
      <c r="U792">
        <f>290*U791/1000</f>
        <v/>
      </c>
    </row>
    <row r="793">
      <c r="A793">
        <f>Skills!A7</f>
        <v/>
      </c>
      <c r="B793">
        <f>Skills!B7</f>
        <v/>
      </c>
      <c r="C793">
        <f>Inputs!$B$3&gt;=66</f>
        <v/>
      </c>
      <c r="D793">
        <f>IF(Skills!C7=1,60+(Inputs!$B$24+1)+Inputs!$B$28,IF(Skills!C7=2,90+Inputs!$B$25+Inputs!$B$28,IF(Skills!C7=3,120+Inputs!$B$26+Inputs!$B$28,MAX(0,(Inputs!$B$3-100)*3)+Inputs!$B$27+Inputs!$B$28)))</f>
        <v/>
      </c>
      <c r="E793">
        <f>INDEX(FactorTable!$B$2:$Y$301, MATCH(ROUND(MIN(300,MAX(1,D793)),0), FactorTable!$A$2:$A$301,0), Skills!M7+1)</f>
        <v/>
      </c>
      <c r="F793">
        <f>IF(Skills!N7=TRUE,(Skills!L7/10)*(E793/1000),Skills!L7/10)+Skills!O7</f>
        <v/>
      </c>
      <c r="G793">
        <f>Calc!G7</f>
        <v/>
      </c>
      <c r="H793">
        <f>Calc!H7</f>
        <v/>
      </c>
      <c r="I793">
        <f>IF(Skills!AA7&lt;&gt;"",1+(Skills!AA7/10)*(U789/1000)/100,1)</f>
        <v/>
      </c>
      <c r="J793" t="inlineStr"/>
      <c r="K793" t="inlineStr"/>
      <c r="L793" t="inlineStr"/>
      <c r="M793" t="inlineStr"/>
      <c r="N793" t="inlineStr"/>
      <c r="O793" t="n">
        <v>0</v>
      </c>
      <c r="P793">
        <f>IF(B830=0,0,O793/B830)</f>
        <v/>
      </c>
      <c r="Q793" t="n">
        <v>0</v>
      </c>
      <c r="R793" t="n">
        <v>0</v>
      </c>
      <c r="S793">
        <f>IFERROR(O793/N793,0)</f>
        <v/>
      </c>
    </row>
    <row r="794">
      <c r="A794">
        <f>Skills!A8</f>
        <v/>
      </c>
      <c r="B794">
        <f>Skills!B8</f>
        <v/>
      </c>
      <c r="C794">
        <f>Inputs!$B$3&gt;=69</f>
        <v/>
      </c>
      <c r="D794">
        <f>IF(Skills!C8=1,60+(Inputs!$B$24+1)+Inputs!$B$28,IF(Skills!C8=2,90+Inputs!$B$25+Inputs!$B$28,IF(Skills!C8=3,120+Inputs!$B$26+Inputs!$B$28,MAX(0,(Inputs!$B$3-100)*3)+Inputs!$B$27+Inputs!$B$28)))</f>
        <v/>
      </c>
      <c r="E794">
        <f>INDEX(FactorTable!$B$2:$Y$301, MATCH(ROUND(MIN(300,MAX(1,D794)),0), FactorTable!$A$2:$A$301,0), Skills!M8+1)</f>
        <v/>
      </c>
      <c r="F794">
        <f>IF(Skills!N8=TRUE,(Skills!L8/10)*(E794/1000),Skills!L8/10)+Skills!O8</f>
        <v/>
      </c>
      <c r="G794">
        <f>Calc!G8</f>
        <v/>
      </c>
      <c r="H794">
        <f>Calc!H8</f>
        <v/>
      </c>
      <c r="I794">
        <f>IF(Skills!AA8&lt;&gt;"",1+(Skills!AA8/10)*(U789/1000)/100,1)</f>
        <v/>
      </c>
      <c r="J794">
        <f>(Inputs!$B$5*(1+Inputs!$B$6/100))*(F794/100)</f>
        <v/>
      </c>
      <c r="K794">
        <f>J794*(1+((Inputs!$B$11*(1+Inputs!$B$12/100))*0.01+Inputs!$B$13*0.0025)/100)*(1+Inputs!$B$14/100)*(1+IF(Inputs!$B$4="pvp",0,(1-Summary!$B$55)*(Inputs!$B$19+((C813=TRUE)*(F813-Calc!F27))+Skills!P8+B827)+Summary!$B$55*(Inputs!$B$20+Skills!Q8+B827))/100)*(1+Inputs!$B$15/100)*(5000/(6000+Inputs!$B$7*(1-Inputs!$B$18/100)))*(1+(Inputs!$B$23+((C816=TRUE)*(F816-Calc!F30)))/100)*(1+Skills!R8/100)*(1+(IF(Skills!A8="SHOWDOWN",Inputs!$B$16+((C809=TRUE)*(F809-Calc!F23)),Inputs!$B$17+((C815=TRUE)*(F815-Calc!F29))))/100)*(((1+(((C807=TRUE)*F807*IF(AND(Inputs!$B$4&lt;&gt;"pvp",Inputs!$B$35&gt;0),(((S807-1)*(Skills!Y21*(1+Inputs!$B$33/100))+MIN((Skills!Y21*(1+Inputs!$B$33/100)),MAX(0,Inputs!$B$35-((S807-1)*Skills!D21))))/Inputs!$B$35),IF(Inputs!$B$4="pvp",MIN((Skills!Y21*(1+Inputs!$B$33/100)),15)/15,(Skills!Y21*(1+Inputs!$B$33/100))/Skills!D21)))+((C814=TRUE)*(F814-Calc!F28))+((C804=TRUE)*(F804-Calc!F18)))/100)*(1+((C801=TRUE)*F801*IF(AND(Inputs!$B$4&lt;&gt;"pvp",Inputs!$B$35&gt;0),(((S801-1)*(Skills!Y15*(1+Inputs!$B$33/100))+MIN((Skills!Y15*(1+Inputs!$B$33/100)),MAX(0,Inputs!$B$35-((S801-1)*Skills!D15))))/Inputs!$B$35),IF(Inputs!$B$4="pvp",MIN((Skills!Y15*(1+Inputs!$B$33/100)),15)/15,(Skills!Y15*(1+Inputs!$B$33/100))/Skills!D15)))/100)*(1+((C792=TRUE)*F792*B820)/100))*B828*I794)</f>
        <v/>
      </c>
      <c r="L794">
        <f>K794*(MIN(Inputs!$B$21+((C810=TRUE)*(F810-Calc!F24)),Inputs!$B$22)/100+Inputs!$B$22/100)/2</f>
        <v/>
      </c>
      <c r="M794">
        <f>L794*(1+(Inputs!$B$9+((C812=TRUE)*(F812-Calc!F26))+B829)/100)</f>
        <v/>
      </c>
      <c r="N794">
        <f>L794*(1-MIN((Inputs!$B$8+((C811=TRUE)*(F811-Calc!F25))+B826),100)/100)+M794*(MIN((Inputs!$B$8+((C811=TRUE)*(F811-Calc!F25))+B826),100)/100)</f>
        <v/>
      </c>
      <c r="O794">
        <f>IF(C794,H794*N794*IF(AND(Inputs!$B$4&lt;&gt;"pvp",Inputs!$B$35&gt;0),((Skills!G8*((R794-1)*IF(Skills!H8&gt;0,Skills!I8/Skills!H8,1)+IF(Skills!H8&gt;0,MIN(Skills!I8,MAX(0,Inputs!$B$35-((R794-1)*IF(Inputs!$B$4="pvp",15,MAX(0.1,Skills!D8-IF(Skills!E8=TRUE,Inputs!$B$31,0))))))/Skills!H8,1)))/Inputs!$B$35),G794*Q794)*IF(Inputs!$B$4="pvp",1,(1-Summary!$B$55)*(1)+Summary!$B$55*(MIN(Skills!W8,Inputs!$B$37))),0)</f>
        <v/>
      </c>
      <c r="P794">
        <f>IF(B830=0,0,O794/B830)</f>
        <v/>
      </c>
      <c r="Q794">
        <f>IFERROR(1/IF(Inputs!$B$4="pvp",15,MAX(0.1,Skills!D8-IF(Skills!E8=TRUE,Inputs!$B$31,0))),0)</f>
        <v/>
      </c>
      <c r="R794">
        <f>IF(AND(Inputs!$B$4&lt;&gt;"pvp",Inputs!$B$35&gt;0),(INT(Inputs!$B$35/IF(Inputs!$B$4="pvp",15,MAX(0.1,Skills!D8-IF(Skills!E8=TRUE,Inputs!$B$31,0))))+1),0)</f>
        <v/>
      </c>
      <c r="S794">
        <f>IFERROR(O794/N794,0)</f>
        <v/>
      </c>
    </row>
    <row r="795">
      <c r="A795">
        <f>Skills!A9</f>
        <v/>
      </c>
      <c r="B795">
        <f>Skills!B9</f>
        <v/>
      </c>
      <c r="C795">
        <f>Inputs!$B$3&gt;=72</f>
        <v/>
      </c>
      <c r="D795">
        <f>IF(Skills!C9=1,60+(Inputs!$B$24+1)+Inputs!$B$28,IF(Skills!C9=2,90+Inputs!$B$25+Inputs!$B$28,IF(Skills!C9=3,120+Inputs!$B$26+Inputs!$B$28,MAX(0,(Inputs!$B$3-100)*3)+Inputs!$B$27+Inputs!$B$28)))</f>
        <v/>
      </c>
      <c r="E795">
        <f>INDEX(FactorTable!$B$2:$Y$301, MATCH(ROUND(MIN(300,MAX(1,D795)),0), FactorTable!$A$2:$A$301,0), Skills!M9+1)</f>
        <v/>
      </c>
      <c r="F795">
        <f>IF(Skills!N9=TRUE,(Skills!L9/10)*(E795/1000),Skills!L9/10)+Skills!O9</f>
        <v/>
      </c>
      <c r="G795">
        <f>Calc!G9</f>
        <v/>
      </c>
      <c r="H795">
        <f>Calc!H9</f>
        <v/>
      </c>
      <c r="I795">
        <f>IF(Skills!AA9&lt;&gt;"",1+(Skills!AA9/10)*(U789/1000)/100,1)</f>
        <v/>
      </c>
      <c r="J795">
        <f>(Inputs!$B$5*(1+Inputs!$B$6/100))*(F795/100)</f>
        <v/>
      </c>
      <c r="K795">
        <f>J795*(1+((Inputs!$B$11*(1+Inputs!$B$12/100))*0.01+Inputs!$B$13*0.0025)/100)*(1+Inputs!$B$14/100)*(1+IF(Inputs!$B$4="pvp",0,(1-Summary!$B$55)*(Inputs!$B$19+((C813=TRUE)*(F813-Calc!F27))+Skills!P9+B827)+Summary!$B$55*(Inputs!$B$20+Skills!Q9+B827))/100)*(1+Inputs!$B$15/100)*(5000/(6000+Inputs!$B$7*(1-Inputs!$B$18/100)))*(1+(Inputs!$B$23+((C816=TRUE)*(F816-Calc!F30)))/100)*(1+Skills!R9/100)*(1+(IF(Skills!A9="SHOWDOWN",Inputs!$B$16+((C809=TRUE)*(F809-Calc!F23)),Inputs!$B$17+((C815=TRUE)*(F815-Calc!F29))))/100)*(((1+(((C807=TRUE)*F807*IF(AND(Inputs!$B$4&lt;&gt;"pvp",Inputs!$B$35&gt;0),(((S807-1)*(Skills!Y21*(1+Inputs!$B$33/100))+MIN((Skills!Y21*(1+Inputs!$B$33/100)),MAX(0,Inputs!$B$35-((S807-1)*Skills!D21))))/Inputs!$B$35),IF(Inputs!$B$4="pvp",MIN((Skills!Y21*(1+Inputs!$B$33/100)),15)/15,(Skills!Y21*(1+Inputs!$B$33/100))/Skills!D21)))+((C814=TRUE)*(F814-Calc!F28))+((C804=TRUE)*(F804-Calc!F18)))/100)*(1+((C801=TRUE)*F801*IF(AND(Inputs!$B$4&lt;&gt;"pvp",Inputs!$B$35&gt;0),(((S801-1)*(Skills!Y15*(1+Inputs!$B$33/100))+MIN((Skills!Y15*(1+Inputs!$B$33/100)),MAX(0,Inputs!$B$35-((S801-1)*Skills!D15))))/Inputs!$B$35),IF(Inputs!$B$4="pvp",MIN((Skills!Y15*(1+Inputs!$B$33/100)),15)/15,(Skills!Y15*(1+Inputs!$B$33/100))/Skills!D15)))/100)*(1+((C792=TRUE)*F792*B820)/100))*B828*I795)</f>
        <v/>
      </c>
      <c r="L795">
        <f>K795*(MIN(Inputs!$B$21+((C810=TRUE)*(F810-Calc!F24)),Inputs!$B$22)/100+Inputs!$B$22/100)/2</f>
        <v/>
      </c>
      <c r="M795">
        <f>L795*(1+(Inputs!$B$9+((C812=TRUE)*(F812-Calc!F26))+B829)/100)</f>
        <v/>
      </c>
      <c r="N795">
        <f>L795*(1-MIN((Inputs!$B$8+((C811=TRUE)*(F811-Calc!F25))+B826),100)/100)+M795*(MIN((Inputs!$B$8+((C811=TRUE)*(F811-Calc!F25))+B826),100)/100)</f>
        <v/>
      </c>
      <c r="O795">
        <f>IF(C795,H795*N795*IF(AND(Inputs!$B$4&lt;&gt;"pvp",Inputs!$B$35&gt;0),((Skills!G9*((R795-1)*IF(Skills!H9&gt;0,Skills!I9/Skills!H9,1)+IF(Skills!H9&gt;0,MIN(Skills!I9,MAX(0,Inputs!$B$35-((R795-1)*IF(Inputs!$B$4="pvp",15,MAX(0.1,Skills!D9-IF(Skills!E9=TRUE,Inputs!$B$31,0))))))/Skills!H9,1)))/Inputs!$B$35),G795*Q795)*IF(Inputs!$B$4="pvp",1,(1-Summary!$B$55)*(1)+Summary!$B$55*(MIN(Skills!W9,Inputs!$B$37))),0)</f>
        <v/>
      </c>
      <c r="P795">
        <f>IF(B830=0,0,O795/B830)</f>
        <v/>
      </c>
      <c r="Q795">
        <f>IFERROR(1/IF(Inputs!$B$4="pvp",15,MAX(0.1,Skills!D9-IF(Skills!E9=TRUE,Inputs!$B$31,0))),0)</f>
        <v/>
      </c>
      <c r="R795">
        <f>IF(AND(Inputs!$B$4&lt;&gt;"pvp",Inputs!$B$35&gt;0),(INT(Inputs!$B$35/IF(Inputs!$B$4="pvp",15,MAX(0.1,Skills!D9-IF(Skills!E9=TRUE,Inputs!$B$31,0))))+1),0)</f>
        <v/>
      </c>
      <c r="S795">
        <f>IFERROR(O795/N795,0)</f>
        <v/>
      </c>
    </row>
    <row r="796">
      <c r="A796">
        <f>Skills!A10</f>
        <v/>
      </c>
      <c r="B796">
        <f>Skills!B10</f>
        <v/>
      </c>
      <c r="C796">
        <f>Inputs!$B$3&gt;=117</f>
        <v/>
      </c>
      <c r="D796">
        <f>IF(Skills!C10=1,60+(Inputs!$B$24+1)+Inputs!$B$28,IF(Skills!C10=2,90+Inputs!$B$25+Inputs!$B$28,IF(Skills!C10=3,120+Inputs!$B$26+Inputs!$B$28,MAX(0,(Inputs!$B$3-100)*3)+Inputs!$B$27+Inputs!$B$28)))</f>
        <v/>
      </c>
      <c r="E796">
        <f>INDEX(FactorTable!$B$2:$Y$301, MATCH(ROUND(MIN(300,MAX(1,D796)),0), FactorTable!$A$2:$A$301,0), Skills!M10+1)</f>
        <v/>
      </c>
      <c r="F796">
        <f>IF(Skills!N10=TRUE,(Skills!L10/10)*(E796/1000),Skills!L10/10)+Skills!O10</f>
        <v/>
      </c>
      <c r="G796">
        <f>Calc!G10</f>
        <v/>
      </c>
      <c r="H796">
        <f>Calc!H10</f>
        <v/>
      </c>
      <c r="I796">
        <f>IF(Skills!AA10&lt;&gt;"",1+(Skills!AA10/10)*(U789/1000)/100,1)</f>
        <v/>
      </c>
      <c r="J796">
        <f>(Inputs!$B$5*(1+Inputs!$B$6/100))*(F796/100)</f>
        <v/>
      </c>
      <c r="K796">
        <f>J796*(1+((Inputs!$B$11*(1+Inputs!$B$12/100))*0.01+Inputs!$B$13*0.0025)/100)*(1+Inputs!$B$14/100)*(1+IF(Inputs!$B$4="pvp",0,(1-Summary!$B$55)*(Inputs!$B$19+((C813=TRUE)*(F813-Calc!F27))+Skills!P10+B827)+Summary!$B$55*(Inputs!$B$20+Skills!Q10+B827))/100)*(1+Inputs!$B$15/100)*(5000/(6000+Inputs!$B$7*(1-Inputs!$B$18/100)))*(1+(Inputs!$B$23+((C816=TRUE)*(F816-Calc!F30)))/100)*(1+Skills!R10/100)*(1+(IF(Skills!A10="SHOWDOWN",Inputs!$B$16+((C809=TRUE)*(F809-Calc!F23)),Inputs!$B$17+((C815=TRUE)*(F815-Calc!F29))))/100)*(((1+(((C807=TRUE)*F807*IF(AND(Inputs!$B$4&lt;&gt;"pvp",Inputs!$B$35&gt;0),(((S807-1)*(Skills!Y21*(1+Inputs!$B$33/100))+MIN((Skills!Y21*(1+Inputs!$B$33/100)),MAX(0,Inputs!$B$35-((S807-1)*Skills!D21))))/Inputs!$B$35),IF(Inputs!$B$4="pvp",MIN((Skills!Y21*(1+Inputs!$B$33/100)),15)/15,(Skills!Y21*(1+Inputs!$B$33/100))/Skills!D21)))+((C814=TRUE)*(F814-Calc!F28))+((C804=TRUE)*(F804-Calc!F18)))/100)*(1+((C801=TRUE)*F801*IF(AND(Inputs!$B$4&lt;&gt;"pvp",Inputs!$B$35&gt;0),(((S801-1)*(Skills!Y15*(1+Inputs!$B$33/100))+MIN((Skills!Y15*(1+Inputs!$B$33/100)),MAX(0,Inputs!$B$35-((S801-1)*Skills!D15))))/Inputs!$B$35),IF(Inputs!$B$4="pvp",MIN((Skills!Y15*(1+Inputs!$B$33/100)),15)/15,(Skills!Y15*(1+Inputs!$B$33/100))/Skills!D15)))/100)*(1+((C792=TRUE)*F792*B820)/100))*B828*I796)</f>
        <v/>
      </c>
      <c r="L796">
        <f>K796*(MIN(Inputs!$B$21+((C810=TRUE)*(F810-Calc!F24)),Inputs!$B$22)/100+Inputs!$B$22/100)/2</f>
        <v/>
      </c>
      <c r="M796">
        <f>L796*(1+(Inputs!$B$9+((C812=TRUE)*(F812-Calc!F26))+B829)/100)</f>
        <v/>
      </c>
      <c r="N796">
        <f>L796*(1-MIN((Inputs!$B$8+((C811=TRUE)*(F811-Calc!F25))+B826),100)/100)+M796*(MIN((Inputs!$B$8+((C811=TRUE)*(F811-Calc!F25))+B826),100)/100)</f>
        <v/>
      </c>
      <c r="O796">
        <f>IF(C796,0.2*SUMPRODUCT((Skills!Z2:Z31=TRUE)*(C788:C817=TRUE)*S788:S817)*N796,0)</f>
        <v/>
      </c>
      <c r="P796">
        <f>IF(B830=0,0,O796/B830)</f>
        <v/>
      </c>
      <c r="Q796" t="n">
        <v>0</v>
      </c>
      <c r="R796" t="n">
        <v>0</v>
      </c>
      <c r="S796" t="n">
        <v>0</v>
      </c>
    </row>
    <row r="797">
      <c r="A797">
        <f>Skills!A11</f>
        <v/>
      </c>
      <c r="B797">
        <f>Skills!B11</f>
        <v/>
      </c>
      <c r="C797">
        <f>Inputs!$B$3&gt;=60</f>
        <v/>
      </c>
      <c r="D797">
        <f>IF(Skills!C11=1,60+(Inputs!$B$24+1)+Inputs!$B$28,IF(Skills!C11=2,90+Inputs!$B$25+Inputs!$B$28,IF(Skills!C11=3,120+Inputs!$B$26+Inputs!$B$28,MAX(0,(Inputs!$B$3-100)*3)+Inputs!$B$27+Inputs!$B$28)))</f>
        <v/>
      </c>
      <c r="E797">
        <f>INDEX(FactorTable!$B$2:$Y$301, MATCH(ROUND(MIN(300,MAX(1,D797)),0), FactorTable!$A$2:$A$301,0), Skills!M11+1)</f>
        <v/>
      </c>
      <c r="F797">
        <f>IF(Skills!N11=TRUE,(Skills!L11/10)*(E797/1000),Skills!L11/10)+Skills!O11</f>
        <v/>
      </c>
      <c r="G797">
        <f>Calc!G11</f>
        <v/>
      </c>
      <c r="H797">
        <f>Calc!H11</f>
        <v/>
      </c>
      <c r="I797">
        <f>IF(Skills!AA11&lt;&gt;"",1+(Skills!AA11/10)*(U789/1000)/100,1)</f>
        <v/>
      </c>
      <c r="J797" t="inlineStr"/>
      <c r="K797" t="inlineStr"/>
      <c r="L797" t="inlineStr"/>
      <c r="M797" t="inlineStr"/>
      <c r="N797" t="inlineStr"/>
      <c r="O797" t="n">
        <v>0</v>
      </c>
      <c r="P797">
        <f>IF(B830=0,0,O797/B830)</f>
        <v/>
      </c>
      <c r="Q797" t="n">
        <v>0</v>
      </c>
      <c r="R797" t="n">
        <v>0</v>
      </c>
      <c r="S797">
        <f>IFERROR(O797/N797,0)</f>
        <v/>
      </c>
    </row>
    <row r="798">
      <c r="A798">
        <f>Skills!A12</f>
        <v/>
      </c>
      <c r="B798">
        <f>Skills!B12</f>
        <v/>
      </c>
      <c r="C798">
        <f>Inputs!$B$3&gt;=103</f>
        <v/>
      </c>
      <c r="D798">
        <f>IF(Skills!C12=1,60+(Inputs!$B$24+1)+Inputs!$B$28,IF(Skills!C12=2,90+Inputs!$B$25+Inputs!$B$28,IF(Skills!C12=3,120+Inputs!$B$26+Inputs!$B$28,MAX(0,(Inputs!$B$3-100)*3)+Inputs!$B$27+Inputs!$B$28)))</f>
        <v/>
      </c>
      <c r="E798">
        <f>INDEX(FactorTable!$B$2:$Y$301, MATCH(ROUND(MIN(300,MAX(1,D798)),0), FactorTable!$A$2:$A$301,0), Skills!M12+1)</f>
        <v/>
      </c>
      <c r="F798">
        <f>IF(Skills!N12=TRUE,(Skills!L12/10)*(E798/1000),Skills!L12/10)+Skills!O12</f>
        <v/>
      </c>
      <c r="G798">
        <f>Calc!G12</f>
        <v/>
      </c>
      <c r="H798">
        <f>Calc!H12</f>
        <v/>
      </c>
      <c r="I798">
        <f>IF(Skills!AA12&lt;&gt;"",1+(Skills!AA12/10)*(U789/1000)/100,1)</f>
        <v/>
      </c>
      <c r="J798">
        <f>(Inputs!$B$5*(1+Inputs!$B$6/100))*(F798/100)</f>
        <v/>
      </c>
      <c r="K798">
        <f>J798*(1+((Inputs!$B$11*(1+Inputs!$B$12/100))*0.01+Inputs!$B$13*0.0025)/100)*(1+Inputs!$B$14/100)*(1+IF(Inputs!$B$4="pvp",0,(1-Summary!$B$55)*(Inputs!$B$19+((C813=TRUE)*(F813-Calc!F27))+Skills!P12+B827)+Summary!$B$55*(Inputs!$B$20+Skills!Q12+B827))/100)*(1+Inputs!$B$15/100)*(5000/(6000+Inputs!$B$7*(1-Inputs!$B$18/100)))*(1+(Inputs!$B$23+((C816=TRUE)*(F816-Calc!F30)))/100)*(1+Skills!R12/100)*(1+(IF(Skills!A12="SHOWDOWN",Inputs!$B$16+((C809=TRUE)*(F809-Calc!F23)),Inputs!$B$17+((C815=TRUE)*(F815-Calc!F29))))/100)*(((1+(((C807=TRUE)*F807*IF(AND(Inputs!$B$4&lt;&gt;"pvp",Inputs!$B$35&gt;0),(((S807-1)*(Skills!Y21*(1+Inputs!$B$33/100))+MIN((Skills!Y21*(1+Inputs!$B$33/100)),MAX(0,Inputs!$B$35-((S807-1)*Skills!D21))))/Inputs!$B$35),IF(Inputs!$B$4="pvp",MIN((Skills!Y21*(1+Inputs!$B$33/100)),15)/15,(Skills!Y21*(1+Inputs!$B$33/100))/Skills!D21)))+((C814=TRUE)*(F814-Calc!F28))+((C804=TRUE)*(F804-Calc!F18)))/100)*(1+((C801=TRUE)*F801*IF(AND(Inputs!$B$4&lt;&gt;"pvp",Inputs!$B$35&gt;0),(((S801-1)*(Skills!Y15*(1+Inputs!$B$33/100))+MIN((Skills!Y15*(1+Inputs!$B$33/100)),MAX(0,Inputs!$B$35-((S801-1)*Skills!D15))))/Inputs!$B$35),IF(Inputs!$B$4="pvp",MIN((Skills!Y15*(1+Inputs!$B$33/100)),15)/15,(Skills!Y15*(1+Inputs!$B$33/100))/Skills!D15)))/100)*(1+((C792=TRUE)*F792*B820)/100))*B828*I798)</f>
        <v/>
      </c>
      <c r="L798">
        <f>K798*(MIN(Inputs!$B$21+((C810=TRUE)*(F810-Calc!F24)),Inputs!$B$22)/100+Inputs!$B$22/100)/2</f>
        <v/>
      </c>
      <c r="M798">
        <f>L798*(1+(Inputs!$B$9+((C812=TRUE)*(F812-Calc!F26))+B829)/100)</f>
        <v/>
      </c>
      <c r="N798">
        <f>L798*(1-MIN((Inputs!$B$8+((C811=TRUE)*(F811-Calc!F25))+B826),100)/100)+M798*(MIN((Inputs!$B$8+((C811=TRUE)*(F811-Calc!F25))+B826),100)/100)</f>
        <v/>
      </c>
      <c r="O798">
        <f>IF(C798,H798*N798*IF(AND(Inputs!$B$4&lt;&gt;"pvp",Inputs!$B$35&gt;0),((Skills!G12*((R798-1)*IF(Skills!H12&gt;0,Skills!I12/Skills!H12,1)+IF(Skills!H12&gt;0,MIN(Skills!I12,MAX(0,Inputs!$B$35-((R798-1)*IF(Inputs!$B$4="pvp",15,MAX(0.1,Skills!D12-IF(Skills!E12=TRUE,Inputs!$B$31,0))))))/Skills!H12,1)))/Inputs!$B$35),G798*Q798)*IF(Inputs!$B$4="pvp",1,(1-Summary!$B$55)*(1)+Summary!$B$55*(MIN(Skills!W12,Inputs!$B$37))),0)</f>
        <v/>
      </c>
      <c r="P798">
        <f>IF(B830=0,0,O798/B830)</f>
        <v/>
      </c>
      <c r="Q798">
        <f>IFERROR(1/IF(Inputs!$B$4="pvp",15,MAX(0.1,Skills!D12-IF(Skills!E12=TRUE,Inputs!$B$31,0))),0)</f>
        <v/>
      </c>
      <c r="R798">
        <f>IF(AND(Inputs!$B$4&lt;&gt;"pvp",Inputs!$B$35&gt;0),(INT(Inputs!$B$35/IF(Inputs!$B$4="pvp",15,MAX(0.1,Skills!D12-IF(Skills!E12=TRUE,Inputs!$B$31,0))))+1),0)</f>
        <v/>
      </c>
      <c r="S798">
        <f>IFERROR(O798/N798,0)</f>
        <v/>
      </c>
    </row>
    <row r="799">
      <c r="A799">
        <f>Skills!A13</f>
        <v/>
      </c>
      <c r="B799">
        <f>Skills!B13</f>
        <v/>
      </c>
      <c r="C799">
        <f>Inputs!$B$3&gt;=105</f>
        <v/>
      </c>
      <c r="D799">
        <f>IF(Skills!C13=1,60+(Inputs!$B$24+1)+Inputs!$B$28,IF(Skills!C13=2,90+Inputs!$B$25+Inputs!$B$28,IF(Skills!C13=3,120+Inputs!$B$26+Inputs!$B$28,MAX(0,(Inputs!$B$3-100)*3)+Inputs!$B$27+Inputs!$B$28)))</f>
        <v/>
      </c>
      <c r="E799">
        <f>INDEX(FactorTable!$B$2:$Y$301, MATCH(ROUND(MIN(300,MAX(1,D799)),0), FactorTable!$A$2:$A$301,0), Skills!M13+1)</f>
        <v/>
      </c>
      <c r="F799">
        <f>IF(Skills!N13=TRUE,(Skills!L13/10)*(E799/1000),Skills!L13/10)+Skills!O13</f>
        <v/>
      </c>
      <c r="G799">
        <f>Calc!G13</f>
        <v/>
      </c>
      <c r="H799">
        <f>Calc!H13</f>
        <v/>
      </c>
      <c r="I799">
        <f>IF(Skills!AA13&lt;&gt;"",1+(Skills!AA13/10)*(U789/1000)/100,1)</f>
        <v/>
      </c>
      <c r="J799">
        <f>(Inputs!$B$5*(1+Inputs!$B$6/100))*(F799/100)</f>
        <v/>
      </c>
      <c r="K799">
        <f>J799*(1+((Inputs!$B$11*(1+Inputs!$B$12/100))*0.01+Inputs!$B$13*0.0025)/100)*(1+Inputs!$B$14/100)*(1+IF(Inputs!$B$4="pvp",0,(1-Summary!$B$55)*(Inputs!$B$19+((C813=TRUE)*(F813-Calc!F27))+Skills!P13+B827)+Summary!$B$55*(Inputs!$B$20+Skills!Q13+B827))/100)*(1+Inputs!$B$15/100)*(5000/(6000+Inputs!$B$7*(1-Inputs!$B$18/100)))*(1+(Inputs!$B$23+((C816=TRUE)*(F816-Calc!F30)))/100)*(1+Skills!R13/100)*(1+(IF(Skills!A13="SHOWDOWN",Inputs!$B$16+((C809=TRUE)*(F809-Calc!F23)),Inputs!$B$17+((C815=TRUE)*(F815-Calc!F29))))/100)*(((1+(((C807=TRUE)*F807*IF(AND(Inputs!$B$4&lt;&gt;"pvp",Inputs!$B$35&gt;0),(((S807-1)*(Skills!Y21*(1+Inputs!$B$33/100))+MIN((Skills!Y21*(1+Inputs!$B$33/100)),MAX(0,Inputs!$B$35-((S807-1)*Skills!D21))))/Inputs!$B$35),IF(Inputs!$B$4="pvp",MIN((Skills!Y21*(1+Inputs!$B$33/100)),15)/15,(Skills!Y21*(1+Inputs!$B$33/100))/Skills!D21)))+((C814=TRUE)*(F814-Calc!F28))+((C804=TRUE)*(F804-Calc!F18)))/100)*(1+((C801=TRUE)*F801*IF(AND(Inputs!$B$4&lt;&gt;"pvp",Inputs!$B$35&gt;0),(((S801-1)*(Skills!Y15*(1+Inputs!$B$33/100))+MIN((Skills!Y15*(1+Inputs!$B$33/100)),MAX(0,Inputs!$B$35-((S801-1)*Skills!D15))))/Inputs!$B$35),IF(Inputs!$B$4="pvp",MIN((Skills!Y15*(1+Inputs!$B$33/100)),15)/15,(Skills!Y15*(1+Inputs!$B$33/100))/Skills!D15)))/100)*(1+((C792=TRUE)*F792*B820)/100))*B828*I799)</f>
        <v/>
      </c>
      <c r="L799">
        <f>K799*(MIN(Inputs!$B$21+((C810=TRUE)*(F810-Calc!F24)),Inputs!$B$22)/100+Inputs!$B$22/100)/2</f>
        <v/>
      </c>
      <c r="M799">
        <f>L799*(1+(Inputs!$B$9+((C812=TRUE)*(F812-Calc!F26))+B829)/100)</f>
        <v/>
      </c>
      <c r="N799">
        <f>L799*(1-MIN((Inputs!$B$8+((C811=TRUE)*(F811-Calc!F25))+B826),100)/100)+M799*(MIN((Inputs!$B$8+((C811=TRUE)*(F811-Calc!F25))+B826),100)/100)</f>
        <v/>
      </c>
      <c r="O799">
        <f>IF(C799,H799*N799*IF(AND(Inputs!$B$4&lt;&gt;"pvp",Inputs!$B$35&gt;0),((Skills!G13*((R799-1)*IF(Skills!H13&gt;0,Skills!I13/Skills!H13,1)+IF(Skills!H13&gt;0,MIN(Skills!I13,MAX(0,Inputs!$B$35-((R799-1)*IF(Inputs!$B$4="pvp",15,MAX(0.1,Skills!D13-IF(Skills!E13=TRUE,Inputs!$B$31,0))))))/Skills!H13,1)))/Inputs!$B$35),G799*Q799)*IF(Inputs!$B$4="pvp",1,(1-Summary!$B$55)*(1)+Summary!$B$55*(MIN(Skills!W13,Inputs!$B$37))),0)</f>
        <v/>
      </c>
      <c r="P799">
        <f>IF(B830=0,0,O799/B830)</f>
        <v/>
      </c>
      <c r="Q799">
        <f>IFERROR(1/IF(Inputs!$B$4="pvp",15,MAX(0.1,Skills!D13-IF(Skills!E13=TRUE,Inputs!$B$31,0))),0)</f>
        <v/>
      </c>
      <c r="R799">
        <f>IF(AND(Inputs!$B$4&lt;&gt;"pvp",Inputs!$B$35&gt;0),(INT(Inputs!$B$35/IF(Inputs!$B$4="pvp",15,MAX(0.1,Skills!D13-IF(Skills!E13=TRUE,Inputs!$B$31,0))))+1),0)</f>
        <v/>
      </c>
      <c r="S799">
        <f>IFERROR(O799/N799,0)</f>
        <v/>
      </c>
    </row>
    <row r="800">
      <c r="A800">
        <f>Skills!A14</f>
        <v/>
      </c>
      <c r="B800">
        <f>Skills!B14</f>
        <v/>
      </c>
      <c r="C800">
        <f>Inputs!$B$3&gt;=105</f>
        <v/>
      </c>
      <c r="D800">
        <f>IF(Skills!C14=1,60+(Inputs!$B$24+1)+Inputs!$B$28,IF(Skills!C14=2,90+Inputs!$B$25+Inputs!$B$28,IF(Skills!C14=3,120+Inputs!$B$26+Inputs!$B$28,MAX(0,(Inputs!$B$3-100)*3)+Inputs!$B$27+Inputs!$B$28)))</f>
        <v/>
      </c>
      <c r="E800">
        <f>INDEX(FactorTable!$B$2:$Y$301, MATCH(ROUND(MIN(300,MAX(1,D800)),0), FactorTable!$A$2:$A$301,0), Skills!M14+1)</f>
        <v/>
      </c>
      <c r="F800">
        <f>IF(Skills!N14=TRUE,(Skills!L14/10)*(E800/1000),Skills!L14/10)+Skills!O14</f>
        <v/>
      </c>
      <c r="G800">
        <f>Calc!G14</f>
        <v/>
      </c>
      <c r="H800">
        <f>Calc!H14</f>
        <v/>
      </c>
      <c r="I800">
        <f>IF(Skills!AA14&lt;&gt;"",1+(Skills!AA14/10)*(U789/1000)/100,1)</f>
        <v/>
      </c>
      <c r="J800">
        <f>(Inputs!$B$5*(1+Inputs!$B$6/100))*(F800/100)</f>
        <v/>
      </c>
      <c r="K800">
        <f>J800*(1+((Inputs!$B$11*(1+Inputs!$B$12/100))*0.01+Inputs!$B$13*0.0025)/100)*(1+Inputs!$B$14/100)*(1+IF(Inputs!$B$4="pvp",0,(1-Summary!$B$55)*(Inputs!$B$19+((C813=TRUE)*(F813-Calc!F27))+Skills!P14+B827)+Summary!$B$55*(Inputs!$B$20+Skills!Q14+B827))/100)*(1+Inputs!$B$15/100)*(5000/(6000+Inputs!$B$7*(1-Inputs!$B$18/100)))*(1+(Inputs!$B$23+((C816=TRUE)*(F816-Calc!F30)))/100)*(1+Skills!R14/100)*(1+(IF(Skills!A14="SHOWDOWN",Inputs!$B$16+((C809=TRUE)*(F809-Calc!F23)),Inputs!$B$17+((C815=TRUE)*(F815-Calc!F29))))/100)*(((1+(((C807=TRUE)*F807*IF(AND(Inputs!$B$4&lt;&gt;"pvp",Inputs!$B$35&gt;0),(((S807-1)*(Skills!Y21*(1+Inputs!$B$33/100))+MIN((Skills!Y21*(1+Inputs!$B$33/100)),MAX(0,Inputs!$B$35-((S807-1)*Skills!D21))))/Inputs!$B$35),IF(Inputs!$B$4="pvp",MIN((Skills!Y21*(1+Inputs!$B$33/100)),15)/15,(Skills!Y21*(1+Inputs!$B$33/100))/Skills!D21)))+((C814=TRUE)*(F814-Calc!F28))+((C804=TRUE)*(F804-Calc!F18)))/100)*(1+((C801=TRUE)*F801*IF(AND(Inputs!$B$4&lt;&gt;"pvp",Inputs!$B$35&gt;0),(((S801-1)*(Skills!Y15*(1+Inputs!$B$33/100))+MIN((Skills!Y15*(1+Inputs!$B$33/100)),MAX(0,Inputs!$B$35-((S801-1)*Skills!D15))))/Inputs!$B$35),IF(Inputs!$B$4="pvp",MIN((Skills!Y15*(1+Inputs!$B$33/100)),15)/15,(Skills!Y15*(1+Inputs!$B$33/100))/Skills!D15)))/100)*(1+((C792=TRUE)*F792*B820)/100))*B828*I800)</f>
        <v/>
      </c>
      <c r="L800">
        <f>K800*(MIN(Inputs!$B$21+((C810=TRUE)*(F810-Calc!F24)),Inputs!$B$22)/100+Inputs!$B$22/100)/2</f>
        <v/>
      </c>
      <c r="M800">
        <f>L800*(1+(Inputs!$B$9+((C812=TRUE)*(F812-Calc!F26))+B829)/100)</f>
        <v/>
      </c>
      <c r="N800">
        <f>L800*(1-MIN((Inputs!$B$8+((C811=TRUE)*(F811-Calc!F25))+B826),100)/100)+M800*(MIN((Inputs!$B$8+((C811=TRUE)*(F811-Calc!F25))+B826),100)/100)</f>
        <v/>
      </c>
      <c r="O800">
        <f>IF(C800,H800*N800*IF(AND(Inputs!$B$4&lt;&gt;"pvp",Inputs!$B$35&gt;0),((Skills!G14*((R800-1)*IF(Skills!H14&gt;0,Skills!I14/Skills!H14,1)+IF(Skills!H14&gt;0,MIN(Skills!I14,MAX(0,Inputs!$B$35-((R800-1)*IF(Inputs!$B$4="pvp",15,MAX(0.1,Skills!D14-IF(Skills!E14=TRUE,Inputs!$B$31,0))))))/Skills!H14,1)))/Inputs!$B$35),G800*Q800)*IF(Inputs!$B$4="pvp",1,(1-Summary!$B$55)*(1)+Summary!$B$55*(MIN(Skills!W14,Inputs!$B$37))),0)</f>
        <v/>
      </c>
      <c r="P800">
        <f>IF(B830=0,0,O800/B830)</f>
        <v/>
      </c>
      <c r="Q800">
        <f>IFERROR(1/IF(Inputs!$B$4="pvp",15,MAX(0.1,Skills!D14-IF(Skills!E14=TRUE,Inputs!$B$31,0))),0)</f>
        <v/>
      </c>
      <c r="R800">
        <f>IF(AND(Inputs!$B$4&lt;&gt;"pvp",Inputs!$B$35&gt;0),(INT(Inputs!$B$35/IF(Inputs!$B$4="pvp",15,MAX(0.1,Skills!D14-IF(Skills!E14=TRUE,Inputs!$B$31,0))))+1),0)</f>
        <v/>
      </c>
      <c r="S800">
        <f>IFERROR(O800/N800,0)</f>
        <v/>
      </c>
    </row>
    <row r="801">
      <c r="A801">
        <f>Skills!A15</f>
        <v/>
      </c>
      <c r="B801">
        <f>Skills!B15</f>
        <v/>
      </c>
      <c r="C801">
        <f>Inputs!$B$3&gt;=110</f>
        <v/>
      </c>
      <c r="D801">
        <f>IF(Skills!C15=1,60+(Inputs!$B$24+1)+Inputs!$B$28,IF(Skills!C15=2,90+Inputs!$B$25+Inputs!$B$28,IF(Skills!C15=3,120+Inputs!$B$26+Inputs!$B$28,MAX(0,(Inputs!$B$3-100)*3)+Inputs!$B$27+Inputs!$B$28)))</f>
        <v/>
      </c>
      <c r="E801">
        <f>INDEX(FactorTable!$B$2:$Y$301, MATCH(ROUND(MIN(300,MAX(1,D801)),0), FactorTable!$A$2:$A$301,0), Skills!M15+1)</f>
        <v/>
      </c>
      <c r="F801">
        <f>IF(Skills!N15=TRUE,(Skills!L15/10)*(E801/1000),Skills!L15/10)+Skills!O15</f>
        <v/>
      </c>
      <c r="G801">
        <f>Calc!G15</f>
        <v/>
      </c>
      <c r="H801">
        <f>Calc!H15</f>
        <v/>
      </c>
      <c r="I801">
        <f>IF(Skills!AA15&lt;&gt;"",1+(Skills!AA15/10)*(U789/1000)/100,1)</f>
        <v/>
      </c>
      <c r="J801" t="inlineStr"/>
      <c r="K801" t="inlineStr"/>
      <c r="L801" t="inlineStr"/>
      <c r="M801" t="inlineStr"/>
      <c r="N801" t="inlineStr"/>
      <c r="O801" t="n">
        <v>0</v>
      </c>
      <c r="P801">
        <f>IF(B830=0,0,O801/B830)</f>
        <v/>
      </c>
      <c r="Q801">
        <f>IFERROR(1/IF(Inputs!$B$4="pvp",15,MAX(0.1,Skills!D15-IF(Skills!E15=TRUE,Inputs!$B$31,0))),0)</f>
        <v/>
      </c>
      <c r="R801">
        <f>IF(AND(Inputs!$B$4&lt;&gt;"pvp",Inputs!$B$35&gt;0),(INT(Inputs!$B$35/IF(Inputs!$B$4="pvp",15,MAX(0.1,Skills!D15-IF(Skills!E15=TRUE,Inputs!$B$31,0))))+1),0)</f>
        <v/>
      </c>
      <c r="S801">
        <f>IFERROR(O801/N801,0)</f>
        <v/>
      </c>
    </row>
    <row r="802">
      <c r="A802">
        <f>Skills!A16</f>
        <v/>
      </c>
      <c r="B802">
        <f>Skills!B16</f>
        <v/>
      </c>
      <c r="C802">
        <f>Inputs!$B$3&gt;=110</f>
        <v/>
      </c>
      <c r="D802">
        <f>IF(Skills!C16=1,60+(Inputs!$B$24+1)+Inputs!$B$28,IF(Skills!C16=2,90+Inputs!$B$25+Inputs!$B$28,IF(Skills!C16=3,120+Inputs!$B$26+Inputs!$B$28,MAX(0,(Inputs!$B$3-100)*3)+Inputs!$B$27+Inputs!$B$28)))</f>
        <v/>
      </c>
      <c r="E802">
        <f>INDEX(FactorTable!$B$2:$Y$301, MATCH(ROUND(MIN(300,MAX(1,D802)),0), FactorTable!$A$2:$A$301,0), Skills!M16+1)</f>
        <v/>
      </c>
      <c r="F802">
        <f>IF(Skills!N16=TRUE,(Skills!L16/10)*(E802/1000),Skills!L16/10)+Skills!O16</f>
        <v/>
      </c>
      <c r="G802">
        <f>Calc!G16</f>
        <v/>
      </c>
      <c r="H802">
        <f>Calc!H16</f>
        <v/>
      </c>
      <c r="I802">
        <f>IF(Skills!AA16&lt;&gt;"",1+(Skills!AA16/10)*(U789/1000)/100,1)</f>
        <v/>
      </c>
      <c r="J802" t="inlineStr"/>
      <c r="K802" t="inlineStr"/>
      <c r="L802" t="inlineStr"/>
      <c r="M802" t="inlineStr"/>
      <c r="N802" t="inlineStr"/>
      <c r="O802" t="n">
        <v>0</v>
      </c>
      <c r="P802">
        <f>IF(B830=0,0,O802/B830)</f>
        <v/>
      </c>
      <c r="Q802">
        <f>IFERROR(1/IF(Inputs!$B$4="pvp",15,MAX(0.1,Skills!D16-IF(Skills!E16=TRUE,Inputs!$B$31,0))),0)</f>
        <v/>
      </c>
      <c r="R802">
        <f>IF(AND(Inputs!$B$4&lt;&gt;"pvp",Inputs!$B$35&gt;0),(INT(Inputs!$B$35/IF(Inputs!$B$4="pvp",15,MAX(0.1,Skills!D16-IF(Skills!E16=TRUE,Inputs!$B$31,0))))+1),0)</f>
        <v/>
      </c>
      <c r="S802">
        <f>IFERROR(O802/N802,0)</f>
        <v/>
      </c>
    </row>
    <row r="803">
      <c r="A803">
        <f>Skills!A17</f>
        <v/>
      </c>
      <c r="B803">
        <f>Skills!B17</f>
        <v/>
      </c>
      <c r="C803">
        <f>Inputs!$B$3&gt;=115</f>
        <v/>
      </c>
      <c r="D803">
        <f>IF(Skills!C17=1,60+(Inputs!$B$24+1)+Inputs!$B$28,IF(Skills!C17=2,90+Inputs!$B$25+Inputs!$B$28,IF(Skills!C17=3,120+Inputs!$B$26+Inputs!$B$28,MAX(0,(Inputs!$B$3-100)*3)+Inputs!$B$27+Inputs!$B$28)))</f>
        <v/>
      </c>
      <c r="E803">
        <f>INDEX(FactorTable!$B$2:$Y$301, MATCH(ROUND(MIN(300,MAX(1,D803)),0), FactorTable!$A$2:$A$301,0), Skills!M17+1)</f>
        <v/>
      </c>
      <c r="F803">
        <f>IF(Skills!N17=TRUE,(Skills!L17/10)*(E803/1000),Skills!L17/10)+Skills!O17</f>
        <v/>
      </c>
      <c r="G803">
        <f>Calc!G17</f>
        <v/>
      </c>
      <c r="H803">
        <f>Calc!H17</f>
        <v/>
      </c>
      <c r="I803">
        <f>IF(Skills!AA17&lt;&gt;"",1+(Skills!AA17/10)*(U789/1000)/100,1)</f>
        <v/>
      </c>
      <c r="J803">
        <f>(Inputs!$B$5*(1+Inputs!$B$6/100))*(F803/100)</f>
        <v/>
      </c>
      <c r="K803">
        <f>J803*(1+((Inputs!$B$11*(1+Inputs!$B$12/100))*0.01+Inputs!$B$13*0.0025)/100)*(1+Inputs!$B$14/100)*(1+IF(Inputs!$B$4="pvp",0,(1-Summary!$B$55)*(Inputs!$B$19+((C813=TRUE)*(F813-Calc!F27))+Skills!P17+B827)+Summary!$B$55*(Inputs!$B$20+Skills!Q17+B827))/100)*(1+Inputs!$B$15/100)*(5000/(6000+Inputs!$B$7*(1-Inputs!$B$18/100)))*(1+(Inputs!$B$23+((C816=TRUE)*(F816-Calc!F30)))/100)*(1+Skills!R17/100)*(1+(IF(Skills!A17="SHOWDOWN",Inputs!$B$16+((C809=TRUE)*(F809-Calc!F23)),Inputs!$B$17+((C815=TRUE)*(F815-Calc!F29))))/100)*(((1+(((C807=TRUE)*F807*IF(AND(Inputs!$B$4&lt;&gt;"pvp",Inputs!$B$35&gt;0),(((S807-1)*(Skills!Y21*(1+Inputs!$B$33/100))+MIN((Skills!Y21*(1+Inputs!$B$33/100)),MAX(0,Inputs!$B$35-((S807-1)*Skills!D21))))/Inputs!$B$35),IF(Inputs!$B$4="pvp",MIN((Skills!Y21*(1+Inputs!$B$33/100)),15)/15,(Skills!Y21*(1+Inputs!$B$33/100))/Skills!D21)))+((C814=TRUE)*(F814-Calc!F28))+((C804=TRUE)*(F804-Calc!F18)))/100)*(1+((C801=TRUE)*F801*IF(AND(Inputs!$B$4&lt;&gt;"pvp",Inputs!$B$35&gt;0),(((S801-1)*(Skills!Y15*(1+Inputs!$B$33/100))+MIN((Skills!Y15*(1+Inputs!$B$33/100)),MAX(0,Inputs!$B$35-((S801-1)*Skills!D15))))/Inputs!$B$35),IF(Inputs!$B$4="pvp",MIN((Skills!Y15*(1+Inputs!$B$33/100)),15)/15,(Skills!Y15*(1+Inputs!$B$33/100))/Skills!D15)))/100)*(1+((C792=TRUE)*F792*B820)/100))*B828*I803)</f>
        <v/>
      </c>
      <c r="L803">
        <f>K803*(MIN(Inputs!$B$21+((C810=TRUE)*(F810-Calc!F24)),Inputs!$B$22)/100+Inputs!$B$22/100)/2</f>
        <v/>
      </c>
      <c r="M803">
        <f>L803*(1+(Inputs!$B$9+((C812=TRUE)*(F812-Calc!F26))+B829)/100)</f>
        <v/>
      </c>
      <c r="N803">
        <f>L803*(1-MIN((Inputs!$B$8+((C811=TRUE)*(F811-Calc!F25))+B826),100)/100)+M803*(MIN((Inputs!$B$8+((C811=TRUE)*(F811-Calc!F25))+B826),100)/100)</f>
        <v/>
      </c>
      <c r="O803">
        <f>IF(C803,Inputs!$B$38*0.2*N803,0)</f>
        <v/>
      </c>
      <c r="P803">
        <f>IF(B830=0,0,O803/B830)</f>
        <v/>
      </c>
      <c r="Q803" t="n">
        <v>0</v>
      </c>
      <c r="R803" t="n">
        <v>0</v>
      </c>
      <c r="S803">
        <f>IFERROR(O803/N803,0)</f>
        <v/>
      </c>
    </row>
    <row r="804">
      <c r="A804">
        <f>Skills!A18</f>
        <v/>
      </c>
      <c r="B804">
        <f>Skills!B18</f>
        <v/>
      </c>
      <c r="C804">
        <f>Inputs!$B$3&gt;=115</f>
        <v/>
      </c>
      <c r="D804">
        <f>IF(Skills!C18=1,60+(Inputs!$B$24+1)+Inputs!$B$28,IF(Skills!C18=2,90+Inputs!$B$25+Inputs!$B$28,IF(Skills!C18=3,120+Inputs!$B$26+Inputs!$B$28,MAX(0,(Inputs!$B$3-100)*3)+Inputs!$B$27+Inputs!$B$28)))</f>
        <v/>
      </c>
      <c r="E804">
        <f>INDEX(FactorTable!$B$2:$Y$301, MATCH(ROUND(MIN(300,MAX(1,D804)),0), FactorTable!$A$2:$A$301,0), Skills!M18+1)</f>
        <v/>
      </c>
      <c r="F804">
        <f>IF(Skills!N18=TRUE,(Skills!L18/10)*(E804/1000),Skills!L18/10)+Skills!O18</f>
        <v/>
      </c>
      <c r="G804">
        <f>Calc!G18</f>
        <v/>
      </c>
      <c r="H804">
        <f>Calc!H18</f>
        <v/>
      </c>
      <c r="I804">
        <f>IF(Skills!AA18&lt;&gt;"",1+(Skills!AA18/10)*(U789/1000)/100,1)</f>
        <v/>
      </c>
      <c r="J804" t="inlineStr"/>
      <c r="K804" t="inlineStr"/>
      <c r="L804" t="inlineStr"/>
      <c r="M804" t="inlineStr"/>
      <c r="N804" t="inlineStr"/>
      <c r="O804" t="n">
        <v>0</v>
      </c>
      <c r="P804">
        <f>IF(B830=0,0,O804/B830)</f>
        <v/>
      </c>
      <c r="Q804" t="n">
        <v>0</v>
      </c>
      <c r="R804" t="n">
        <v>0</v>
      </c>
      <c r="S804">
        <f>IFERROR(O804/N804,0)</f>
        <v/>
      </c>
    </row>
    <row r="805">
      <c r="A805">
        <f>Skills!A19</f>
        <v/>
      </c>
      <c r="B805">
        <f>Skills!B19</f>
        <v/>
      </c>
      <c r="C805">
        <f>TRUE</f>
        <v/>
      </c>
      <c r="D805">
        <f>IF(Skills!C19=1,60+(Inputs!$B$24+1)+Inputs!$B$28,IF(Skills!C19=2,90+Inputs!$B$25+Inputs!$B$28,IF(Skills!C19=3,120+Inputs!$B$26+Inputs!$B$28,MAX(0,(Inputs!$B$3-100)*3)+Inputs!$B$27+Inputs!$B$28)))</f>
        <v/>
      </c>
      <c r="E805">
        <f>INDEX(FactorTable!$B$2:$Y$301, MATCH(ROUND(MIN(300,MAX(1,D805)),0), FactorTable!$A$2:$A$301,0), Skills!M19+1)</f>
        <v/>
      </c>
      <c r="F805">
        <f>IF(Skills!N19=TRUE,(Skills!L19/10)*(E805/1000),Skills!L19/10)+Skills!O19</f>
        <v/>
      </c>
      <c r="G805">
        <f>Calc!G19</f>
        <v/>
      </c>
      <c r="H805">
        <f>Calc!H19</f>
        <v/>
      </c>
      <c r="I805">
        <f>IF(Skills!AA19&lt;&gt;"",1+(Skills!AA19/10)*(U789/1000)/100,1)</f>
        <v/>
      </c>
      <c r="J805" t="inlineStr"/>
      <c r="K805" t="inlineStr"/>
      <c r="L805" t="inlineStr"/>
      <c r="M805" t="inlineStr"/>
      <c r="N805" t="inlineStr"/>
      <c r="O805" t="n">
        <v>0</v>
      </c>
      <c r="P805">
        <f>IF(B830=0,0,O805/B830)</f>
        <v/>
      </c>
      <c r="Q805">
        <f>IFERROR(1/IF(Inputs!$B$4="pvp",15,MAX(0.1,Skills!D19-IF(Skills!E19=TRUE,Inputs!$B$31,0))),0)</f>
        <v/>
      </c>
      <c r="R805">
        <f>IF(AND(Inputs!$B$4&lt;&gt;"pvp",Inputs!$B$35&gt;0),(INT(Inputs!$B$35/IF(Inputs!$B$4="pvp",15,MAX(0.1,Skills!D19-IF(Skills!E19=TRUE,Inputs!$B$31,0))))+1),0)</f>
        <v/>
      </c>
      <c r="S805">
        <f>IFERROR(O805/N805,0)</f>
        <v/>
      </c>
    </row>
    <row r="806">
      <c r="A806">
        <f>Skills!A20</f>
        <v/>
      </c>
      <c r="B806">
        <f>Skills!B20</f>
        <v/>
      </c>
      <c r="C806">
        <f>Inputs!$B$3&gt;=15</f>
        <v/>
      </c>
      <c r="D806">
        <f>IF(Skills!C20=1,60+(Inputs!$B$24+1)+Inputs!$B$28,IF(Skills!C20=2,90+Inputs!$B$25+Inputs!$B$28,IF(Skills!C20=3,120+Inputs!$B$26+Inputs!$B$28,MAX(0,(Inputs!$B$3-100)*3)+Inputs!$B$27+Inputs!$B$28)))</f>
        <v/>
      </c>
      <c r="E806">
        <f>INDEX(FactorTable!$B$2:$Y$301, MATCH(ROUND(MIN(300,MAX(1,D806)),0), FactorTable!$A$2:$A$301,0), Skills!M20+1)</f>
        <v/>
      </c>
      <c r="F806">
        <f>IF(Skills!N20=TRUE,(Skills!L20/10)*(E806/1000),Skills!L20/10)+Skills!O20</f>
        <v/>
      </c>
      <c r="G806">
        <f>Calc!G20</f>
        <v/>
      </c>
      <c r="H806">
        <f>Calc!H20</f>
        <v/>
      </c>
      <c r="I806">
        <f>IF(Skills!AA20&lt;&gt;"",1+(Skills!AA20/10)*(U789/1000)/100,1)</f>
        <v/>
      </c>
      <c r="J806" t="inlineStr"/>
      <c r="K806" t="inlineStr"/>
      <c r="L806" t="inlineStr"/>
      <c r="M806" t="inlineStr"/>
      <c r="N806" t="inlineStr"/>
      <c r="O806" t="n">
        <v>0</v>
      </c>
      <c r="P806">
        <f>IF(B830=0,0,O806/B830)</f>
        <v/>
      </c>
      <c r="Q806">
        <f>IFERROR(1/IF(Inputs!$B$4="pvp",15,MAX(0.1,Skills!D20-IF(Skills!E20=TRUE,Inputs!$B$31,0))),0)</f>
        <v/>
      </c>
      <c r="R806">
        <f>IF(AND(Inputs!$B$4&lt;&gt;"pvp",Inputs!$B$35&gt;0),(INT(Inputs!$B$35/IF(Inputs!$B$4="pvp",15,MAX(0.1,Skills!D20-IF(Skills!E20=TRUE,Inputs!$B$31,0))))+1),0)</f>
        <v/>
      </c>
      <c r="S806">
        <f>IFERROR(O806/N806,0)</f>
        <v/>
      </c>
    </row>
    <row r="807">
      <c r="A807">
        <f>Skills!A21</f>
        <v/>
      </c>
      <c r="B807">
        <f>Skills!B21</f>
        <v/>
      </c>
      <c r="C807">
        <f>Inputs!$B$3&gt;=15</f>
        <v/>
      </c>
      <c r="D807">
        <f>IF(Skills!C21=1,60+(Inputs!$B$24+1)+Inputs!$B$28,IF(Skills!C21=2,90+Inputs!$B$25+Inputs!$B$28,IF(Skills!C21=3,120+Inputs!$B$26+Inputs!$B$28,MAX(0,(Inputs!$B$3-100)*3)+Inputs!$B$27+Inputs!$B$28)))</f>
        <v/>
      </c>
      <c r="E807">
        <f>INDEX(FactorTable!$B$2:$Y$301, MATCH(ROUND(MIN(300,MAX(1,D807)),0), FactorTable!$A$2:$A$301,0), Skills!M21+1)</f>
        <v/>
      </c>
      <c r="F807">
        <f>IF(Skills!N21=TRUE,(Skills!L21/10)*(E807/1000),Skills!L21/10)+Skills!O21</f>
        <v/>
      </c>
      <c r="G807">
        <f>Calc!G21</f>
        <v/>
      </c>
      <c r="H807">
        <f>Calc!H21</f>
        <v/>
      </c>
      <c r="I807">
        <f>IF(Skills!AA21&lt;&gt;"",1+(Skills!AA21/10)*(U789/1000)/100,1)</f>
        <v/>
      </c>
      <c r="J807" t="inlineStr"/>
      <c r="K807" t="inlineStr"/>
      <c r="L807" t="inlineStr"/>
      <c r="M807" t="inlineStr"/>
      <c r="N807" t="inlineStr"/>
      <c r="O807" t="n">
        <v>0</v>
      </c>
      <c r="P807">
        <f>IF(B830=0,0,O807/B830)</f>
        <v/>
      </c>
      <c r="Q807">
        <f>IFERROR(1/IF(Inputs!$B$4="pvp",15,MAX(0.1,Skills!D21-IF(Skills!E21=TRUE,Inputs!$B$31,0))),0)</f>
        <v/>
      </c>
      <c r="R807">
        <f>IF(AND(Inputs!$B$4&lt;&gt;"pvp",Inputs!$B$35&gt;0),(INT(Inputs!$B$35/IF(Inputs!$B$4="pvp",15,MAX(0.1,Skills!D21-IF(Skills!E21=TRUE,Inputs!$B$31,0))))+1),0)</f>
        <v/>
      </c>
      <c r="S807">
        <f>IFERROR(O807/N807,0)</f>
        <v/>
      </c>
    </row>
    <row r="808">
      <c r="A808">
        <f>Skills!A22</f>
        <v/>
      </c>
      <c r="B808">
        <f>Skills!B22</f>
        <v/>
      </c>
      <c r="C808">
        <f>Inputs!$B$3&gt;=33</f>
        <v/>
      </c>
      <c r="D808">
        <f>IF(Skills!C22=1,60+(Inputs!$B$24+1)+Inputs!$B$28,IF(Skills!C22=2,90+Inputs!$B$25+Inputs!$B$28,IF(Skills!C22=3,120+Inputs!$B$26+Inputs!$B$28,MAX(0,(Inputs!$B$3-100)*3)+Inputs!$B$27+Inputs!$B$28)))</f>
        <v/>
      </c>
      <c r="E808">
        <f>INDEX(FactorTable!$B$2:$Y$301, MATCH(ROUND(MIN(300,MAX(1,D808)),0), FactorTable!$A$2:$A$301,0), Skills!M22+1)</f>
        <v/>
      </c>
      <c r="F808">
        <f>IF(Skills!N22=TRUE,(Skills!L22/10)*(E808/1000),Skills!L22/10)+Skills!O22</f>
        <v/>
      </c>
      <c r="G808">
        <f>Calc!G22</f>
        <v/>
      </c>
      <c r="H808">
        <f>Calc!H22</f>
        <v/>
      </c>
      <c r="I808">
        <f>IF(Skills!AA22&lt;&gt;"",1+(Skills!AA22/10)*(U789/1000)/100,1)</f>
        <v/>
      </c>
      <c r="J808" t="inlineStr"/>
      <c r="K808" t="inlineStr"/>
      <c r="L808" t="inlineStr"/>
      <c r="M808" t="inlineStr"/>
      <c r="N808" t="inlineStr"/>
      <c r="O808" t="n">
        <v>0</v>
      </c>
      <c r="P808">
        <f>IF(B830=0,0,O808/B830)</f>
        <v/>
      </c>
      <c r="Q808" t="n">
        <v>0</v>
      </c>
      <c r="R808" t="n">
        <v>0</v>
      </c>
      <c r="S808">
        <f>IFERROR(O808/N808,0)</f>
        <v/>
      </c>
    </row>
    <row r="809">
      <c r="A809">
        <f>Skills!A23</f>
        <v/>
      </c>
      <c r="B809">
        <f>Skills!B23</f>
        <v/>
      </c>
      <c r="C809">
        <f>Inputs!$B$3&gt;=38</f>
        <v/>
      </c>
      <c r="D809">
        <f>IF(Skills!C23=1,60+(Inputs!$B$24+1)+Inputs!$B$28,IF(Skills!C23=2,90+Inputs!$B$25+Inputs!$B$28,IF(Skills!C23=3,120+Inputs!$B$26+Inputs!$B$28,MAX(0,(Inputs!$B$3-100)*3)+Inputs!$B$27+Inputs!$B$28)))</f>
        <v/>
      </c>
      <c r="E809">
        <f>INDEX(FactorTable!$B$2:$Y$301, MATCH(ROUND(MIN(300,MAX(1,D809)),0), FactorTable!$A$2:$A$301,0), Skills!M23+1)</f>
        <v/>
      </c>
      <c r="F809">
        <f>IF(Skills!N23=TRUE,(Skills!L23/10)*(E809/1000),Skills!L23/10)+Skills!O23</f>
        <v/>
      </c>
      <c r="G809">
        <f>Calc!G23</f>
        <v/>
      </c>
      <c r="H809">
        <f>Calc!H23</f>
        <v/>
      </c>
      <c r="I809">
        <f>IF(Skills!AA23&lt;&gt;"",1+(Skills!AA23/10)*(U789/1000)/100,1)</f>
        <v/>
      </c>
      <c r="J809" t="inlineStr"/>
      <c r="K809" t="inlineStr"/>
      <c r="L809" t="inlineStr"/>
      <c r="M809" t="inlineStr"/>
      <c r="N809" t="inlineStr"/>
      <c r="O809" t="n">
        <v>0</v>
      </c>
      <c r="P809">
        <f>IF(B830=0,0,O809/B830)</f>
        <v/>
      </c>
      <c r="Q809" t="n">
        <v>0</v>
      </c>
      <c r="R809" t="n">
        <v>0</v>
      </c>
      <c r="S809">
        <f>IFERROR(O809/N809,0)</f>
        <v/>
      </c>
    </row>
    <row r="810">
      <c r="A810">
        <f>Skills!A24</f>
        <v/>
      </c>
      <c r="B810">
        <f>Skills!B24</f>
        <v/>
      </c>
      <c r="C810">
        <f>Inputs!$B$3&gt;=40</f>
        <v/>
      </c>
      <c r="D810">
        <f>IF(Skills!C24=1,60+(Inputs!$B$24+1)+Inputs!$B$28,IF(Skills!C24=2,90+Inputs!$B$25+Inputs!$B$28,IF(Skills!C24=3,120+Inputs!$B$26+Inputs!$B$28,MAX(0,(Inputs!$B$3-100)*3)+Inputs!$B$27+Inputs!$B$28)))</f>
        <v/>
      </c>
      <c r="E810">
        <f>INDEX(FactorTable!$B$2:$Y$301, MATCH(ROUND(MIN(300,MAX(1,D810)),0), FactorTable!$A$2:$A$301,0), Skills!M24+1)</f>
        <v/>
      </c>
      <c r="F810">
        <f>IF(Skills!N24=TRUE,(Skills!L24/10)*(E810/1000),Skills!L24/10)+Skills!O24</f>
        <v/>
      </c>
      <c r="G810">
        <f>Calc!G24</f>
        <v/>
      </c>
      <c r="H810">
        <f>Calc!H24</f>
        <v/>
      </c>
      <c r="I810">
        <f>IF(Skills!AA24&lt;&gt;"",1+(Skills!AA24/10)*(U789/1000)/100,1)</f>
        <v/>
      </c>
      <c r="J810" t="inlineStr"/>
      <c r="K810" t="inlineStr"/>
      <c r="L810" t="inlineStr"/>
      <c r="M810" t="inlineStr"/>
      <c r="N810" t="inlineStr"/>
      <c r="O810" t="n">
        <v>0</v>
      </c>
      <c r="P810">
        <f>IF(B830=0,0,O810/B830)</f>
        <v/>
      </c>
      <c r="Q810" t="n">
        <v>0</v>
      </c>
      <c r="R810" t="n">
        <v>0</v>
      </c>
      <c r="S810">
        <f>IFERROR(O810/N810,0)</f>
        <v/>
      </c>
    </row>
    <row r="811">
      <c r="A811">
        <f>Skills!A25</f>
        <v/>
      </c>
      <c r="B811">
        <f>Skills!B25</f>
        <v/>
      </c>
      <c r="C811">
        <f>Inputs!$B$3&gt;=45</f>
        <v/>
      </c>
      <c r="D811">
        <f>IF(Skills!C25=1,60+(Inputs!$B$24+1)+Inputs!$B$28,IF(Skills!C25=2,90+Inputs!$B$25+Inputs!$B$28,IF(Skills!C25=3,120+Inputs!$B$26+Inputs!$B$28,MAX(0,(Inputs!$B$3-100)*3)+Inputs!$B$27+Inputs!$B$28)))</f>
        <v/>
      </c>
      <c r="E811">
        <f>INDEX(FactorTable!$B$2:$Y$301, MATCH(ROUND(MIN(300,MAX(1,D811)),0), FactorTable!$A$2:$A$301,0), Skills!M25+1)</f>
        <v/>
      </c>
      <c r="F811">
        <f>IF(Skills!N25=TRUE,(Skills!L25/10)*(E811/1000),Skills!L25/10)+Skills!O25</f>
        <v/>
      </c>
      <c r="G811">
        <f>Calc!G25</f>
        <v/>
      </c>
      <c r="H811">
        <f>Calc!H25</f>
        <v/>
      </c>
      <c r="I811">
        <f>IF(Skills!AA25&lt;&gt;"",1+(Skills!AA25/10)*(U789/1000)/100,1)</f>
        <v/>
      </c>
      <c r="J811" t="inlineStr"/>
      <c r="K811" t="inlineStr"/>
      <c r="L811" t="inlineStr"/>
      <c r="M811" t="inlineStr"/>
      <c r="N811" t="inlineStr"/>
      <c r="O811" t="n">
        <v>0</v>
      </c>
      <c r="P811">
        <f>IF(B830=0,0,O811/B830)</f>
        <v/>
      </c>
      <c r="Q811" t="n">
        <v>0</v>
      </c>
      <c r="R811" t="n">
        <v>0</v>
      </c>
      <c r="S811">
        <f>IFERROR(O811/N811,0)</f>
        <v/>
      </c>
    </row>
    <row r="812">
      <c r="A812">
        <f>Skills!A26</f>
        <v/>
      </c>
      <c r="B812">
        <f>Skills!B26</f>
        <v/>
      </c>
      <c r="C812">
        <f>Inputs!$B$3&gt;=45</f>
        <v/>
      </c>
      <c r="D812">
        <f>IF(Skills!C26=1,60+(Inputs!$B$24+1)+Inputs!$B$28,IF(Skills!C26=2,90+Inputs!$B$25+Inputs!$B$28,IF(Skills!C26=3,120+Inputs!$B$26+Inputs!$B$28,MAX(0,(Inputs!$B$3-100)*3)+Inputs!$B$27+Inputs!$B$28)))</f>
        <v/>
      </c>
      <c r="E812">
        <f>INDEX(FactorTable!$B$2:$Y$301, MATCH(ROUND(MIN(300,MAX(1,D812)),0), FactorTable!$A$2:$A$301,0), Skills!M26+1)</f>
        <v/>
      </c>
      <c r="F812">
        <f>IF(Skills!N26=TRUE,(Skills!L26/10)*(E812/1000),Skills!L26/10)+Skills!O26</f>
        <v/>
      </c>
      <c r="G812">
        <f>Calc!G26</f>
        <v/>
      </c>
      <c r="H812">
        <f>Calc!H26</f>
        <v/>
      </c>
      <c r="I812">
        <f>IF(Skills!AA26&lt;&gt;"",1+(Skills!AA26/10)*(U789/1000)/100,1)</f>
        <v/>
      </c>
      <c r="J812" t="inlineStr"/>
      <c r="K812" t="inlineStr"/>
      <c r="L812" t="inlineStr"/>
      <c r="M812" t="inlineStr"/>
      <c r="N812" t="inlineStr"/>
      <c r="O812" t="n">
        <v>0</v>
      </c>
      <c r="P812">
        <f>IF(B830=0,0,O812/B830)</f>
        <v/>
      </c>
      <c r="Q812" t="n">
        <v>0</v>
      </c>
      <c r="R812" t="n">
        <v>0</v>
      </c>
      <c r="S812">
        <f>IFERROR(O812/N812,0)</f>
        <v/>
      </c>
    </row>
    <row r="813">
      <c r="A813">
        <f>Skills!A27</f>
        <v/>
      </c>
      <c r="B813">
        <f>Skills!B27</f>
        <v/>
      </c>
      <c r="C813">
        <f>Inputs!$B$3&gt;=72</f>
        <v/>
      </c>
      <c r="D813">
        <f>IF(Skills!C27=1,60+(Inputs!$B$24+1)+Inputs!$B$28,IF(Skills!C27=2,90+Inputs!$B$25+Inputs!$B$28,IF(Skills!C27=3,120+Inputs!$B$26+Inputs!$B$28,MAX(0,(Inputs!$B$3-100)*3)+Inputs!$B$27+Inputs!$B$28)))</f>
        <v/>
      </c>
      <c r="E813">
        <f>INDEX(FactorTable!$B$2:$Y$301, MATCH(ROUND(MIN(300,MAX(1,D813)),0), FactorTable!$A$2:$A$301,0), Skills!M27+1)</f>
        <v/>
      </c>
      <c r="F813">
        <f>IF(Skills!N27=TRUE,(Skills!L27/10)*(E813/1000),Skills!L27/10)+Skills!O27</f>
        <v/>
      </c>
      <c r="G813">
        <f>Calc!G27</f>
        <v/>
      </c>
      <c r="H813">
        <f>Calc!H27</f>
        <v/>
      </c>
      <c r="I813">
        <f>IF(Skills!AA27&lt;&gt;"",1+(Skills!AA27/10)*(U789/1000)/100,1)</f>
        <v/>
      </c>
      <c r="J813" t="inlineStr"/>
      <c r="K813" t="inlineStr"/>
      <c r="L813" t="inlineStr"/>
      <c r="M813" t="inlineStr"/>
      <c r="N813" t="inlineStr"/>
      <c r="O813" t="n">
        <v>0</v>
      </c>
      <c r="P813">
        <f>IF(B830=0,0,O813/B830)</f>
        <v/>
      </c>
      <c r="Q813" t="n">
        <v>0</v>
      </c>
      <c r="R813" t="n">
        <v>0</v>
      </c>
      <c r="S813">
        <f>IFERROR(O813/N813,0)</f>
        <v/>
      </c>
    </row>
    <row r="814">
      <c r="A814">
        <f>Skills!A28</f>
        <v/>
      </c>
      <c r="B814">
        <f>Skills!B28</f>
        <v/>
      </c>
      <c r="C814">
        <f>Inputs!$B$3&gt;=75</f>
        <v/>
      </c>
      <c r="D814">
        <f>IF(Skills!C28=1,60+(Inputs!$B$24+1)+Inputs!$B$28,IF(Skills!C28=2,90+Inputs!$B$25+Inputs!$B$28,IF(Skills!C28=3,120+Inputs!$B$26+Inputs!$B$28,MAX(0,(Inputs!$B$3-100)*3)+Inputs!$B$27+Inputs!$B$28)))</f>
        <v/>
      </c>
      <c r="E814">
        <f>INDEX(FactorTable!$B$2:$Y$301, MATCH(ROUND(MIN(300,MAX(1,D814)),0), FactorTable!$A$2:$A$301,0), Skills!M28+1)</f>
        <v/>
      </c>
      <c r="F814">
        <f>IF(Skills!N28=TRUE,(Skills!L28/10)*(E814/1000),Skills!L28/10)+Skills!O28</f>
        <v/>
      </c>
      <c r="G814">
        <f>Calc!G28</f>
        <v/>
      </c>
      <c r="H814">
        <f>Calc!H28</f>
        <v/>
      </c>
      <c r="I814">
        <f>IF(Skills!AA28&lt;&gt;"",1+(Skills!AA28/10)*(U789/1000)/100,1)</f>
        <v/>
      </c>
      <c r="J814" t="inlineStr"/>
      <c r="K814" t="inlineStr"/>
      <c r="L814" t="inlineStr"/>
      <c r="M814" t="inlineStr"/>
      <c r="N814" t="inlineStr"/>
      <c r="O814" t="n">
        <v>0</v>
      </c>
      <c r="P814">
        <f>IF(B830=0,0,O814/B830)</f>
        <v/>
      </c>
      <c r="Q814" t="n">
        <v>0</v>
      </c>
      <c r="R814" t="n">
        <v>0</v>
      </c>
      <c r="S814">
        <f>IFERROR(O814/N814,0)</f>
        <v/>
      </c>
    </row>
    <row r="815">
      <c r="A815">
        <f>Skills!A29</f>
        <v/>
      </c>
      <c r="B815">
        <f>Skills!B29</f>
        <v/>
      </c>
      <c r="C815">
        <f>Inputs!$B$3&gt;=120</f>
        <v/>
      </c>
      <c r="D815">
        <f>IF(Skills!C29=1,60+(Inputs!$B$24+1)+Inputs!$B$28,IF(Skills!C29=2,90+Inputs!$B$25+Inputs!$B$28,IF(Skills!C29=3,120+Inputs!$B$26+Inputs!$B$28,MAX(0,(Inputs!$B$3-100)*3)+Inputs!$B$27+Inputs!$B$28)))</f>
        <v/>
      </c>
      <c r="E815">
        <f>INDEX(FactorTable!$B$2:$Y$301, MATCH(ROUND(MIN(300,MAX(1,D815)),0), FactorTable!$A$2:$A$301,0), Skills!M29+1)</f>
        <v/>
      </c>
      <c r="F815">
        <f>IF(Skills!N29=TRUE,(Skills!L29/10)*(E815/1000),Skills!L29/10)+Skills!O29</f>
        <v/>
      </c>
      <c r="G815">
        <f>Calc!G29</f>
        <v/>
      </c>
      <c r="H815">
        <f>Calc!H29</f>
        <v/>
      </c>
      <c r="I815">
        <f>IF(Skills!AA29&lt;&gt;"",1+(Skills!AA29/10)*(U789/1000)/100,1)</f>
        <v/>
      </c>
      <c r="J815" t="inlineStr"/>
      <c r="K815" t="inlineStr"/>
      <c r="L815" t="inlineStr"/>
      <c r="M815" t="inlineStr"/>
      <c r="N815" t="inlineStr"/>
      <c r="O815" t="n">
        <v>0</v>
      </c>
      <c r="P815">
        <f>IF(B830=0,0,O815/B830)</f>
        <v/>
      </c>
      <c r="Q815" t="n">
        <v>0</v>
      </c>
      <c r="R815" t="n">
        <v>0</v>
      </c>
      <c r="S815">
        <f>IFERROR(O815/N815,0)</f>
        <v/>
      </c>
    </row>
    <row r="816">
      <c r="A816">
        <f>Skills!A30</f>
        <v/>
      </c>
      <c r="B816">
        <f>Skills!B30</f>
        <v/>
      </c>
      <c r="C816">
        <f>Inputs!$B$3&gt;=125</f>
        <v/>
      </c>
      <c r="D816">
        <f>IF(Skills!C30=1,60+(Inputs!$B$24+1)+Inputs!$B$28,IF(Skills!C30=2,90+Inputs!$B$25+Inputs!$B$28,IF(Skills!C30=3,120+Inputs!$B$26+Inputs!$B$28,MAX(0,(Inputs!$B$3-100)*3)+Inputs!$B$27+Inputs!$B$28)))</f>
        <v/>
      </c>
      <c r="E816">
        <f>INDEX(FactorTable!$B$2:$Y$301, MATCH(ROUND(MIN(300,MAX(1,D816)),0), FactorTable!$A$2:$A$301,0), Skills!M30+1)</f>
        <v/>
      </c>
      <c r="F816">
        <f>IF(Skills!N30=TRUE,(Skills!L30/10)*(E816/1000),Skills!L30/10)+Skills!O30</f>
        <v/>
      </c>
      <c r="G816">
        <f>Calc!G30</f>
        <v/>
      </c>
      <c r="H816">
        <f>Calc!H30</f>
        <v/>
      </c>
      <c r="I816">
        <f>IF(Skills!AA30&lt;&gt;"",1+(Skills!AA30/10)*(U789/1000)/100,1)</f>
        <v/>
      </c>
      <c r="J816" t="inlineStr"/>
      <c r="K816" t="inlineStr"/>
      <c r="L816" t="inlineStr"/>
      <c r="M816" t="inlineStr"/>
      <c r="N816" t="inlineStr"/>
      <c r="O816" t="n">
        <v>0</v>
      </c>
      <c r="P816">
        <f>IF(B830=0,0,O816/B830)</f>
        <v/>
      </c>
      <c r="Q816" t="n">
        <v>0</v>
      </c>
      <c r="R816" t="n">
        <v>0</v>
      </c>
      <c r="S816">
        <f>IFERROR(O816/N816,0)</f>
        <v/>
      </c>
    </row>
    <row r="817">
      <c r="A817">
        <f>Skills!A31</f>
        <v/>
      </c>
      <c r="B817">
        <f>Skills!B31</f>
        <v/>
      </c>
      <c r="C817">
        <f>Inputs!$B$3&gt;=107</f>
        <v/>
      </c>
      <c r="D817">
        <f>IF(Skills!C31=1,60+(Inputs!$B$24+1)+Inputs!$B$28,IF(Skills!C31=2,90+Inputs!$B$25+Inputs!$B$28,IF(Skills!C31=3,120+Inputs!$B$26+Inputs!$B$28,MAX(0,(Inputs!$B$3-100)*3)+Inputs!$B$27+Inputs!$B$28)))</f>
        <v/>
      </c>
      <c r="E817">
        <f>INDEX(FactorTable!$B$2:$Y$301, MATCH(ROUND(MIN(300,MAX(1,D817)),0), FactorTable!$A$2:$A$301,0), Skills!M31+1)</f>
        <v/>
      </c>
      <c r="F817">
        <f>IF(Skills!N31=TRUE,(Skills!L31/10)*(E817/1000),Skills!L31/10)+Skills!O31</f>
        <v/>
      </c>
      <c r="G817">
        <f>Calc!G31</f>
        <v/>
      </c>
      <c r="H817">
        <f>Calc!H31</f>
        <v/>
      </c>
      <c r="I817">
        <f>IF(Skills!AA31&lt;&gt;"",1+(Skills!AA31/10)*(U789/1000)/100,1)</f>
        <v/>
      </c>
      <c r="J817" t="inlineStr"/>
      <c r="K817" t="inlineStr"/>
      <c r="L817" t="inlineStr"/>
      <c r="M817" t="inlineStr"/>
      <c r="N817" t="inlineStr"/>
      <c r="O817" t="n">
        <v>0</v>
      </c>
      <c r="P817">
        <f>IF(B830=0,0,O817/B830)</f>
        <v/>
      </c>
      <c r="Q817" t="n">
        <v>0</v>
      </c>
      <c r="R817" t="n">
        <v>0</v>
      </c>
      <c r="S817">
        <f>IFERROR(O817/N817,0)</f>
        <v/>
      </c>
    </row>
    <row r="819">
      <c r="A819" t="inlineStr">
        <is>
          <t>Actions Per Second (pre-Adrenalin)</t>
        </is>
      </c>
      <c r="B819">
        <f>1+MIN(150,150*(1-(1-(Inputs!$B$10+((C808=TRUE)*(F808-Calc!F22)))/150)*(1-((C805=TRUE)*F805*IF(AND(Inputs!$B$4&lt;&gt;"pvp",Inputs!$B$35&gt;0),(((S805-1)*(Skills!Y19*(1+Inputs!$B$33/100))+MIN((Skills!Y19*(1+Inputs!$B$33/100)),MAX(0,Inputs!$B$35-((S805-1)*Skills!D19))))/Inputs!$B$35),IF(Inputs!$B$4="pvp",MIN((Skills!Y19*(1+Inputs!$B$33/100)),15)/15,(Skills!Y19*(1+Inputs!$B$33/100))/Skills!D19)))/150)))/100</f>
        <v/>
      </c>
    </row>
    <row r="820">
      <c r="A820" t="inlineStr">
        <is>
          <t>Alchemic Adrenaline Uptime</t>
        </is>
      </c>
      <c r="B820">
        <f>(Skills!Y6*(1+Inputs!$B$33/100))/((Skills!Y6*(1+Inputs!$B$33/100))+(5/B819))</f>
        <v/>
      </c>
    </row>
    <row r="821">
      <c r="A821" t="inlineStr">
        <is>
          <t>Attack Speed Buff Bonus %</t>
        </is>
      </c>
      <c r="B821">
        <f>((C805=TRUE)*F805*IF(AND(Inputs!$B$4&lt;&gt;"pvp",Inputs!$B$35&gt;0),(((S805-1)*(Skills!Y19*(1+Inputs!$B$33/100))+MIN((Skills!Y19*(1+Inputs!$B$33/100)),MAX(0,Inputs!$B$35-((S805-1)*Skills!D19))))/Inputs!$B$35),IF(Inputs!$B$4="pvp",MIN((Skills!Y19*(1+Inputs!$B$33/100)),15)/15,(Skills!Y19*(1+Inputs!$B$33/100))/Skills!D19)))+((C793=TRUE)*F793*B820)</f>
        <v/>
      </c>
    </row>
    <row r="822">
      <c r="A822" t="inlineStr">
        <is>
          <t>Actions Per Second (final)</t>
        </is>
      </c>
      <c r="B822">
        <f>1+MIN(150,150*(1-(1-(Inputs!$B$10+((C808=TRUE)*(F808-Calc!F22)))/150)*(1-B821/150)))/100</f>
        <v/>
      </c>
    </row>
    <row r="823">
      <c r="A823" t="inlineStr">
        <is>
          <t>Skill + Buff Cast Rate</t>
        </is>
      </c>
      <c r="B823">
        <f>IF(AND(Inputs!$B$4&lt;&gt;"pvp",Inputs!$B$35&gt;0),SUMPRODUCT((Skills!E2:E31=TRUE)*(C788:C817=TRUE)*R788:R817*Skills!F2:F31)/Inputs!$B$35,SUMPRODUCT((Skills!E2:E31=TRUE)*(C788:C817=TRUE)*Q788:Q817*Skills!F2:F31))</f>
        <v/>
      </c>
    </row>
    <row r="824">
      <c r="A824" t="inlineStr">
        <is>
          <t>Showdown Casts Per Second</t>
        </is>
      </c>
      <c r="B824">
        <f>MAX(0,B822-B823)</f>
        <v/>
      </c>
    </row>
    <row r="825">
      <c r="A825" t="inlineStr">
        <is>
          <t>Average Buff Multiplier</t>
        </is>
      </c>
      <c r="B825">
        <f>(1+(((C807=TRUE)*F807*IF(AND(Inputs!$B$4&lt;&gt;"pvp",Inputs!$B$35&gt;0),(((S807-1)*(Skills!Y21*(1+Inputs!$B$33/100))+MIN((Skills!Y21*(1+Inputs!$B$33/100)),MAX(0,Inputs!$B$35-((S807-1)*Skills!D21))))/Inputs!$B$35),IF(Inputs!$B$4="pvp",MIN((Skills!Y21*(1+Inputs!$B$33/100)),15)/15,(Skills!Y21*(1+Inputs!$B$33/100))/Skills!D21)))+((C814=TRUE)*(F814-Calc!F28))+((C804=TRUE)*(F804-Calc!F18)))/100)*(1+((C801=TRUE)*F801*IF(AND(Inputs!$B$4&lt;&gt;"pvp",Inputs!$B$35&gt;0),(((S801-1)*(Skills!Y15*(1+Inputs!$B$33/100))+MIN((Skills!Y15*(1+Inputs!$B$33/100)),MAX(0,Inputs!$B$35-((S801-1)*Skills!D15))))/Inputs!$B$35),IF(Inputs!$B$4="pvp",MIN((Skills!Y15*(1+Inputs!$B$33/100)),15)/15,(Skills!Y15*(1+Inputs!$B$33/100))/Skills!D15)))/100)*(1+((C792=TRUE)*F792*B820)/100)</f>
        <v/>
      </c>
    </row>
    <row r="826">
      <c r="A826" t="inlineStr">
        <is>
          <t>Global Crit Rate Bonus %</t>
        </is>
      </c>
      <c r="B826">
        <f>IF(Inputs!$B$3&gt;=47,8,0)+((C806=TRUE)*F806*IF(AND(Inputs!$B$4&lt;&gt;"pvp",Inputs!$B$35&gt;0),(((S806-1)*(Skills!Y20*(1+Inputs!$B$33/100))+MIN((Skills!Y20*(1+Inputs!$B$33/100)),MAX(0,Inputs!$B$35-((S806-1)*Skills!D20))))/Inputs!$B$35),IF(Inputs!$B$4="pvp",MIN((Skills!Y20*(1+Inputs!$B$33/100)),15)/15,(Skills!Y20*(1+Inputs!$B$33/100))/Skills!D20)))</f>
        <v/>
      </c>
    </row>
    <row r="827">
      <c r="A827" t="inlineStr">
        <is>
          <t>Global Monster Damage-Taken Bonus %</t>
        </is>
      </c>
      <c r="B827">
        <f>IF(Inputs!$B$3&gt;=82,15,0)+((C802=TRUE)*F802*IF(AND(Inputs!$B$4&lt;&gt;"pvp",Inputs!$B$35&gt;0),(((S802-1)*(Skills!Y16*(1+Inputs!$B$33/100))+MIN((Skills!Y16*(1+Inputs!$B$33/100)),MAX(0,Inputs!$B$35-((S802-1)*Skills!D16))))/Inputs!$B$35),IF(Inputs!$B$4="pvp",MIN((Skills!Y16*(1+Inputs!$B$33/100)),15)/15,(Skills!Y16*(1+Inputs!$B$33/100))/Skills!D16)))</f>
        <v/>
      </c>
    </row>
    <row r="828">
      <c r="A828" t="inlineStr">
        <is>
          <t>Shadow Partner Average Multiplier</t>
        </is>
      </c>
      <c r="B828">
        <f>1+((C797=TRUE)*F797*I797*Skills!J11/100)/100</f>
        <v/>
      </c>
    </row>
    <row r="829">
      <c r="A829" t="inlineStr">
        <is>
          <t>Global Critical Damage Bonus % (Frailty Curse Mastery Lv.111)</t>
        </is>
      </c>
      <c r="B829">
        <f>IF(Inputs!$B$3&gt;=111,30,0)*IF(AND(Inputs!$B$4&lt;&gt;"pvp",Inputs!$B$35&gt;0),(((S802-1)*(Skills!Y16*(1+Inputs!$B$33/100))+MIN((Skills!Y16*(1+Inputs!$B$33/100)),MAX(0,Inputs!$B$35-((S802-1)*Skills!D16))))/Inputs!$B$35),IF(Inputs!$B$4="pvp",MIN((Skills!Y16*(1+Inputs!$B$33/100)),15)/15,(Skills!Y16*(1+Inputs!$B$33/100))/Skills!D16))</f>
        <v/>
      </c>
    </row>
    <row r="830">
      <c r="A830" s="5" t="inlineStr">
        <is>
          <t>TOTAL DPS</t>
        </is>
      </c>
      <c r="B830" s="5">
        <f>SUM(O788:O817)</f>
        <v/>
      </c>
    </row>
    <row r="833">
      <c r="A833" s="5" t="inlineStr">
        <is>
          <t>Stat: Skill Level Bonus — 2nd Job</t>
        </is>
      </c>
    </row>
    <row r="834">
      <c r="A834" s="8" t="inlineStr">
        <is>
          <t>Key</t>
        </is>
      </c>
      <c r="B834" s="8" t="inlineStr">
        <is>
          <t>Name</t>
        </is>
      </c>
      <c r="C834" s="8" t="inlineStr">
        <is>
          <t>Unlocked</t>
        </is>
      </c>
      <c r="D834" s="8" t="inlineStr">
        <is>
          <t>InputLevel</t>
        </is>
      </c>
      <c r="E834" s="8" t="inlineStr">
        <is>
          <t>Factor</t>
        </is>
      </c>
      <c r="F834" s="8" t="inlineStr">
        <is>
          <t>CoefficientPercent</t>
        </is>
      </c>
      <c r="G834" s="8" t="inlineStr">
        <is>
          <t>EffectiveHits</t>
        </is>
      </c>
      <c r="H834" s="8" t="inlineStr">
        <is>
          <t>ProcProbability</t>
        </is>
      </c>
      <c r="I834" s="8" t="inlineStr">
        <is>
          <t>MapleHeroMultiplier</t>
        </is>
      </c>
      <c r="J834" s="8" t="inlineStr">
        <is>
          <t>BaseDamage</t>
        </is>
      </c>
      <c r="K834" s="8" t="inlineStr">
        <is>
          <t>BaseHitDamage</t>
        </is>
      </c>
      <c r="L834" s="8" t="inlineStr">
        <is>
          <t>NonCritAvg</t>
        </is>
      </c>
      <c r="M834" s="8" t="inlineStr">
        <is>
          <t>CritAvg</t>
        </is>
      </c>
      <c r="N834" s="8" t="inlineStr">
        <is>
          <t>ExpectedDamage(perHit)</t>
        </is>
      </c>
      <c r="O834" s="8" t="inlineStr">
        <is>
          <t>DPS</t>
        </is>
      </c>
      <c r="P834" s="8" t="inlineStr">
        <is>
          <t>% of Total</t>
        </is>
      </c>
      <c r="Q834" s="8" t="inlineStr">
        <is>
          <t>InvCooldown</t>
        </is>
      </c>
      <c r="R834" s="8" t="inlineStr">
        <is>
          <t>CastsInFight</t>
        </is>
      </c>
      <c r="S834" s="8" t="inlineStr">
        <is>
          <t>HitRate(perSec)</t>
        </is>
      </c>
      <c r="U834" t="inlineStr">
        <is>
          <t>helpers</t>
        </is>
      </c>
    </row>
    <row r="835">
      <c r="A835">
        <f>Skills!A2</f>
        <v/>
      </c>
      <c r="B835">
        <f>Skills!B2</f>
        <v/>
      </c>
      <c r="C835">
        <f>Inputs!$B$3&gt;=100</f>
        <v/>
      </c>
      <c r="D835" t="inlineStr"/>
      <c r="E835" t="inlineStr"/>
      <c r="F835">
        <f>U839+Skills!O2</f>
        <v/>
      </c>
      <c r="G835">
        <f>Calc!G2</f>
        <v/>
      </c>
      <c r="H835">
        <f>Calc!H2</f>
        <v/>
      </c>
      <c r="I835">
        <f>IF(Skills!AA2&lt;&gt;"",1+(Skills!AA2/10)*(U836/1000)/100,1)</f>
        <v/>
      </c>
      <c r="J835">
        <f>(Inputs!$B$5*(1+Inputs!$B$6/100))*(F835/100)</f>
        <v/>
      </c>
      <c r="K835">
        <f>J835*(1+((Inputs!$B$11*(1+Inputs!$B$12/100))*0.01+Inputs!$B$13*0.0025)/100)*(1+Inputs!$B$14/100)*(1+IF(Inputs!$B$4="pvp",0,(1-Summary!$B$55)*(Inputs!$B$19+((C860=TRUE)*(F860-Calc!F27))+Skills!P2+B874)+Summary!$B$55*(Inputs!$B$20+Skills!Q2+B874))/100)*(1+Inputs!$B$15/100)*(5000/(6000+Inputs!$B$7*(1-Inputs!$B$18/100)))*(1+(Inputs!$B$23+((C863=TRUE)*(F863-Calc!F30)))/100)*(1+Skills!R2/100)*(1+(IF(Skills!A2="SHOWDOWN",Inputs!$B$16+((C856=TRUE)*(F856-Calc!F23)),Inputs!$B$17+((C862=TRUE)*(F862-Calc!F29))))/100)*(((1+(((C854=TRUE)*F854*IF(AND(Inputs!$B$4&lt;&gt;"pvp",Inputs!$B$35&gt;0),(((S854-1)*(Skills!Y21*(1+Inputs!$B$33/100))+MIN((Skills!Y21*(1+Inputs!$B$33/100)),MAX(0,Inputs!$B$35-((S854-1)*Skills!D21))))/Inputs!$B$35),IF(Inputs!$B$4="pvp",MIN((Skills!Y21*(1+Inputs!$B$33/100)),15)/15,(Skills!Y21*(1+Inputs!$B$33/100))/Skills!D21)))+((C861=TRUE)*(F861-Calc!F28))+((C851=TRUE)*(F851-Calc!F18)))/100)*(1+((C848=TRUE)*F848*IF(AND(Inputs!$B$4&lt;&gt;"pvp",Inputs!$B$35&gt;0),(((S848-1)*(Skills!Y15*(1+Inputs!$B$33/100))+MIN((Skills!Y15*(1+Inputs!$B$33/100)),MAX(0,Inputs!$B$35-((S848-1)*Skills!D15))))/Inputs!$B$35),IF(Inputs!$B$4="pvp",MIN((Skills!Y15*(1+Inputs!$B$33/100)),15)/15,(Skills!Y15*(1+Inputs!$B$33/100))/Skills!D15)))/100)*(1+((C839=TRUE)*F839*B867)/100))*B875*I835)</f>
        <v/>
      </c>
      <c r="L835">
        <f>K835*(MIN(Inputs!$B$21+((C857=TRUE)*(F857-Calc!F24)),Inputs!$B$22)/100+Inputs!$B$22/100)/2</f>
        <v/>
      </c>
      <c r="M835">
        <f>L835*(1+(Inputs!$B$9+((C859=TRUE)*(F859-Calc!F26))+B876)/100)</f>
        <v/>
      </c>
      <c r="N835">
        <f>L835*(1-MIN((Inputs!$B$8+((C858=TRUE)*(F858-Calc!F25))+B873),100)/100)+M835*(MIN((Inputs!$B$8+((C858=TRUE)*(F858-Calc!F25))+B873),100)/100)</f>
        <v/>
      </c>
      <c r="O835">
        <f>IF(C835,Skills!G2*N835*B871*IF(Inputs!$B$4="pvp",1,(1-Summary!$B$55)*(1)+Summary!$B$55*(MIN((6+Inputs!$B$32),Inputs!$B$37))),0)</f>
        <v/>
      </c>
      <c r="P835">
        <f>IF(B877=0,0,O835/B877)</f>
        <v/>
      </c>
      <c r="Q835" t="n">
        <v>0</v>
      </c>
      <c r="R835" t="n">
        <v>0</v>
      </c>
      <c r="S835">
        <f>IFERROR(O835/N835,0)</f>
        <v/>
      </c>
      <c r="U835">
        <f>MAX(0,(Inputs!$B$3-100)*3)+Inputs!$B$27+Inputs!$B$28</f>
        <v/>
      </c>
    </row>
    <row r="836">
      <c r="A836">
        <f>Skills!A3</f>
        <v/>
      </c>
      <c r="B836">
        <f>Skills!B3</f>
        <v/>
      </c>
      <c r="C836">
        <f>Inputs!$B$3&gt;=35</f>
        <v/>
      </c>
      <c r="D836">
        <f>IF(Skills!C3=1,60+Inputs!$B$24+Inputs!$B$28,IF(Skills!C3=2,90+(Inputs!$B$25+1)+Inputs!$B$28,IF(Skills!C3=3,120+Inputs!$B$26+Inputs!$B$28,MAX(0,(Inputs!$B$3-100)*3)+Inputs!$B$27+Inputs!$B$28)))</f>
        <v/>
      </c>
      <c r="E836">
        <f>INDEX(FactorTable!$B$2:$Y$301, MATCH(ROUND(MIN(300,MAX(1,D836)),0), FactorTable!$A$2:$A$301,0), Skills!M3+1)</f>
        <v/>
      </c>
      <c r="F836">
        <f>IF(Skills!N3=TRUE,(Skills!L3/10)*(E836/1000),Skills!L3/10)+Skills!O3</f>
        <v/>
      </c>
      <c r="G836">
        <f>Calc!G3</f>
        <v/>
      </c>
      <c r="H836">
        <f>Calc!H3</f>
        <v/>
      </c>
      <c r="I836">
        <f>IF(Skills!AA3&lt;&gt;"",1+(Skills!AA3/10)*(U836/1000)/100,1)</f>
        <v/>
      </c>
      <c r="J836">
        <f>(Inputs!$B$5*(1+Inputs!$B$6/100))*(F836/100)</f>
        <v/>
      </c>
      <c r="K836">
        <f>J836*(1+((Inputs!$B$11*(1+Inputs!$B$12/100))*0.01+Inputs!$B$13*0.0025)/100)*(1+Inputs!$B$14/100)*(1+IF(Inputs!$B$4="pvp",0,(1-Summary!$B$55)*(Inputs!$B$19+((C860=TRUE)*(F860-Calc!F27))+Skills!P3+B874)+Summary!$B$55*(Inputs!$B$20+Skills!Q3+B874))/100)*(1+Inputs!$B$15/100)*(5000/(6000+Inputs!$B$7*(1-Inputs!$B$18/100)))*(1+(Inputs!$B$23+((C863=TRUE)*(F863-Calc!F30)))/100)*(1+Skills!R3/100)*(1+(IF(Skills!A3="SHOWDOWN",Inputs!$B$16+((C856=TRUE)*(F856-Calc!F23)),Inputs!$B$17+((C862=TRUE)*(F862-Calc!F29))))/100)*(((1+(((C854=TRUE)*F854*IF(AND(Inputs!$B$4&lt;&gt;"pvp",Inputs!$B$35&gt;0),(((S854-1)*(Skills!Y21*(1+Inputs!$B$33/100))+MIN((Skills!Y21*(1+Inputs!$B$33/100)),MAX(0,Inputs!$B$35-((S854-1)*Skills!D21))))/Inputs!$B$35),IF(Inputs!$B$4="pvp",MIN((Skills!Y21*(1+Inputs!$B$33/100)),15)/15,(Skills!Y21*(1+Inputs!$B$33/100))/Skills!D21)))+((C861=TRUE)*(F861-Calc!F28))+((C851=TRUE)*(F851-Calc!F18)))/100)*(1+((C848=TRUE)*F848*IF(AND(Inputs!$B$4&lt;&gt;"pvp",Inputs!$B$35&gt;0),(((S848-1)*(Skills!Y15*(1+Inputs!$B$33/100))+MIN((Skills!Y15*(1+Inputs!$B$33/100)),MAX(0,Inputs!$B$35-((S848-1)*Skills!D15))))/Inputs!$B$35),IF(Inputs!$B$4="pvp",MIN((Skills!Y15*(1+Inputs!$B$33/100)),15)/15,(Skills!Y15*(1+Inputs!$B$33/100))/Skills!D15)))/100)*(1+((C839=TRUE)*F839*B867)/100))*B875*I836)</f>
        <v/>
      </c>
      <c r="L836">
        <f>K836*(MIN(Inputs!$B$21+((C857=TRUE)*(F857-Calc!F24)),Inputs!$B$22)/100+Inputs!$B$22/100)/2</f>
        <v/>
      </c>
      <c r="M836">
        <f>L836*(1+(Inputs!$B$9+((C859=TRUE)*(F859-Calc!F26))+B876)/100)</f>
        <v/>
      </c>
      <c r="N836">
        <f>L836*(1-MIN((Inputs!$B$8+((C858=TRUE)*(F858-Calc!F25))+B873),100)/100)+M836*(MIN((Inputs!$B$8+((C858=TRUE)*(F858-Calc!F25))+B873),100)/100)</f>
        <v/>
      </c>
      <c r="O836">
        <f>IF(C836,H836*N836*IF(AND(Inputs!$B$4&lt;&gt;"pvp",Inputs!$B$35&gt;0),((Skills!G3*((R836-1)*IF(Skills!H3&gt;0,Skills!I3/Skills!H3,1)+IF(Skills!H3&gt;0,MIN(Skills!I3,MAX(0,Inputs!$B$35-((R836-1)*IF(Inputs!$B$4="pvp",15,MAX(0.1,Skills!D3-IF(Skills!E3=TRUE,Inputs!$B$31,0))))))/Skills!H3,1)))/Inputs!$B$35),G836*Q836)*IF(Inputs!$B$4="pvp",1,(1-Summary!$B$55)*(1)+Summary!$B$55*(MIN(Skills!W3,Inputs!$B$37))),0)</f>
        <v/>
      </c>
      <c r="P836">
        <f>IF(B877=0,0,O836/B877)</f>
        <v/>
      </c>
      <c r="Q836">
        <f>IFERROR(1/IF(Inputs!$B$4="pvp",15,MAX(0.1,Skills!D3-IF(Skills!E3=TRUE,Inputs!$B$31,0))),0)</f>
        <v/>
      </c>
      <c r="R836">
        <f>IF(AND(Inputs!$B$4&lt;&gt;"pvp",Inputs!$B$35&gt;0),(INT(Inputs!$B$35/IF(Inputs!$B$4="pvp",15,MAX(0.1,Skills!D3-IF(Skills!E3=TRUE,Inputs!$B$31,0))))+1),0)</f>
        <v/>
      </c>
      <c r="S836">
        <f>IFERROR(O836/N836,0)</f>
        <v/>
      </c>
      <c r="U836">
        <f>INDEX(FactorTable!$B$2:$Y$301, MATCH(ROUND(MIN(300,MAX(1,U835)),0), FactorTable!$A$2:$A$301,0), 24)</f>
        <v/>
      </c>
    </row>
    <row r="837">
      <c r="A837">
        <f>Skills!A4</f>
        <v/>
      </c>
      <c r="B837">
        <f>Skills!B4</f>
        <v/>
      </c>
      <c r="C837">
        <f>Inputs!$B$3&gt;=40</f>
        <v/>
      </c>
      <c r="D837">
        <f>IF(Skills!C4=1,60+Inputs!$B$24+Inputs!$B$28,IF(Skills!C4=2,90+(Inputs!$B$25+1)+Inputs!$B$28,IF(Skills!C4=3,120+Inputs!$B$26+Inputs!$B$28,MAX(0,(Inputs!$B$3-100)*3)+Inputs!$B$27+Inputs!$B$28)))</f>
        <v/>
      </c>
      <c r="E837">
        <f>INDEX(FactorTable!$B$2:$Y$301, MATCH(ROUND(MIN(300,MAX(1,D837)),0), FactorTable!$A$2:$A$301,0), Skills!M4+1)</f>
        <v/>
      </c>
      <c r="F837">
        <f>IF(Skills!N4=TRUE,(Skills!L4/10)*(E837/1000),Skills!L4/10)+Skills!O4</f>
        <v/>
      </c>
      <c r="G837">
        <f>Calc!G4</f>
        <v/>
      </c>
      <c r="H837">
        <f>Calc!H4</f>
        <v/>
      </c>
      <c r="I837">
        <f>IF(Skills!AA4&lt;&gt;"",1+(Skills!AA4/10)*(U836/1000)/100,1)</f>
        <v/>
      </c>
      <c r="J837">
        <f>(Inputs!$B$5*(1+Inputs!$B$6/100))*(F837/100)</f>
        <v/>
      </c>
      <c r="K837">
        <f>J837*(1+((Inputs!$B$11*(1+Inputs!$B$12/100))*0.01+Inputs!$B$13*0.0025)/100)*(1+Inputs!$B$14/100)*(1+IF(Inputs!$B$4="pvp",0,(1-Summary!$B$55)*(Inputs!$B$19+((C860=TRUE)*(F860-Calc!F27))+Skills!P4+B874)+Summary!$B$55*(Inputs!$B$20+Skills!Q4+B874))/100)*(1+Inputs!$B$15/100)*(5000/(6000+Inputs!$B$7*(1-Inputs!$B$18/100)))*(1+(Inputs!$B$23+((C863=TRUE)*(F863-Calc!F30)))/100)*(1+Skills!R4/100)*(1+(IF(Skills!A4="SHOWDOWN",Inputs!$B$16+((C856=TRUE)*(F856-Calc!F23)),Inputs!$B$17+((C862=TRUE)*(F862-Calc!F29))))/100)*(((1+(((C854=TRUE)*F854*IF(AND(Inputs!$B$4&lt;&gt;"pvp",Inputs!$B$35&gt;0),(((S854-1)*(Skills!Y21*(1+Inputs!$B$33/100))+MIN((Skills!Y21*(1+Inputs!$B$33/100)),MAX(0,Inputs!$B$35-((S854-1)*Skills!D21))))/Inputs!$B$35),IF(Inputs!$B$4="pvp",MIN((Skills!Y21*(1+Inputs!$B$33/100)),15)/15,(Skills!Y21*(1+Inputs!$B$33/100))/Skills!D21)))+((C861=TRUE)*(F861-Calc!F28))+((C851=TRUE)*(F851-Calc!F18)))/100)*(1+((C848=TRUE)*F848*IF(AND(Inputs!$B$4&lt;&gt;"pvp",Inputs!$B$35&gt;0),(((S848-1)*(Skills!Y15*(1+Inputs!$B$33/100))+MIN((Skills!Y15*(1+Inputs!$B$33/100)),MAX(0,Inputs!$B$35-((S848-1)*Skills!D15))))/Inputs!$B$35),IF(Inputs!$B$4="pvp",MIN((Skills!Y15*(1+Inputs!$B$33/100)),15)/15,(Skills!Y15*(1+Inputs!$B$33/100))/Skills!D15)))/100)*(1+((C839=TRUE)*F839*B867)/100))*B875*I837)</f>
        <v/>
      </c>
      <c r="L837">
        <f>K837*(MIN(Inputs!$B$21+((C857=TRUE)*(F857-Calc!F24)),Inputs!$B$22)/100+Inputs!$B$22/100)/2</f>
        <v/>
      </c>
      <c r="M837">
        <f>L837*(1+(Inputs!$B$9+((C859=TRUE)*(F859-Calc!F26))+B876)/100)</f>
        <v/>
      </c>
      <c r="N837">
        <f>L837*(1-MIN((Inputs!$B$8+((C858=TRUE)*(F858-Calc!F25))+B873),100)/100)+M837*(MIN((Inputs!$B$8+((C858=TRUE)*(F858-Calc!F25))+B873),100)/100)</f>
        <v/>
      </c>
      <c r="O837">
        <f>IF(C837,H837*N837*IF(AND(Inputs!$B$4&lt;&gt;"pvp",Inputs!$B$35&gt;0),((Skills!G4*((R837-1)*IF(Skills!H4&gt;0,Skills!I4/Skills!H4,1)+IF(Skills!H4&gt;0,MIN(Skills!I4,MAX(0,Inputs!$B$35-((R837-1)*IF(Inputs!$B$4="pvp",15,MAX(0.1,Skills!D4-IF(Skills!E4=TRUE,Inputs!$B$31,0))))))/Skills!H4,1)))/Inputs!$B$35),G837*Q837)*IF(Inputs!$B$4="pvp",1,(1-Summary!$B$55)*(1)+Summary!$B$55*(MIN(Skills!W4,Inputs!$B$37))),0)</f>
        <v/>
      </c>
      <c r="P837">
        <f>IF(B877=0,0,O837/B877)</f>
        <v/>
      </c>
      <c r="Q837">
        <f>IFERROR(1/IF(Inputs!$B$4="pvp",15,MAX(0.1,Skills!D4-IF(Skills!E4=TRUE,Inputs!$B$31,0))),0)</f>
        <v/>
      </c>
      <c r="R837">
        <f>IF(AND(Inputs!$B$4&lt;&gt;"pvp",Inputs!$B$35&gt;0),(INT(Inputs!$B$35/IF(Inputs!$B$4="pvp",15,MAX(0.1,Skills!D4-IF(Skills!E4=TRUE,Inputs!$B$31,0))))+1),0)</f>
        <v/>
      </c>
      <c r="S837">
        <f>IFERROR(O837/N837,0)</f>
        <v/>
      </c>
      <c r="U837">
        <f>MAX(0,(Inputs!$B$3-100)*3)+Inputs!$B$27+Inputs!$B$28</f>
        <v/>
      </c>
    </row>
    <row r="838">
      <c r="A838">
        <f>Skills!A5</f>
        <v/>
      </c>
      <c r="B838">
        <f>Skills!B5</f>
        <v/>
      </c>
      <c r="C838">
        <f>Inputs!$B$3&gt;=63</f>
        <v/>
      </c>
      <c r="D838">
        <f>IF(Skills!C5=1,60+Inputs!$B$24+Inputs!$B$28,IF(Skills!C5=2,90+(Inputs!$B$25+1)+Inputs!$B$28,IF(Skills!C5=3,120+Inputs!$B$26+Inputs!$B$28,MAX(0,(Inputs!$B$3-100)*3)+Inputs!$B$27+Inputs!$B$28)))</f>
        <v/>
      </c>
      <c r="E838">
        <f>INDEX(FactorTable!$B$2:$Y$301, MATCH(ROUND(MIN(300,MAX(1,D838)),0), FactorTable!$A$2:$A$301,0), Skills!M5+1)</f>
        <v/>
      </c>
      <c r="F838">
        <f>IF(Skills!N5=TRUE,(Skills!L5/10)*(E838/1000),Skills!L5/10)+Skills!O5</f>
        <v/>
      </c>
      <c r="G838">
        <f>Calc!G5</f>
        <v/>
      </c>
      <c r="H838">
        <f>Calc!H5</f>
        <v/>
      </c>
      <c r="I838">
        <f>IF(Skills!AA5&lt;&gt;"",1+(Skills!AA5/10)*(U836/1000)/100,1)</f>
        <v/>
      </c>
      <c r="J838">
        <f>(Inputs!$B$5*(1+Inputs!$B$6/100))*(F838/100)</f>
        <v/>
      </c>
      <c r="K838">
        <f>J838*(1+((Inputs!$B$11*(1+Inputs!$B$12/100))*0.01+Inputs!$B$13*0.0025)/100)*(1+Inputs!$B$14/100)*(1+IF(Inputs!$B$4="pvp",0,(1-Summary!$B$55)*(Inputs!$B$19+((C860=TRUE)*(F860-Calc!F27))+Skills!P5+B874)+Summary!$B$55*(Inputs!$B$20+Skills!Q5+B874))/100)*(1+Inputs!$B$15/100)*(5000/(6000+Inputs!$B$7*(1-Inputs!$B$18/100)))*(1+(Inputs!$B$23+((C863=TRUE)*(F863-Calc!F30)))/100)*(1+Skills!R5/100)*(1+(IF(Skills!A5="SHOWDOWN",Inputs!$B$16+((C856=TRUE)*(F856-Calc!F23)),Inputs!$B$17+((C862=TRUE)*(F862-Calc!F29))))/100)*(((1+(((C854=TRUE)*F854*IF(AND(Inputs!$B$4&lt;&gt;"pvp",Inputs!$B$35&gt;0),(((S854-1)*(Skills!Y21*(1+Inputs!$B$33/100))+MIN((Skills!Y21*(1+Inputs!$B$33/100)),MAX(0,Inputs!$B$35-((S854-1)*Skills!D21))))/Inputs!$B$35),IF(Inputs!$B$4="pvp",MIN((Skills!Y21*(1+Inputs!$B$33/100)),15)/15,(Skills!Y21*(1+Inputs!$B$33/100))/Skills!D21)))+((C861=TRUE)*(F861-Calc!F28))+((C851=TRUE)*(F851-Calc!F18)))/100)*(1+((C848=TRUE)*F848*IF(AND(Inputs!$B$4&lt;&gt;"pvp",Inputs!$B$35&gt;0),(((S848-1)*(Skills!Y15*(1+Inputs!$B$33/100))+MIN((Skills!Y15*(1+Inputs!$B$33/100)),MAX(0,Inputs!$B$35-((S848-1)*Skills!D15))))/Inputs!$B$35),IF(Inputs!$B$4="pvp",MIN((Skills!Y15*(1+Inputs!$B$33/100)),15)/15,(Skills!Y15*(1+Inputs!$B$33/100))/Skills!D15)))/100)*(1+((C839=TRUE)*F839*B867)/100))*B875*I838)</f>
        <v/>
      </c>
      <c r="L838">
        <f>K838*(MIN(Inputs!$B$21+((C857=TRUE)*(F857-Calc!F24)),Inputs!$B$22)/100+Inputs!$B$22/100)/2</f>
        <v/>
      </c>
      <c r="M838">
        <f>L838*(1+(Inputs!$B$9+((C859=TRUE)*(F859-Calc!F26))+B876)/100)</f>
        <v/>
      </c>
      <c r="N838">
        <f>L838*(1-MIN((Inputs!$B$8+((C858=TRUE)*(F858-Calc!F25))+B873),100)/100)+M838*(MIN((Inputs!$B$8+((C858=TRUE)*(F858-Calc!F25))+B873),100)/100)</f>
        <v/>
      </c>
      <c r="O838">
        <f>IF(C838,H838*N838*IF(AND(Inputs!$B$4&lt;&gt;"pvp",Inputs!$B$35&gt;0),((Skills!G5*((R838-1)*IF(Skills!H5&gt;0,Skills!I5/Skills!H5,1)+IF(Skills!H5&gt;0,MIN(Skills!I5,MAX(0,Inputs!$B$35-((R838-1)*IF(Inputs!$B$4="pvp",15,MAX(0.1,Skills!D5-IF(Skills!E5=TRUE,Inputs!$B$31,0))))))/Skills!H5,1)))/Inputs!$B$35),G838*Q838)*IF(Inputs!$B$4="pvp",1,(1-Summary!$B$55)*(1)+Summary!$B$55*(MIN(Skills!W5,Inputs!$B$37))),0)</f>
        <v/>
      </c>
      <c r="P838">
        <f>IF(B877=0,0,O838/B877)</f>
        <v/>
      </c>
      <c r="Q838">
        <f>IFERROR(1/IF(Inputs!$B$4="pvp",15,MAX(0.1,Skills!D5-IF(Skills!E5=TRUE,Inputs!$B$31,0))),0)</f>
        <v/>
      </c>
      <c r="R838">
        <f>IF(AND(Inputs!$B$4&lt;&gt;"pvp",Inputs!$B$35&gt;0),(INT(Inputs!$B$35/IF(Inputs!$B$4="pvp",15,MAX(0.1,Skills!D5-IF(Skills!E5=TRUE,Inputs!$B$31,0))))+1),0)</f>
        <v/>
      </c>
      <c r="S838">
        <f>IFERROR(O838/N838,0)</f>
        <v/>
      </c>
      <c r="U838">
        <f>INDEX(FactorTable!$B$2:$Y$301, MATCH(ROUND(MIN(300,MAX(1,U837)),0), FactorTable!$A$2:$A$301,0), 22)</f>
        <v/>
      </c>
    </row>
    <row r="839">
      <c r="A839">
        <f>Skills!A6</f>
        <v/>
      </c>
      <c r="B839">
        <f>Skills!B6</f>
        <v/>
      </c>
      <c r="C839">
        <f>Inputs!$B$3&gt;=66</f>
        <v/>
      </c>
      <c r="D839">
        <f>IF(Skills!C6=1,60+Inputs!$B$24+Inputs!$B$28,IF(Skills!C6=2,90+(Inputs!$B$25+1)+Inputs!$B$28,IF(Skills!C6=3,120+Inputs!$B$26+Inputs!$B$28,MAX(0,(Inputs!$B$3-100)*3)+Inputs!$B$27+Inputs!$B$28)))</f>
        <v/>
      </c>
      <c r="E839">
        <f>INDEX(FactorTable!$B$2:$Y$301, MATCH(ROUND(MIN(300,MAX(1,D839)),0), FactorTable!$A$2:$A$301,0), Skills!M6+1)</f>
        <v/>
      </c>
      <c r="F839">
        <f>IF(Skills!N6=TRUE,(Skills!L6/10)*(E839/1000),Skills!L6/10)+Skills!O6</f>
        <v/>
      </c>
      <c r="G839">
        <f>Calc!G6</f>
        <v/>
      </c>
      <c r="H839">
        <f>Calc!H6</f>
        <v/>
      </c>
      <c r="I839">
        <f>IF(Skills!AA6&lt;&gt;"",1+(Skills!AA6/10)*(U836/1000)/100,1)</f>
        <v/>
      </c>
      <c r="J839" t="inlineStr"/>
      <c r="K839" t="inlineStr"/>
      <c r="L839" t="inlineStr"/>
      <c r="M839" t="inlineStr"/>
      <c r="N839" t="inlineStr"/>
      <c r="O839" t="n">
        <v>0</v>
      </c>
      <c r="P839">
        <f>IF(B877=0,0,O839/B877)</f>
        <v/>
      </c>
      <c r="Q839" t="n">
        <v>0</v>
      </c>
      <c r="R839" t="n">
        <v>0</v>
      </c>
      <c r="S839">
        <f>IFERROR(O839/N839,0)</f>
        <v/>
      </c>
      <c r="U839">
        <f>290*U838/1000</f>
        <v/>
      </c>
    </row>
    <row r="840">
      <c r="A840">
        <f>Skills!A7</f>
        <v/>
      </c>
      <c r="B840">
        <f>Skills!B7</f>
        <v/>
      </c>
      <c r="C840">
        <f>Inputs!$B$3&gt;=66</f>
        <v/>
      </c>
      <c r="D840">
        <f>IF(Skills!C7=1,60+Inputs!$B$24+Inputs!$B$28,IF(Skills!C7=2,90+(Inputs!$B$25+1)+Inputs!$B$28,IF(Skills!C7=3,120+Inputs!$B$26+Inputs!$B$28,MAX(0,(Inputs!$B$3-100)*3)+Inputs!$B$27+Inputs!$B$28)))</f>
        <v/>
      </c>
      <c r="E840">
        <f>INDEX(FactorTable!$B$2:$Y$301, MATCH(ROUND(MIN(300,MAX(1,D840)),0), FactorTable!$A$2:$A$301,0), Skills!M7+1)</f>
        <v/>
      </c>
      <c r="F840">
        <f>IF(Skills!N7=TRUE,(Skills!L7/10)*(E840/1000),Skills!L7/10)+Skills!O7</f>
        <v/>
      </c>
      <c r="G840">
        <f>Calc!G7</f>
        <v/>
      </c>
      <c r="H840">
        <f>Calc!H7</f>
        <v/>
      </c>
      <c r="I840">
        <f>IF(Skills!AA7&lt;&gt;"",1+(Skills!AA7/10)*(U836/1000)/100,1)</f>
        <v/>
      </c>
      <c r="J840" t="inlineStr"/>
      <c r="K840" t="inlineStr"/>
      <c r="L840" t="inlineStr"/>
      <c r="M840" t="inlineStr"/>
      <c r="N840" t="inlineStr"/>
      <c r="O840" t="n">
        <v>0</v>
      </c>
      <c r="P840">
        <f>IF(B877=0,0,O840/B877)</f>
        <v/>
      </c>
      <c r="Q840" t="n">
        <v>0</v>
      </c>
      <c r="R840" t="n">
        <v>0</v>
      </c>
      <c r="S840">
        <f>IFERROR(O840/N840,0)</f>
        <v/>
      </c>
    </row>
    <row r="841">
      <c r="A841">
        <f>Skills!A8</f>
        <v/>
      </c>
      <c r="B841">
        <f>Skills!B8</f>
        <v/>
      </c>
      <c r="C841">
        <f>Inputs!$B$3&gt;=69</f>
        <v/>
      </c>
      <c r="D841">
        <f>IF(Skills!C8=1,60+Inputs!$B$24+Inputs!$B$28,IF(Skills!C8=2,90+(Inputs!$B$25+1)+Inputs!$B$28,IF(Skills!C8=3,120+Inputs!$B$26+Inputs!$B$28,MAX(0,(Inputs!$B$3-100)*3)+Inputs!$B$27+Inputs!$B$28)))</f>
        <v/>
      </c>
      <c r="E841">
        <f>INDEX(FactorTable!$B$2:$Y$301, MATCH(ROUND(MIN(300,MAX(1,D841)),0), FactorTable!$A$2:$A$301,0), Skills!M8+1)</f>
        <v/>
      </c>
      <c r="F841">
        <f>IF(Skills!N8=TRUE,(Skills!L8/10)*(E841/1000),Skills!L8/10)+Skills!O8</f>
        <v/>
      </c>
      <c r="G841">
        <f>Calc!G8</f>
        <v/>
      </c>
      <c r="H841">
        <f>Calc!H8</f>
        <v/>
      </c>
      <c r="I841">
        <f>IF(Skills!AA8&lt;&gt;"",1+(Skills!AA8/10)*(U836/1000)/100,1)</f>
        <v/>
      </c>
      <c r="J841">
        <f>(Inputs!$B$5*(1+Inputs!$B$6/100))*(F841/100)</f>
        <v/>
      </c>
      <c r="K841">
        <f>J841*(1+((Inputs!$B$11*(1+Inputs!$B$12/100))*0.01+Inputs!$B$13*0.0025)/100)*(1+Inputs!$B$14/100)*(1+IF(Inputs!$B$4="pvp",0,(1-Summary!$B$55)*(Inputs!$B$19+((C860=TRUE)*(F860-Calc!F27))+Skills!P8+B874)+Summary!$B$55*(Inputs!$B$20+Skills!Q8+B874))/100)*(1+Inputs!$B$15/100)*(5000/(6000+Inputs!$B$7*(1-Inputs!$B$18/100)))*(1+(Inputs!$B$23+((C863=TRUE)*(F863-Calc!F30)))/100)*(1+Skills!R8/100)*(1+(IF(Skills!A8="SHOWDOWN",Inputs!$B$16+((C856=TRUE)*(F856-Calc!F23)),Inputs!$B$17+((C862=TRUE)*(F862-Calc!F29))))/100)*(((1+(((C854=TRUE)*F854*IF(AND(Inputs!$B$4&lt;&gt;"pvp",Inputs!$B$35&gt;0),(((S854-1)*(Skills!Y21*(1+Inputs!$B$33/100))+MIN((Skills!Y21*(1+Inputs!$B$33/100)),MAX(0,Inputs!$B$35-((S854-1)*Skills!D21))))/Inputs!$B$35),IF(Inputs!$B$4="pvp",MIN((Skills!Y21*(1+Inputs!$B$33/100)),15)/15,(Skills!Y21*(1+Inputs!$B$33/100))/Skills!D21)))+((C861=TRUE)*(F861-Calc!F28))+((C851=TRUE)*(F851-Calc!F18)))/100)*(1+((C848=TRUE)*F848*IF(AND(Inputs!$B$4&lt;&gt;"pvp",Inputs!$B$35&gt;0),(((S848-1)*(Skills!Y15*(1+Inputs!$B$33/100))+MIN((Skills!Y15*(1+Inputs!$B$33/100)),MAX(0,Inputs!$B$35-((S848-1)*Skills!D15))))/Inputs!$B$35),IF(Inputs!$B$4="pvp",MIN((Skills!Y15*(1+Inputs!$B$33/100)),15)/15,(Skills!Y15*(1+Inputs!$B$33/100))/Skills!D15)))/100)*(1+((C839=TRUE)*F839*B867)/100))*B875*I841)</f>
        <v/>
      </c>
      <c r="L841">
        <f>K841*(MIN(Inputs!$B$21+((C857=TRUE)*(F857-Calc!F24)),Inputs!$B$22)/100+Inputs!$B$22/100)/2</f>
        <v/>
      </c>
      <c r="M841">
        <f>L841*(1+(Inputs!$B$9+((C859=TRUE)*(F859-Calc!F26))+B876)/100)</f>
        <v/>
      </c>
      <c r="N841">
        <f>L841*(1-MIN((Inputs!$B$8+((C858=TRUE)*(F858-Calc!F25))+B873),100)/100)+M841*(MIN((Inputs!$B$8+((C858=TRUE)*(F858-Calc!F25))+B873),100)/100)</f>
        <v/>
      </c>
      <c r="O841">
        <f>IF(C841,H841*N841*IF(AND(Inputs!$B$4&lt;&gt;"pvp",Inputs!$B$35&gt;0),((Skills!G8*((R841-1)*IF(Skills!H8&gt;0,Skills!I8/Skills!H8,1)+IF(Skills!H8&gt;0,MIN(Skills!I8,MAX(0,Inputs!$B$35-((R841-1)*IF(Inputs!$B$4="pvp",15,MAX(0.1,Skills!D8-IF(Skills!E8=TRUE,Inputs!$B$31,0))))))/Skills!H8,1)))/Inputs!$B$35),G841*Q841)*IF(Inputs!$B$4="pvp",1,(1-Summary!$B$55)*(1)+Summary!$B$55*(MIN(Skills!W8,Inputs!$B$37))),0)</f>
        <v/>
      </c>
      <c r="P841">
        <f>IF(B877=0,0,O841/B877)</f>
        <v/>
      </c>
      <c r="Q841">
        <f>IFERROR(1/IF(Inputs!$B$4="pvp",15,MAX(0.1,Skills!D8-IF(Skills!E8=TRUE,Inputs!$B$31,0))),0)</f>
        <v/>
      </c>
      <c r="R841">
        <f>IF(AND(Inputs!$B$4&lt;&gt;"pvp",Inputs!$B$35&gt;0),(INT(Inputs!$B$35/IF(Inputs!$B$4="pvp",15,MAX(0.1,Skills!D8-IF(Skills!E8=TRUE,Inputs!$B$31,0))))+1),0)</f>
        <v/>
      </c>
      <c r="S841">
        <f>IFERROR(O841/N841,0)</f>
        <v/>
      </c>
    </row>
    <row r="842">
      <c r="A842">
        <f>Skills!A9</f>
        <v/>
      </c>
      <c r="B842">
        <f>Skills!B9</f>
        <v/>
      </c>
      <c r="C842">
        <f>Inputs!$B$3&gt;=72</f>
        <v/>
      </c>
      <c r="D842">
        <f>IF(Skills!C9=1,60+Inputs!$B$24+Inputs!$B$28,IF(Skills!C9=2,90+(Inputs!$B$25+1)+Inputs!$B$28,IF(Skills!C9=3,120+Inputs!$B$26+Inputs!$B$28,MAX(0,(Inputs!$B$3-100)*3)+Inputs!$B$27+Inputs!$B$28)))</f>
        <v/>
      </c>
      <c r="E842">
        <f>INDEX(FactorTable!$B$2:$Y$301, MATCH(ROUND(MIN(300,MAX(1,D842)),0), FactorTable!$A$2:$A$301,0), Skills!M9+1)</f>
        <v/>
      </c>
      <c r="F842">
        <f>IF(Skills!N9=TRUE,(Skills!L9/10)*(E842/1000),Skills!L9/10)+Skills!O9</f>
        <v/>
      </c>
      <c r="G842">
        <f>Calc!G9</f>
        <v/>
      </c>
      <c r="H842">
        <f>Calc!H9</f>
        <v/>
      </c>
      <c r="I842">
        <f>IF(Skills!AA9&lt;&gt;"",1+(Skills!AA9/10)*(U836/1000)/100,1)</f>
        <v/>
      </c>
      <c r="J842">
        <f>(Inputs!$B$5*(1+Inputs!$B$6/100))*(F842/100)</f>
        <v/>
      </c>
      <c r="K842">
        <f>J842*(1+((Inputs!$B$11*(1+Inputs!$B$12/100))*0.01+Inputs!$B$13*0.0025)/100)*(1+Inputs!$B$14/100)*(1+IF(Inputs!$B$4="pvp",0,(1-Summary!$B$55)*(Inputs!$B$19+((C860=TRUE)*(F860-Calc!F27))+Skills!P9+B874)+Summary!$B$55*(Inputs!$B$20+Skills!Q9+B874))/100)*(1+Inputs!$B$15/100)*(5000/(6000+Inputs!$B$7*(1-Inputs!$B$18/100)))*(1+(Inputs!$B$23+((C863=TRUE)*(F863-Calc!F30)))/100)*(1+Skills!R9/100)*(1+(IF(Skills!A9="SHOWDOWN",Inputs!$B$16+((C856=TRUE)*(F856-Calc!F23)),Inputs!$B$17+((C862=TRUE)*(F862-Calc!F29))))/100)*(((1+(((C854=TRUE)*F854*IF(AND(Inputs!$B$4&lt;&gt;"pvp",Inputs!$B$35&gt;0),(((S854-1)*(Skills!Y21*(1+Inputs!$B$33/100))+MIN((Skills!Y21*(1+Inputs!$B$33/100)),MAX(0,Inputs!$B$35-((S854-1)*Skills!D21))))/Inputs!$B$35),IF(Inputs!$B$4="pvp",MIN((Skills!Y21*(1+Inputs!$B$33/100)),15)/15,(Skills!Y21*(1+Inputs!$B$33/100))/Skills!D21)))+((C861=TRUE)*(F861-Calc!F28))+((C851=TRUE)*(F851-Calc!F18)))/100)*(1+((C848=TRUE)*F848*IF(AND(Inputs!$B$4&lt;&gt;"pvp",Inputs!$B$35&gt;0),(((S848-1)*(Skills!Y15*(1+Inputs!$B$33/100))+MIN((Skills!Y15*(1+Inputs!$B$33/100)),MAX(0,Inputs!$B$35-((S848-1)*Skills!D15))))/Inputs!$B$35),IF(Inputs!$B$4="pvp",MIN((Skills!Y15*(1+Inputs!$B$33/100)),15)/15,(Skills!Y15*(1+Inputs!$B$33/100))/Skills!D15)))/100)*(1+((C839=TRUE)*F839*B867)/100))*B875*I842)</f>
        <v/>
      </c>
      <c r="L842">
        <f>K842*(MIN(Inputs!$B$21+((C857=TRUE)*(F857-Calc!F24)),Inputs!$B$22)/100+Inputs!$B$22/100)/2</f>
        <v/>
      </c>
      <c r="M842">
        <f>L842*(1+(Inputs!$B$9+((C859=TRUE)*(F859-Calc!F26))+B876)/100)</f>
        <v/>
      </c>
      <c r="N842">
        <f>L842*(1-MIN((Inputs!$B$8+((C858=TRUE)*(F858-Calc!F25))+B873),100)/100)+M842*(MIN((Inputs!$B$8+((C858=TRUE)*(F858-Calc!F25))+B873),100)/100)</f>
        <v/>
      </c>
      <c r="O842">
        <f>IF(C842,H842*N842*IF(AND(Inputs!$B$4&lt;&gt;"pvp",Inputs!$B$35&gt;0),((Skills!G9*((R842-1)*IF(Skills!H9&gt;0,Skills!I9/Skills!H9,1)+IF(Skills!H9&gt;0,MIN(Skills!I9,MAX(0,Inputs!$B$35-((R842-1)*IF(Inputs!$B$4="pvp",15,MAX(0.1,Skills!D9-IF(Skills!E9=TRUE,Inputs!$B$31,0))))))/Skills!H9,1)))/Inputs!$B$35),G842*Q842)*IF(Inputs!$B$4="pvp",1,(1-Summary!$B$55)*(1)+Summary!$B$55*(MIN(Skills!W9,Inputs!$B$37))),0)</f>
        <v/>
      </c>
      <c r="P842">
        <f>IF(B877=0,0,O842/B877)</f>
        <v/>
      </c>
      <c r="Q842">
        <f>IFERROR(1/IF(Inputs!$B$4="pvp",15,MAX(0.1,Skills!D9-IF(Skills!E9=TRUE,Inputs!$B$31,0))),0)</f>
        <v/>
      </c>
      <c r="R842">
        <f>IF(AND(Inputs!$B$4&lt;&gt;"pvp",Inputs!$B$35&gt;0),(INT(Inputs!$B$35/IF(Inputs!$B$4="pvp",15,MAX(0.1,Skills!D9-IF(Skills!E9=TRUE,Inputs!$B$31,0))))+1),0)</f>
        <v/>
      </c>
      <c r="S842">
        <f>IFERROR(O842/N842,0)</f>
        <v/>
      </c>
    </row>
    <row r="843">
      <c r="A843">
        <f>Skills!A10</f>
        <v/>
      </c>
      <c r="B843">
        <f>Skills!B10</f>
        <v/>
      </c>
      <c r="C843">
        <f>Inputs!$B$3&gt;=117</f>
        <v/>
      </c>
      <c r="D843">
        <f>IF(Skills!C10=1,60+Inputs!$B$24+Inputs!$B$28,IF(Skills!C10=2,90+(Inputs!$B$25+1)+Inputs!$B$28,IF(Skills!C10=3,120+Inputs!$B$26+Inputs!$B$28,MAX(0,(Inputs!$B$3-100)*3)+Inputs!$B$27+Inputs!$B$28)))</f>
        <v/>
      </c>
      <c r="E843">
        <f>INDEX(FactorTable!$B$2:$Y$301, MATCH(ROUND(MIN(300,MAX(1,D843)),0), FactorTable!$A$2:$A$301,0), Skills!M10+1)</f>
        <v/>
      </c>
      <c r="F843">
        <f>IF(Skills!N10=TRUE,(Skills!L10/10)*(E843/1000),Skills!L10/10)+Skills!O10</f>
        <v/>
      </c>
      <c r="G843">
        <f>Calc!G10</f>
        <v/>
      </c>
      <c r="H843">
        <f>Calc!H10</f>
        <v/>
      </c>
      <c r="I843">
        <f>IF(Skills!AA10&lt;&gt;"",1+(Skills!AA10/10)*(U836/1000)/100,1)</f>
        <v/>
      </c>
      <c r="J843">
        <f>(Inputs!$B$5*(1+Inputs!$B$6/100))*(F843/100)</f>
        <v/>
      </c>
      <c r="K843">
        <f>J843*(1+((Inputs!$B$11*(1+Inputs!$B$12/100))*0.01+Inputs!$B$13*0.0025)/100)*(1+Inputs!$B$14/100)*(1+IF(Inputs!$B$4="pvp",0,(1-Summary!$B$55)*(Inputs!$B$19+((C860=TRUE)*(F860-Calc!F27))+Skills!P10+B874)+Summary!$B$55*(Inputs!$B$20+Skills!Q10+B874))/100)*(1+Inputs!$B$15/100)*(5000/(6000+Inputs!$B$7*(1-Inputs!$B$18/100)))*(1+(Inputs!$B$23+((C863=TRUE)*(F863-Calc!F30)))/100)*(1+Skills!R10/100)*(1+(IF(Skills!A10="SHOWDOWN",Inputs!$B$16+((C856=TRUE)*(F856-Calc!F23)),Inputs!$B$17+((C862=TRUE)*(F862-Calc!F29))))/100)*(((1+(((C854=TRUE)*F854*IF(AND(Inputs!$B$4&lt;&gt;"pvp",Inputs!$B$35&gt;0),(((S854-1)*(Skills!Y21*(1+Inputs!$B$33/100))+MIN((Skills!Y21*(1+Inputs!$B$33/100)),MAX(0,Inputs!$B$35-((S854-1)*Skills!D21))))/Inputs!$B$35),IF(Inputs!$B$4="pvp",MIN((Skills!Y21*(1+Inputs!$B$33/100)),15)/15,(Skills!Y21*(1+Inputs!$B$33/100))/Skills!D21)))+((C861=TRUE)*(F861-Calc!F28))+((C851=TRUE)*(F851-Calc!F18)))/100)*(1+((C848=TRUE)*F848*IF(AND(Inputs!$B$4&lt;&gt;"pvp",Inputs!$B$35&gt;0),(((S848-1)*(Skills!Y15*(1+Inputs!$B$33/100))+MIN((Skills!Y15*(1+Inputs!$B$33/100)),MAX(0,Inputs!$B$35-((S848-1)*Skills!D15))))/Inputs!$B$35),IF(Inputs!$B$4="pvp",MIN((Skills!Y15*(1+Inputs!$B$33/100)),15)/15,(Skills!Y15*(1+Inputs!$B$33/100))/Skills!D15)))/100)*(1+((C839=TRUE)*F839*B867)/100))*B875*I843)</f>
        <v/>
      </c>
      <c r="L843">
        <f>K843*(MIN(Inputs!$B$21+((C857=TRUE)*(F857-Calc!F24)),Inputs!$B$22)/100+Inputs!$B$22/100)/2</f>
        <v/>
      </c>
      <c r="M843">
        <f>L843*(1+(Inputs!$B$9+((C859=TRUE)*(F859-Calc!F26))+B876)/100)</f>
        <v/>
      </c>
      <c r="N843">
        <f>L843*(1-MIN((Inputs!$B$8+((C858=TRUE)*(F858-Calc!F25))+B873),100)/100)+M843*(MIN((Inputs!$B$8+((C858=TRUE)*(F858-Calc!F25))+B873),100)/100)</f>
        <v/>
      </c>
      <c r="O843">
        <f>IF(C843,0.2*SUMPRODUCT((Skills!Z2:Z31=TRUE)*(C835:C864=TRUE)*S835:S864)*N843,0)</f>
        <v/>
      </c>
      <c r="P843">
        <f>IF(B877=0,0,O843/B877)</f>
        <v/>
      </c>
      <c r="Q843" t="n">
        <v>0</v>
      </c>
      <c r="R843" t="n">
        <v>0</v>
      </c>
      <c r="S843" t="n">
        <v>0</v>
      </c>
    </row>
    <row r="844">
      <c r="A844">
        <f>Skills!A11</f>
        <v/>
      </c>
      <c r="B844">
        <f>Skills!B11</f>
        <v/>
      </c>
      <c r="C844">
        <f>Inputs!$B$3&gt;=60</f>
        <v/>
      </c>
      <c r="D844">
        <f>IF(Skills!C11=1,60+Inputs!$B$24+Inputs!$B$28,IF(Skills!C11=2,90+(Inputs!$B$25+1)+Inputs!$B$28,IF(Skills!C11=3,120+Inputs!$B$26+Inputs!$B$28,MAX(0,(Inputs!$B$3-100)*3)+Inputs!$B$27+Inputs!$B$28)))</f>
        <v/>
      </c>
      <c r="E844">
        <f>INDEX(FactorTable!$B$2:$Y$301, MATCH(ROUND(MIN(300,MAX(1,D844)),0), FactorTable!$A$2:$A$301,0), Skills!M11+1)</f>
        <v/>
      </c>
      <c r="F844">
        <f>IF(Skills!N11=TRUE,(Skills!L11/10)*(E844/1000),Skills!L11/10)+Skills!O11</f>
        <v/>
      </c>
      <c r="G844">
        <f>Calc!G11</f>
        <v/>
      </c>
      <c r="H844">
        <f>Calc!H11</f>
        <v/>
      </c>
      <c r="I844">
        <f>IF(Skills!AA11&lt;&gt;"",1+(Skills!AA11/10)*(U836/1000)/100,1)</f>
        <v/>
      </c>
      <c r="J844" t="inlineStr"/>
      <c r="K844" t="inlineStr"/>
      <c r="L844" t="inlineStr"/>
      <c r="M844" t="inlineStr"/>
      <c r="N844" t="inlineStr"/>
      <c r="O844" t="n">
        <v>0</v>
      </c>
      <c r="P844">
        <f>IF(B877=0,0,O844/B877)</f>
        <v/>
      </c>
      <c r="Q844" t="n">
        <v>0</v>
      </c>
      <c r="R844" t="n">
        <v>0</v>
      </c>
      <c r="S844">
        <f>IFERROR(O844/N844,0)</f>
        <v/>
      </c>
    </row>
    <row r="845">
      <c r="A845">
        <f>Skills!A12</f>
        <v/>
      </c>
      <c r="B845">
        <f>Skills!B12</f>
        <v/>
      </c>
      <c r="C845">
        <f>Inputs!$B$3&gt;=103</f>
        <v/>
      </c>
      <c r="D845">
        <f>IF(Skills!C12=1,60+Inputs!$B$24+Inputs!$B$28,IF(Skills!C12=2,90+(Inputs!$B$25+1)+Inputs!$B$28,IF(Skills!C12=3,120+Inputs!$B$26+Inputs!$B$28,MAX(0,(Inputs!$B$3-100)*3)+Inputs!$B$27+Inputs!$B$28)))</f>
        <v/>
      </c>
      <c r="E845">
        <f>INDEX(FactorTable!$B$2:$Y$301, MATCH(ROUND(MIN(300,MAX(1,D845)),0), FactorTable!$A$2:$A$301,0), Skills!M12+1)</f>
        <v/>
      </c>
      <c r="F845">
        <f>IF(Skills!N12=TRUE,(Skills!L12/10)*(E845/1000),Skills!L12/10)+Skills!O12</f>
        <v/>
      </c>
      <c r="G845">
        <f>Calc!G12</f>
        <v/>
      </c>
      <c r="H845">
        <f>Calc!H12</f>
        <v/>
      </c>
      <c r="I845">
        <f>IF(Skills!AA12&lt;&gt;"",1+(Skills!AA12/10)*(U836/1000)/100,1)</f>
        <v/>
      </c>
      <c r="J845">
        <f>(Inputs!$B$5*(1+Inputs!$B$6/100))*(F845/100)</f>
        <v/>
      </c>
      <c r="K845">
        <f>J845*(1+((Inputs!$B$11*(1+Inputs!$B$12/100))*0.01+Inputs!$B$13*0.0025)/100)*(1+Inputs!$B$14/100)*(1+IF(Inputs!$B$4="pvp",0,(1-Summary!$B$55)*(Inputs!$B$19+((C860=TRUE)*(F860-Calc!F27))+Skills!P12+B874)+Summary!$B$55*(Inputs!$B$20+Skills!Q12+B874))/100)*(1+Inputs!$B$15/100)*(5000/(6000+Inputs!$B$7*(1-Inputs!$B$18/100)))*(1+(Inputs!$B$23+((C863=TRUE)*(F863-Calc!F30)))/100)*(1+Skills!R12/100)*(1+(IF(Skills!A12="SHOWDOWN",Inputs!$B$16+((C856=TRUE)*(F856-Calc!F23)),Inputs!$B$17+((C862=TRUE)*(F862-Calc!F29))))/100)*(((1+(((C854=TRUE)*F854*IF(AND(Inputs!$B$4&lt;&gt;"pvp",Inputs!$B$35&gt;0),(((S854-1)*(Skills!Y21*(1+Inputs!$B$33/100))+MIN((Skills!Y21*(1+Inputs!$B$33/100)),MAX(0,Inputs!$B$35-((S854-1)*Skills!D21))))/Inputs!$B$35),IF(Inputs!$B$4="pvp",MIN((Skills!Y21*(1+Inputs!$B$33/100)),15)/15,(Skills!Y21*(1+Inputs!$B$33/100))/Skills!D21)))+((C861=TRUE)*(F861-Calc!F28))+((C851=TRUE)*(F851-Calc!F18)))/100)*(1+((C848=TRUE)*F848*IF(AND(Inputs!$B$4&lt;&gt;"pvp",Inputs!$B$35&gt;0),(((S848-1)*(Skills!Y15*(1+Inputs!$B$33/100))+MIN((Skills!Y15*(1+Inputs!$B$33/100)),MAX(0,Inputs!$B$35-((S848-1)*Skills!D15))))/Inputs!$B$35),IF(Inputs!$B$4="pvp",MIN((Skills!Y15*(1+Inputs!$B$33/100)),15)/15,(Skills!Y15*(1+Inputs!$B$33/100))/Skills!D15)))/100)*(1+((C839=TRUE)*F839*B867)/100))*B875*I845)</f>
        <v/>
      </c>
      <c r="L845">
        <f>K845*(MIN(Inputs!$B$21+((C857=TRUE)*(F857-Calc!F24)),Inputs!$B$22)/100+Inputs!$B$22/100)/2</f>
        <v/>
      </c>
      <c r="M845">
        <f>L845*(1+(Inputs!$B$9+((C859=TRUE)*(F859-Calc!F26))+B876)/100)</f>
        <v/>
      </c>
      <c r="N845">
        <f>L845*(1-MIN((Inputs!$B$8+((C858=TRUE)*(F858-Calc!F25))+B873),100)/100)+M845*(MIN((Inputs!$B$8+((C858=TRUE)*(F858-Calc!F25))+B873),100)/100)</f>
        <v/>
      </c>
      <c r="O845">
        <f>IF(C845,H845*N845*IF(AND(Inputs!$B$4&lt;&gt;"pvp",Inputs!$B$35&gt;0),((Skills!G12*((R845-1)*IF(Skills!H12&gt;0,Skills!I12/Skills!H12,1)+IF(Skills!H12&gt;0,MIN(Skills!I12,MAX(0,Inputs!$B$35-((R845-1)*IF(Inputs!$B$4="pvp",15,MAX(0.1,Skills!D12-IF(Skills!E12=TRUE,Inputs!$B$31,0))))))/Skills!H12,1)))/Inputs!$B$35),G845*Q845)*IF(Inputs!$B$4="pvp",1,(1-Summary!$B$55)*(1)+Summary!$B$55*(MIN(Skills!W12,Inputs!$B$37))),0)</f>
        <v/>
      </c>
      <c r="P845">
        <f>IF(B877=0,0,O845/B877)</f>
        <v/>
      </c>
      <c r="Q845">
        <f>IFERROR(1/IF(Inputs!$B$4="pvp",15,MAX(0.1,Skills!D12-IF(Skills!E12=TRUE,Inputs!$B$31,0))),0)</f>
        <v/>
      </c>
      <c r="R845">
        <f>IF(AND(Inputs!$B$4&lt;&gt;"pvp",Inputs!$B$35&gt;0),(INT(Inputs!$B$35/IF(Inputs!$B$4="pvp",15,MAX(0.1,Skills!D12-IF(Skills!E12=TRUE,Inputs!$B$31,0))))+1),0)</f>
        <v/>
      </c>
      <c r="S845">
        <f>IFERROR(O845/N845,0)</f>
        <v/>
      </c>
    </row>
    <row r="846">
      <c r="A846">
        <f>Skills!A13</f>
        <v/>
      </c>
      <c r="B846">
        <f>Skills!B13</f>
        <v/>
      </c>
      <c r="C846">
        <f>Inputs!$B$3&gt;=105</f>
        <v/>
      </c>
      <c r="D846">
        <f>IF(Skills!C13=1,60+Inputs!$B$24+Inputs!$B$28,IF(Skills!C13=2,90+(Inputs!$B$25+1)+Inputs!$B$28,IF(Skills!C13=3,120+Inputs!$B$26+Inputs!$B$28,MAX(0,(Inputs!$B$3-100)*3)+Inputs!$B$27+Inputs!$B$28)))</f>
        <v/>
      </c>
      <c r="E846">
        <f>INDEX(FactorTable!$B$2:$Y$301, MATCH(ROUND(MIN(300,MAX(1,D846)),0), FactorTable!$A$2:$A$301,0), Skills!M13+1)</f>
        <v/>
      </c>
      <c r="F846">
        <f>IF(Skills!N13=TRUE,(Skills!L13/10)*(E846/1000),Skills!L13/10)+Skills!O13</f>
        <v/>
      </c>
      <c r="G846">
        <f>Calc!G13</f>
        <v/>
      </c>
      <c r="H846">
        <f>Calc!H13</f>
        <v/>
      </c>
      <c r="I846">
        <f>IF(Skills!AA13&lt;&gt;"",1+(Skills!AA13/10)*(U836/1000)/100,1)</f>
        <v/>
      </c>
      <c r="J846">
        <f>(Inputs!$B$5*(1+Inputs!$B$6/100))*(F846/100)</f>
        <v/>
      </c>
      <c r="K846">
        <f>J846*(1+((Inputs!$B$11*(1+Inputs!$B$12/100))*0.01+Inputs!$B$13*0.0025)/100)*(1+Inputs!$B$14/100)*(1+IF(Inputs!$B$4="pvp",0,(1-Summary!$B$55)*(Inputs!$B$19+((C860=TRUE)*(F860-Calc!F27))+Skills!P13+B874)+Summary!$B$55*(Inputs!$B$20+Skills!Q13+B874))/100)*(1+Inputs!$B$15/100)*(5000/(6000+Inputs!$B$7*(1-Inputs!$B$18/100)))*(1+(Inputs!$B$23+((C863=TRUE)*(F863-Calc!F30)))/100)*(1+Skills!R13/100)*(1+(IF(Skills!A13="SHOWDOWN",Inputs!$B$16+((C856=TRUE)*(F856-Calc!F23)),Inputs!$B$17+((C862=TRUE)*(F862-Calc!F29))))/100)*(((1+(((C854=TRUE)*F854*IF(AND(Inputs!$B$4&lt;&gt;"pvp",Inputs!$B$35&gt;0),(((S854-1)*(Skills!Y21*(1+Inputs!$B$33/100))+MIN((Skills!Y21*(1+Inputs!$B$33/100)),MAX(0,Inputs!$B$35-((S854-1)*Skills!D21))))/Inputs!$B$35),IF(Inputs!$B$4="pvp",MIN((Skills!Y21*(1+Inputs!$B$33/100)),15)/15,(Skills!Y21*(1+Inputs!$B$33/100))/Skills!D21)))+((C861=TRUE)*(F861-Calc!F28))+((C851=TRUE)*(F851-Calc!F18)))/100)*(1+((C848=TRUE)*F848*IF(AND(Inputs!$B$4&lt;&gt;"pvp",Inputs!$B$35&gt;0),(((S848-1)*(Skills!Y15*(1+Inputs!$B$33/100))+MIN((Skills!Y15*(1+Inputs!$B$33/100)),MAX(0,Inputs!$B$35-((S848-1)*Skills!D15))))/Inputs!$B$35),IF(Inputs!$B$4="pvp",MIN((Skills!Y15*(1+Inputs!$B$33/100)),15)/15,(Skills!Y15*(1+Inputs!$B$33/100))/Skills!D15)))/100)*(1+((C839=TRUE)*F839*B867)/100))*B875*I846)</f>
        <v/>
      </c>
      <c r="L846">
        <f>K846*(MIN(Inputs!$B$21+((C857=TRUE)*(F857-Calc!F24)),Inputs!$B$22)/100+Inputs!$B$22/100)/2</f>
        <v/>
      </c>
      <c r="M846">
        <f>L846*(1+(Inputs!$B$9+((C859=TRUE)*(F859-Calc!F26))+B876)/100)</f>
        <v/>
      </c>
      <c r="N846">
        <f>L846*(1-MIN((Inputs!$B$8+((C858=TRUE)*(F858-Calc!F25))+B873),100)/100)+M846*(MIN((Inputs!$B$8+((C858=TRUE)*(F858-Calc!F25))+B873),100)/100)</f>
        <v/>
      </c>
      <c r="O846">
        <f>IF(C846,H846*N846*IF(AND(Inputs!$B$4&lt;&gt;"pvp",Inputs!$B$35&gt;0),((Skills!G13*((R846-1)*IF(Skills!H13&gt;0,Skills!I13/Skills!H13,1)+IF(Skills!H13&gt;0,MIN(Skills!I13,MAX(0,Inputs!$B$35-((R846-1)*IF(Inputs!$B$4="pvp",15,MAX(0.1,Skills!D13-IF(Skills!E13=TRUE,Inputs!$B$31,0))))))/Skills!H13,1)))/Inputs!$B$35),G846*Q846)*IF(Inputs!$B$4="pvp",1,(1-Summary!$B$55)*(1)+Summary!$B$55*(MIN(Skills!W13,Inputs!$B$37))),0)</f>
        <v/>
      </c>
      <c r="P846">
        <f>IF(B877=0,0,O846/B877)</f>
        <v/>
      </c>
      <c r="Q846">
        <f>IFERROR(1/IF(Inputs!$B$4="pvp",15,MAX(0.1,Skills!D13-IF(Skills!E13=TRUE,Inputs!$B$31,0))),0)</f>
        <v/>
      </c>
      <c r="R846">
        <f>IF(AND(Inputs!$B$4&lt;&gt;"pvp",Inputs!$B$35&gt;0),(INT(Inputs!$B$35/IF(Inputs!$B$4="pvp",15,MAX(0.1,Skills!D13-IF(Skills!E13=TRUE,Inputs!$B$31,0))))+1),0)</f>
        <v/>
      </c>
      <c r="S846">
        <f>IFERROR(O846/N846,0)</f>
        <v/>
      </c>
    </row>
    <row r="847">
      <c r="A847">
        <f>Skills!A14</f>
        <v/>
      </c>
      <c r="B847">
        <f>Skills!B14</f>
        <v/>
      </c>
      <c r="C847">
        <f>Inputs!$B$3&gt;=105</f>
        <v/>
      </c>
      <c r="D847">
        <f>IF(Skills!C14=1,60+Inputs!$B$24+Inputs!$B$28,IF(Skills!C14=2,90+(Inputs!$B$25+1)+Inputs!$B$28,IF(Skills!C14=3,120+Inputs!$B$26+Inputs!$B$28,MAX(0,(Inputs!$B$3-100)*3)+Inputs!$B$27+Inputs!$B$28)))</f>
        <v/>
      </c>
      <c r="E847">
        <f>INDEX(FactorTable!$B$2:$Y$301, MATCH(ROUND(MIN(300,MAX(1,D847)),0), FactorTable!$A$2:$A$301,0), Skills!M14+1)</f>
        <v/>
      </c>
      <c r="F847">
        <f>IF(Skills!N14=TRUE,(Skills!L14/10)*(E847/1000),Skills!L14/10)+Skills!O14</f>
        <v/>
      </c>
      <c r="G847">
        <f>Calc!G14</f>
        <v/>
      </c>
      <c r="H847">
        <f>Calc!H14</f>
        <v/>
      </c>
      <c r="I847">
        <f>IF(Skills!AA14&lt;&gt;"",1+(Skills!AA14/10)*(U836/1000)/100,1)</f>
        <v/>
      </c>
      <c r="J847">
        <f>(Inputs!$B$5*(1+Inputs!$B$6/100))*(F847/100)</f>
        <v/>
      </c>
      <c r="K847">
        <f>J847*(1+((Inputs!$B$11*(1+Inputs!$B$12/100))*0.01+Inputs!$B$13*0.0025)/100)*(1+Inputs!$B$14/100)*(1+IF(Inputs!$B$4="pvp",0,(1-Summary!$B$55)*(Inputs!$B$19+((C860=TRUE)*(F860-Calc!F27))+Skills!P14+B874)+Summary!$B$55*(Inputs!$B$20+Skills!Q14+B874))/100)*(1+Inputs!$B$15/100)*(5000/(6000+Inputs!$B$7*(1-Inputs!$B$18/100)))*(1+(Inputs!$B$23+((C863=TRUE)*(F863-Calc!F30)))/100)*(1+Skills!R14/100)*(1+(IF(Skills!A14="SHOWDOWN",Inputs!$B$16+((C856=TRUE)*(F856-Calc!F23)),Inputs!$B$17+((C862=TRUE)*(F862-Calc!F29))))/100)*(((1+(((C854=TRUE)*F854*IF(AND(Inputs!$B$4&lt;&gt;"pvp",Inputs!$B$35&gt;0),(((S854-1)*(Skills!Y21*(1+Inputs!$B$33/100))+MIN((Skills!Y21*(1+Inputs!$B$33/100)),MAX(0,Inputs!$B$35-((S854-1)*Skills!D21))))/Inputs!$B$35),IF(Inputs!$B$4="pvp",MIN((Skills!Y21*(1+Inputs!$B$33/100)),15)/15,(Skills!Y21*(1+Inputs!$B$33/100))/Skills!D21)))+((C861=TRUE)*(F861-Calc!F28))+((C851=TRUE)*(F851-Calc!F18)))/100)*(1+((C848=TRUE)*F848*IF(AND(Inputs!$B$4&lt;&gt;"pvp",Inputs!$B$35&gt;0),(((S848-1)*(Skills!Y15*(1+Inputs!$B$33/100))+MIN((Skills!Y15*(1+Inputs!$B$33/100)),MAX(0,Inputs!$B$35-((S848-1)*Skills!D15))))/Inputs!$B$35),IF(Inputs!$B$4="pvp",MIN((Skills!Y15*(1+Inputs!$B$33/100)),15)/15,(Skills!Y15*(1+Inputs!$B$33/100))/Skills!D15)))/100)*(1+((C839=TRUE)*F839*B867)/100))*B875*I847)</f>
        <v/>
      </c>
      <c r="L847">
        <f>K847*(MIN(Inputs!$B$21+((C857=TRUE)*(F857-Calc!F24)),Inputs!$B$22)/100+Inputs!$B$22/100)/2</f>
        <v/>
      </c>
      <c r="M847">
        <f>L847*(1+(Inputs!$B$9+((C859=TRUE)*(F859-Calc!F26))+B876)/100)</f>
        <v/>
      </c>
      <c r="N847">
        <f>L847*(1-MIN((Inputs!$B$8+((C858=TRUE)*(F858-Calc!F25))+B873),100)/100)+M847*(MIN((Inputs!$B$8+((C858=TRUE)*(F858-Calc!F25))+B873),100)/100)</f>
        <v/>
      </c>
      <c r="O847">
        <f>IF(C847,H847*N847*IF(AND(Inputs!$B$4&lt;&gt;"pvp",Inputs!$B$35&gt;0),((Skills!G14*((R847-1)*IF(Skills!H14&gt;0,Skills!I14/Skills!H14,1)+IF(Skills!H14&gt;0,MIN(Skills!I14,MAX(0,Inputs!$B$35-((R847-1)*IF(Inputs!$B$4="pvp",15,MAX(0.1,Skills!D14-IF(Skills!E14=TRUE,Inputs!$B$31,0))))))/Skills!H14,1)))/Inputs!$B$35),G847*Q847)*IF(Inputs!$B$4="pvp",1,(1-Summary!$B$55)*(1)+Summary!$B$55*(MIN(Skills!W14,Inputs!$B$37))),0)</f>
        <v/>
      </c>
      <c r="P847">
        <f>IF(B877=0,0,O847/B877)</f>
        <v/>
      </c>
      <c r="Q847">
        <f>IFERROR(1/IF(Inputs!$B$4="pvp",15,MAX(0.1,Skills!D14-IF(Skills!E14=TRUE,Inputs!$B$31,0))),0)</f>
        <v/>
      </c>
      <c r="R847">
        <f>IF(AND(Inputs!$B$4&lt;&gt;"pvp",Inputs!$B$35&gt;0),(INT(Inputs!$B$35/IF(Inputs!$B$4="pvp",15,MAX(0.1,Skills!D14-IF(Skills!E14=TRUE,Inputs!$B$31,0))))+1),0)</f>
        <v/>
      </c>
      <c r="S847">
        <f>IFERROR(O847/N847,0)</f>
        <v/>
      </c>
    </row>
    <row r="848">
      <c r="A848">
        <f>Skills!A15</f>
        <v/>
      </c>
      <c r="B848">
        <f>Skills!B15</f>
        <v/>
      </c>
      <c r="C848">
        <f>Inputs!$B$3&gt;=110</f>
        <v/>
      </c>
      <c r="D848">
        <f>IF(Skills!C15=1,60+Inputs!$B$24+Inputs!$B$28,IF(Skills!C15=2,90+(Inputs!$B$25+1)+Inputs!$B$28,IF(Skills!C15=3,120+Inputs!$B$26+Inputs!$B$28,MAX(0,(Inputs!$B$3-100)*3)+Inputs!$B$27+Inputs!$B$28)))</f>
        <v/>
      </c>
      <c r="E848">
        <f>INDEX(FactorTable!$B$2:$Y$301, MATCH(ROUND(MIN(300,MAX(1,D848)),0), FactorTable!$A$2:$A$301,0), Skills!M15+1)</f>
        <v/>
      </c>
      <c r="F848">
        <f>IF(Skills!N15=TRUE,(Skills!L15/10)*(E848/1000),Skills!L15/10)+Skills!O15</f>
        <v/>
      </c>
      <c r="G848">
        <f>Calc!G15</f>
        <v/>
      </c>
      <c r="H848">
        <f>Calc!H15</f>
        <v/>
      </c>
      <c r="I848">
        <f>IF(Skills!AA15&lt;&gt;"",1+(Skills!AA15/10)*(U836/1000)/100,1)</f>
        <v/>
      </c>
      <c r="J848" t="inlineStr"/>
      <c r="K848" t="inlineStr"/>
      <c r="L848" t="inlineStr"/>
      <c r="M848" t="inlineStr"/>
      <c r="N848" t="inlineStr"/>
      <c r="O848" t="n">
        <v>0</v>
      </c>
      <c r="P848">
        <f>IF(B877=0,0,O848/B877)</f>
        <v/>
      </c>
      <c r="Q848">
        <f>IFERROR(1/IF(Inputs!$B$4="pvp",15,MAX(0.1,Skills!D15-IF(Skills!E15=TRUE,Inputs!$B$31,0))),0)</f>
        <v/>
      </c>
      <c r="R848">
        <f>IF(AND(Inputs!$B$4&lt;&gt;"pvp",Inputs!$B$35&gt;0),(INT(Inputs!$B$35/IF(Inputs!$B$4="pvp",15,MAX(0.1,Skills!D15-IF(Skills!E15=TRUE,Inputs!$B$31,0))))+1),0)</f>
        <v/>
      </c>
      <c r="S848">
        <f>IFERROR(O848/N848,0)</f>
        <v/>
      </c>
    </row>
    <row r="849">
      <c r="A849">
        <f>Skills!A16</f>
        <v/>
      </c>
      <c r="B849">
        <f>Skills!B16</f>
        <v/>
      </c>
      <c r="C849">
        <f>Inputs!$B$3&gt;=110</f>
        <v/>
      </c>
      <c r="D849">
        <f>IF(Skills!C16=1,60+Inputs!$B$24+Inputs!$B$28,IF(Skills!C16=2,90+(Inputs!$B$25+1)+Inputs!$B$28,IF(Skills!C16=3,120+Inputs!$B$26+Inputs!$B$28,MAX(0,(Inputs!$B$3-100)*3)+Inputs!$B$27+Inputs!$B$28)))</f>
        <v/>
      </c>
      <c r="E849">
        <f>INDEX(FactorTable!$B$2:$Y$301, MATCH(ROUND(MIN(300,MAX(1,D849)),0), FactorTable!$A$2:$A$301,0), Skills!M16+1)</f>
        <v/>
      </c>
      <c r="F849">
        <f>IF(Skills!N16=TRUE,(Skills!L16/10)*(E849/1000),Skills!L16/10)+Skills!O16</f>
        <v/>
      </c>
      <c r="G849">
        <f>Calc!G16</f>
        <v/>
      </c>
      <c r="H849">
        <f>Calc!H16</f>
        <v/>
      </c>
      <c r="I849">
        <f>IF(Skills!AA16&lt;&gt;"",1+(Skills!AA16/10)*(U836/1000)/100,1)</f>
        <v/>
      </c>
      <c r="J849" t="inlineStr"/>
      <c r="K849" t="inlineStr"/>
      <c r="L849" t="inlineStr"/>
      <c r="M849" t="inlineStr"/>
      <c r="N849" t="inlineStr"/>
      <c r="O849" t="n">
        <v>0</v>
      </c>
      <c r="P849">
        <f>IF(B877=0,0,O849/B877)</f>
        <v/>
      </c>
      <c r="Q849">
        <f>IFERROR(1/IF(Inputs!$B$4="pvp",15,MAX(0.1,Skills!D16-IF(Skills!E16=TRUE,Inputs!$B$31,0))),0)</f>
        <v/>
      </c>
      <c r="R849">
        <f>IF(AND(Inputs!$B$4&lt;&gt;"pvp",Inputs!$B$35&gt;0),(INT(Inputs!$B$35/IF(Inputs!$B$4="pvp",15,MAX(0.1,Skills!D16-IF(Skills!E16=TRUE,Inputs!$B$31,0))))+1),0)</f>
        <v/>
      </c>
      <c r="S849">
        <f>IFERROR(O849/N849,0)</f>
        <v/>
      </c>
    </row>
    <row r="850">
      <c r="A850">
        <f>Skills!A17</f>
        <v/>
      </c>
      <c r="B850">
        <f>Skills!B17</f>
        <v/>
      </c>
      <c r="C850">
        <f>Inputs!$B$3&gt;=115</f>
        <v/>
      </c>
      <c r="D850">
        <f>IF(Skills!C17=1,60+Inputs!$B$24+Inputs!$B$28,IF(Skills!C17=2,90+(Inputs!$B$25+1)+Inputs!$B$28,IF(Skills!C17=3,120+Inputs!$B$26+Inputs!$B$28,MAX(0,(Inputs!$B$3-100)*3)+Inputs!$B$27+Inputs!$B$28)))</f>
        <v/>
      </c>
      <c r="E850">
        <f>INDEX(FactorTable!$B$2:$Y$301, MATCH(ROUND(MIN(300,MAX(1,D850)),0), FactorTable!$A$2:$A$301,0), Skills!M17+1)</f>
        <v/>
      </c>
      <c r="F850">
        <f>IF(Skills!N17=TRUE,(Skills!L17/10)*(E850/1000),Skills!L17/10)+Skills!O17</f>
        <v/>
      </c>
      <c r="G850">
        <f>Calc!G17</f>
        <v/>
      </c>
      <c r="H850">
        <f>Calc!H17</f>
        <v/>
      </c>
      <c r="I850">
        <f>IF(Skills!AA17&lt;&gt;"",1+(Skills!AA17/10)*(U836/1000)/100,1)</f>
        <v/>
      </c>
      <c r="J850">
        <f>(Inputs!$B$5*(1+Inputs!$B$6/100))*(F850/100)</f>
        <v/>
      </c>
      <c r="K850">
        <f>J850*(1+((Inputs!$B$11*(1+Inputs!$B$12/100))*0.01+Inputs!$B$13*0.0025)/100)*(1+Inputs!$B$14/100)*(1+IF(Inputs!$B$4="pvp",0,(1-Summary!$B$55)*(Inputs!$B$19+((C860=TRUE)*(F860-Calc!F27))+Skills!P17+B874)+Summary!$B$55*(Inputs!$B$20+Skills!Q17+B874))/100)*(1+Inputs!$B$15/100)*(5000/(6000+Inputs!$B$7*(1-Inputs!$B$18/100)))*(1+(Inputs!$B$23+((C863=TRUE)*(F863-Calc!F30)))/100)*(1+Skills!R17/100)*(1+(IF(Skills!A17="SHOWDOWN",Inputs!$B$16+((C856=TRUE)*(F856-Calc!F23)),Inputs!$B$17+((C862=TRUE)*(F862-Calc!F29))))/100)*(((1+(((C854=TRUE)*F854*IF(AND(Inputs!$B$4&lt;&gt;"pvp",Inputs!$B$35&gt;0),(((S854-1)*(Skills!Y21*(1+Inputs!$B$33/100))+MIN((Skills!Y21*(1+Inputs!$B$33/100)),MAX(0,Inputs!$B$35-((S854-1)*Skills!D21))))/Inputs!$B$35),IF(Inputs!$B$4="pvp",MIN((Skills!Y21*(1+Inputs!$B$33/100)),15)/15,(Skills!Y21*(1+Inputs!$B$33/100))/Skills!D21)))+((C861=TRUE)*(F861-Calc!F28))+((C851=TRUE)*(F851-Calc!F18)))/100)*(1+((C848=TRUE)*F848*IF(AND(Inputs!$B$4&lt;&gt;"pvp",Inputs!$B$35&gt;0),(((S848-1)*(Skills!Y15*(1+Inputs!$B$33/100))+MIN((Skills!Y15*(1+Inputs!$B$33/100)),MAX(0,Inputs!$B$35-((S848-1)*Skills!D15))))/Inputs!$B$35),IF(Inputs!$B$4="pvp",MIN((Skills!Y15*(1+Inputs!$B$33/100)),15)/15,(Skills!Y15*(1+Inputs!$B$33/100))/Skills!D15)))/100)*(1+((C839=TRUE)*F839*B867)/100))*B875*I850)</f>
        <v/>
      </c>
      <c r="L850">
        <f>K850*(MIN(Inputs!$B$21+((C857=TRUE)*(F857-Calc!F24)),Inputs!$B$22)/100+Inputs!$B$22/100)/2</f>
        <v/>
      </c>
      <c r="M850">
        <f>L850*(1+(Inputs!$B$9+((C859=TRUE)*(F859-Calc!F26))+B876)/100)</f>
        <v/>
      </c>
      <c r="N850">
        <f>L850*(1-MIN((Inputs!$B$8+((C858=TRUE)*(F858-Calc!F25))+B873),100)/100)+M850*(MIN((Inputs!$B$8+((C858=TRUE)*(F858-Calc!F25))+B873),100)/100)</f>
        <v/>
      </c>
      <c r="O850">
        <f>IF(C850,Inputs!$B$38*0.2*N850,0)</f>
        <v/>
      </c>
      <c r="P850">
        <f>IF(B877=0,0,O850/B877)</f>
        <v/>
      </c>
      <c r="Q850" t="n">
        <v>0</v>
      </c>
      <c r="R850" t="n">
        <v>0</v>
      </c>
      <c r="S850">
        <f>IFERROR(O850/N850,0)</f>
        <v/>
      </c>
    </row>
    <row r="851">
      <c r="A851">
        <f>Skills!A18</f>
        <v/>
      </c>
      <c r="B851">
        <f>Skills!B18</f>
        <v/>
      </c>
      <c r="C851">
        <f>Inputs!$B$3&gt;=115</f>
        <v/>
      </c>
      <c r="D851">
        <f>IF(Skills!C18=1,60+Inputs!$B$24+Inputs!$B$28,IF(Skills!C18=2,90+(Inputs!$B$25+1)+Inputs!$B$28,IF(Skills!C18=3,120+Inputs!$B$26+Inputs!$B$28,MAX(0,(Inputs!$B$3-100)*3)+Inputs!$B$27+Inputs!$B$28)))</f>
        <v/>
      </c>
      <c r="E851">
        <f>INDEX(FactorTable!$B$2:$Y$301, MATCH(ROUND(MIN(300,MAX(1,D851)),0), FactorTable!$A$2:$A$301,0), Skills!M18+1)</f>
        <v/>
      </c>
      <c r="F851">
        <f>IF(Skills!N18=TRUE,(Skills!L18/10)*(E851/1000),Skills!L18/10)+Skills!O18</f>
        <v/>
      </c>
      <c r="G851">
        <f>Calc!G18</f>
        <v/>
      </c>
      <c r="H851">
        <f>Calc!H18</f>
        <v/>
      </c>
      <c r="I851">
        <f>IF(Skills!AA18&lt;&gt;"",1+(Skills!AA18/10)*(U836/1000)/100,1)</f>
        <v/>
      </c>
      <c r="J851" t="inlineStr"/>
      <c r="K851" t="inlineStr"/>
      <c r="L851" t="inlineStr"/>
      <c r="M851" t="inlineStr"/>
      <c r="N851" t="inlineStr"/>
      <c r="O851" t="n">
        <v>0</v>
      </c>
      <c r="P851">
        <f>IF(B877=0,0,O851/B877)</f>
        <v/>
      </c>
      <c r="Q851" t="n">
        <v>0</v>
      </c>
      <c r="R851" t="n">
        <v>0</v>
      </c>
      <c r="S851">
        <f>IFERROR(O851/N851,0)</f>
        <v/>
      </c>
    </row>
    <row r="852">
      <c r="A852">
        <f>Skills!A19</f>
        <v/>
      </c>
      <c r="B852">
        <f>Skills!B19</f>
        <v/>
      </c>
      <c r="C852">
        <f>TRUE</f>
        <v/>
      </c>
      <c r="D852">
        <f>IF(Skills!C19=1,60+Inputs!$B$24+Inputs!$B$28,IF(Skills!C19=2,90+(Inputs!$B$25+1)+Inputs!$B$28,IF(Skills!C19=3,120+Inputs!$B$26+Inputs!$B$28,MAX(0,(Inputs!$B$3-100)*3)+Inputs!$B$27+Inputs!$B$28)))</f>
        <v/>
      </c>
      <c r="E852">
        <f>INDEX(FactorTable!$B$2:$Y$301, MATCH(ROUND(MIN(300,MAX(1,D852)),0), FactorTable!$A$2:$A$301,0), Skills!M19+1)</f>
        <v/>
      </c>
      <c r="F852">
        <f>IF(Skills!N19=TRUE,(Skills!L19/10)*(E852/1000),Skills!L19/10)+Skills!O19</f>
        <v/>
      </c>
      <c r="G852">
        <f>Calc!G19</f>
        <v/>
      </c>
      <c r="H852">
        <f>Calc!H19</f>
        <v/>
      </c>
      <c r="I852">
        <f>IF(Skills!AA19&lt;&gt;"",1+(Skills!AA19/10)*(U836/1000)/100,1)</f>
        <v/>
      </c>
      <c r="J852" t="inlineStr"/>
      <c r="K852" t="inlineStr"/>
      <c r="L852" t="inlineStr"/>
      <c r="M852" t="inlineStr"/>
      <c r="N852" t="inlineStr"/>
      <c r="O852" t="n">
        <v>0</v>
      </c>
      <c r="P852">
        <f>IF(B877=0,0,O852/B877)</f>
        <v/>
      </c>
      <c r="Q852">
        <f>IFERROR(1/IF(Inputs!$B$4="pvp",15,MAX(0.1,Skills!D19-IF(Skills!E19=TRUE,Inputs!$B$31,0))),0)</f>
        <v/>
      </c>
      <c r="R852">
        <f>IF(AND(Inputs!$B$4&lt;&gt;"pvp",Inputs!$B$35&gt;0),(INT(Inputs!$B$35/IF(Inputs!$B$4="pvp",15,MAX(0.1,Skills!D19-IF(Skills!E19=TRUE,Inputs!$B$31,0))))+1),0)</f>
        <v/>
      </c>
      <c r="S852">
        <f>IFERROR(O852/N852,0)</f>
        <v/>
      </c>
    </row>
    <row r="853">
      <c r="A853">
        <f>Skills!A20</f>
        <v/>
      </c>
      <c r="B853">
        <f>Skills!B20</f>
        <v/>
      </c>
      <c r="C853">
        <f>Inputs!$B$3&gt;=15</f>
        <v/>
      </c>
      <c r="D853">
        <f>IF(Skills!C20=1,60+Inputs!$B$24+Inputs!$B$28,IF(Skills!C20=2,90+(Inputs!$B$25+1)+Inputs!$B$28,IF(Skills!C20=3,120+Inputs!$B$26+Inputs!$B$28,MAX(0,(Inputs!$B$3-100)*3)+Inputs!$B$27+Inputs!$B$28)))</f>
        <v/>
      </c>
      <c r="E853">
        <f>INDEX(FactorTable!$B$2:$Y$301, MATCH(ROUND(MIN(300,MAX(1,D853)),0), FactorTable!$A$2:$A$301,0), Skills!M20+1)</f>
        <v/>
      </c>
      <c r="F853">
        <f>IF(Skills!N20=TRUE,(Skills!L20/10)*(E853/1000),Skills!L20/10)+Skills!O20</f>
        <v/>
      </c>
      <c r="G853">
        <f>Calc!G20</f>
        <v/>
      </c>
      <c r="H853">
        <f>Calc!H20</f>
        <v/>
      </c>
      <c r="I853">
        <f>IF(Skills!AA20&lt;&gt;"",1+(Skills!AA20/10)*(U836/1000)/100,1)</f>
        <v/>
      </c>
      <c r="J853" t="inlineStr"/>
      <c r="K853" t="inlineStr"/>
      <c r="L853" t="inlineStr"/>
      <c r="M853" t="inlineStr"/>
      <c r="N853" t="inlineStr"/>
      <c r="O853" t="n">
        <v>0</v>
      </c>
      <c r="P853">
        <f>IF(B877=0,0,O853/B877)</f>
        <v/>
      </c>
      <c r="Q853">
        <f>IFERROR(1/IF(Inputs!$B$4="pvp",15,MAX(0.1,Skills!D20-IF(Skills!E20=TRUE,Inputs!$B$31,0))),0)</f>
        <v/>
      </c>
      <c r="R853">
        <f>IF(AND(Inputs!$B$4&lt;&gt;"pvp",Inputs!$B$35&gt;0),(INT(Inputs!$B$35/IF(Inputs!$B$4="pvp",15,MAX(0.1,Skills!D20-IF(Skills!E20=TRUE,Inputs!$B$31,0))))+1),0)</f>
        <v/>
      </c>
      <c r="S853">
        <f>IFERROR(O853/N853,0)</f>
        <v/>
      </c>
    </row>
    <row r="854">
      <c r="A854">
        <f>Skills!A21</f>
        <v/>
      </c>
      <c r="B854">
        <f>Skills!B21</f>
        <v/>
      </c>
      <c r="C854">
        <f>Inputs!$B$3&gt;=15</f>
        <v/>
      </c>
      <c r="D854">
        <f>IF(Skills!C21=1,60+Inputs!$B$24+Inputs!$B$28,IF(Skills!C21=2,90+(Inputs!$B$25+1)+Inputs!$B$28,IF(Skills!C21=3,120+Inputs!$B$26+Inputs!$B$28,MAX(0,(Inputs!$B$3-100)*3)+Inputs!$B$27+Inputs!$B$28)))</f>
        <v/>
      </c>
      <c r="E854">
        <f>INDEX(FactorTable!$B$2:$Y$301, MATCH(ROUND(MIN(300,MAX(1,D854)),0), FactorTable!$A$2:$A$301,0), Skills!M21+1)</f>
        <v/>
      </c>
      <c r="F854">
        <f>IF(Skills!N21=TRUE,(Skills!L21/10)*(E854/1000),Skills!L21/10)+Skills!O21</f>
        <v/>
      </c>
      <c r="G854">
        <f>Calc!G21</f>
        <v/>
      </c>
      <c r="H854">
        <f>Calc!H21</f>
        <v/>
      </c>
      <c r="I854">
        <f>IF(Skills!AA21&lt;&gt;"",1+(Skills!AA21/10)*(U836/1000)/100,1)</f>
        <v/>
      </c>
      <c r="J854" t="inlineStr"/>
      <c r="K854" t="inlineStr"/>
      <c r="L854" t="inlineStr"/>
      <c r="M854" t="inlineStr"/>
      <c r="N854" t="inlineStr"/>
      <c r="O854" t="n">
        <v>0</v>
      </c>
      <c r="P854">
        <f>IF(B877=0,0,O854/B877)</f>
        <v/>
      </c>
      <c r="Q854">
        <f>IFERROR(1/IF(Inputs!$B$4="pvp",15,MAX(0.1,Skills!D21-IF(Skills!E21=TRUE,Inputs!$B$31,0))),0)</f>
        <v/>
      </c>
      <c r="R854">
        <f>IF(AND(Inputs!$B$4&lt;&gt;"pvp",Inputs!$B$35&gt;0),(INT(Inputs!$B$35/IF(Inputs!$B$4="pvp",15,MAX(0.1,Skills!D21-IF(Skills!E21=TRUE,Inputs!$B$31,0))))+1),0)</f>
        <v/>
      </c>
      <c r="S854">
        <f>IFERROR(O854/N854,0)</f>
        <v/>
      </c>
    </row>
    <row r="855">
      <c r="A855">
        <f>Skills!A22</f>
        <v/>
      </c>
      <c r="B855">
        <f>Skills!B22</f>
        <v/>
      </c>
      <c r="C855">
        <f>Inputs!$B$3&gt;=33</f>
        <v/>
      </c>
      <c r="D855">
        <f>IF(Skills!C22=1,60+Inputs!$B$24+Inputs!$B$28,IF(Skills!C22=2,90+(Inputs!$B$25+1)+Inputs!$B$28,IF(Skills!C22=3,120+Inputs!$B$26+Inputs!$B$28,MAX(0,(Inputs!$B$3-100)*3)+Inputs!$B$27+Inputs!$B$28)))</f>
        <v/>
      </c>
      <c r="E855">
        <f>INDEX(FactorTable!$B$2:$Y$301, MATCH(ROUND(MIN(300,MAX(1,D855)),0), FactorTable!$A$2:$A$301,0), Skills!M22+1)</f>
        <v/>
      </c>
      <c r="F855">
        <f>IF(Skills!N22=TRUE,(Skills!L22/10)*(E855/1000),Skills!L22/10)+Skills!O22</f>
        <v/>
      </c>
      <c r="G855">
        <f>Calc!G22</f>
        <v/>
      </c>
      <c r="H855">
        <f>Calc!H22</f>
        <v/>
      </c>
      <c r="I855">
        <f>IF(Skills!AA22&lt;&gt;"",1+(Skills!AA22/10)*(U836/1000)/100,1)</f>
        <v/>
      </c>
      <c r="J855" t="inlineStr"/>
      <c r="K855" t="inlineStr"/>
      <c r="L855" t="inlineStr"/>
      <c r="M855" t="inlineStr"/>
      <c r="N855" t="inlineStr"/>
      <c r="O855" t="n">
        <v>0</v>
      </c>
      <c r="P855">
        <f>IF(B877=0,0,O855/B877)</f>
        <v/>
      </c>
      <c r="Q855" t="n">
        <v>0</v>
      </c>
      <c r="R855" t="n">
        <v>0</v>
      </c>
      <c r="S855">
        <f>IFERROR(O855/N855,0)</f>
        <v/>
      </c>
    </row>
    <row r="856">
      <c r="A856">
        <f>Skills!A23</f>
        <v/>
      </c>
      <c r="B856">
        <f>Skills!B23</f>
        <v/>
      </c>
      <c r="C856">
        <f>Inputs!$B$3&gt;=38</f>
        <v/>
      </c>
      <c r="D856">
        <f>IF(Skills!C23=1,60+Inputs!$B$24+Inputs!$B$28,IF(Skills!C23=2,90+(Inputs!$B$25+1)+Inputs!$B$28,IF(Skills!C23=3,120+Inputs!$B$26+Inputs!$B$28,MAX(0,(Inputs!$B$3-100)*3)+Inputs!$B$27+Inputs!$B$28)))</f>
        <v/>
      </c>
      <c r="E856">
        <f>INDEX(FactorTable!$B$2:$Y$301, MATCH(ROUND(MIN(300,MAX(1,D856)),0), FactorTable!$A$2:$A$301,0), Skills!M23+1)</f>
        <v/>
      </c>
      <c r="F856">
        <f>IF(Skills!N23=TRUE,(Skills!L23/10)*(E856/1000),Skills!L23/10)+Skills!O23</f>
        <v/>
      </c>
      <c r="G856">
        <f>Calc!G23</f>
        <v/>
      </c>
      <c r="H856">
        <f>Calc!H23</f>
        <v/>
      </c>
      <c r="I856">
        <f>IF(Skills!AA23&lt;&gt;"",1+(Skills!AA23/10)*(U836/1000)/100,1)</f>
        <v/>
      </c>
      <c r="J856" t="inlineStr"/>
      <c r="K856" t="inlineStr"/>
      <c r="L856" t="inlineStr"/>
      <c r="M856" t="inlineStr"/>
      <c r="N856" t="inlineStr"/>
      <c r="O856" t="n">
        <v>0</v>
      </c>
      <c r="P856">
        <f>IF(B877=0,0,O856/B877)</f>
        <v/>
      </c>
      <c r="Q856" t="n">
        <v>0</v>
      </c>
      <c r="R856" t="n">
        <v>0</v>
      </c>
      <c r="S856">
        <f>IFERROR(O856/N856,0)</f>
        <v/>
      </c>
    </row>
    <row r="857">
      <c r="A857">
        <f>Skills!A24</f>
        <v/>
      </c>
      <c r="B857">
        <f>Skills!B24</f>
        <v/>
      </c>
      <c r="C857">
        <f>Inputs!$B$3&gt;=40</f>
        <v/>
      </c>
      <c r="D857">
        <f>IF(Skills!C24=1,60+Inputs!$B$24+Inputs!$B$28,IF(Skills!C24=2,90+(Inputs!$B$25+1)+Inputs!$B$28,IF(Skills!C24=3,120+Inputs!$B$26+Inputs!$B$28,MAX(0,(Inputs!$B$3-100)*3)+Inputs!$B$27+Inputs!$B$28)))</f>
        <v/>
      </c>
      <c r="E857">
        <f>INDEX(FactorTable!$B$2:$Y$301, MATCH(ROUND(MIN(300,MAX(1,D857)),0), FactorTable!$A$2:$A$301,0), Skills!M24+1)</f>
        <v/>
      </c>
      <c r="F857">
        <f>IF(Skills!N24=TRUE,(Skills!L24/10)*(E857/1000),Skills!L24/10)+Skills!O24</f>
        <v/>
      </c>
      <c r="G857">
        <f>Calc!G24</f>
        <v/>
      </c>
      <c r="H857">
        <f>Calc!H24</f>
        <v/>
      </c>
      <c r="I857">
        <f>IF(Skills!AA24&lt;&gt;"",1+(Skills!AA24/10)*(U836/1000)/100,1)</f>
        <v/>
      </c>
      <c r="J857" t="inlineStr"/>
      <c r="K857" t="inlineStr"/>
      <c r="L857" t="inlineStr"/>
      <c r="M857" t="inlineStr"/>
      <c r="N857" t="inlineStr"/>
      <c r="O857" t="n">
        <v>0</v>
      </c>
      <c r="P857">
        <f>IF(B877=0,0,O857/B877)</f>
        <v/>
      </c>
      <c r="Q857" t="n">
        <v>0</v>
      </c>
      <c r="R857" t="n">
        <v>0</v>
      </c>
      <c r="S857">
        <f>IFERROR(O857/N857,0)</f>
        <v/>
      </c>
    </row>
    <row r="858">
      <c r="A858">
        <f>Skills!A25</f>
        <v/>
      </c>
      <c r="B858">
        <f>Skills!B25</f>
        <v/>
      </c>
      <c r="C858">
        <f>Inputs!$B$3&gt;=45</f>
        <v/>
      </c>
      <c r="D858">
        <f>IF(Skills!C25=1,60+Inputs!$B$24+Inputs!$B$28,IF(Skills!C25=2,90+(Inputs!$B$25+1)+Inputs!$B$28,IF(Skills!C25=3,120+Inputs!$B$26+Inputs!$B$28,MAX(0,(Inputs!$B$3-100)*3)+Inputs!$B$27+Inputs!$B$28)))</f>
        <v/>
      </c>
      <c r="E858">
        <f>INDEX(FactorTable!$B$2:$Y$301, MATCH(ROUND(MIN(300,MAX(1,D858)),0), FactorTable!$A$2:$A$301,0), Skills!M25+1)</f>
        <v/>
      </c>
      <c r="F858">
        <f>IF(Skills!N25=TRUE,(Skills!L25/10)*(E858/1000),Skills!L25/10)+Skills!O25</f>
        <v/>
      </c>
      <c r="G858">
        <f>Calc!G25</f>
        <v/>
      </c>
      <c r="H858">
        <f>Calc!H25</f>
        <v/>
      </c>
      <c r="I858">
        <f>IF(Skills!AA25&lt;&gt;"",1+(Skills!AA25/10)*(U836/1000)/100,1)</f>
        <v/>
      </c>
      <c r="J858" t="inlineStr"/>
      <c r="K858" t="inlineStr"/>
      <c r="L858" t="inlineStr"/>
      <c r="M858" t="inlineStr"/>
      <c r="N858" t="inlineStr"/>
      <c r="O858" t="n">
        <v>0</v>
      </c>
      <c r="P858">
        <f>IF(B877=0,0,O858/B877)</f>
        <v/>
      </c>
      <c r="Q858" t="n">
        <v>0</v>
      </c>
      <c r="R858" t="n">
        <v>0</v>
      </c>
      <c r="S858">
        <f>IFERROR(O858/N858,0)</f>
        <v/>
      </c>
    </row>
    <row r="859">
      <c r="A859">
        <f>Skills!A26</f>
        <v/>
      </c>
      <c r="B859">
        <f>Skills!B26</f>
        <v/>
      </c>
      <c r="C859">
        <f>Inputs!$B$3&gt;=45</f>
        <v/>
      </c>
      <c r="D859">
        <f>IF(Skills!C26=1,60+Inputs!$B$24+Inputs!$B$28,IF(Skills!C26=2,90+(Inputs!$B$25+1)+Inputs!$B$28,IF(Skills!C26=3,120+Inputs!$B$26+Inputs!$B$28,MAX(0,(Inputs!$B$3-100)*3)+Inputs!$B$27+Inputs!$B$28)))</f>
        <v/>
      </c>
      <c r="E859">
        <f>INDEX(FactorTable!$B$2:$Y$301, MATCH(ROUND(MIN(300,MAX(1,D859)),0), FactorTable!$A$2:$A$301,0), Skills!M26+1)</f>
        <v/>
      </c>
      <c r="F859">
        <f>IF(Skills!N26=TRUE,(Skills!L26/10)*(E859/1000),Skills!L26/10)+Skills!O26</f>
        <v/>
      </c>
      <c r="G859">
        <f>Calc!G26</f>
        <v/>
      </c>
      <c r="H859">
        <f>Calc!H26</f>
        <v/>
      </c>
      <c r="I859">
        <f>IF(Skills!AA26&lt;&gt;"",1+(Skills!AA26/10)*(U836/1000)/100,1)</f>
        <v/>
      </c>
      <c r="J859" t="inlineStr"/>
      <c r="K859" t="inlineStr"/>
      <c r="L859" t="inlineStr"/>
      <c r="M859" t="inlineStr"/>
      <c r="N859" t="inlineStr"/>
      <c r="O859" t="n">
        <v>0</v>
      </c>
      <c r="P859">
        <f>IF(B877=0,0,O859/B877)</f>
        <v/>
      </c>
      <c r="Q859" t="n">
        <v>0</v>
      </c>
      <c r="R859" t="n">
        <v>0</v>
      </c>
      <c r="S859">
        <f>IFERROR(O859/N859,0)</f>
        <v/>
      </c>
    </row>
    <row r="860">
      <c r="A860">
        <f>Skills!A27</f>
        <v/>
      </c>
      <c r="B860">
        <f>Skills!B27</f>
        <v/>
      </c>
      <c r="C860">
        <f>Inputs!$B$3&gt;=72</f>
        <v/>
      </c>
      <c r="D860">
        <f>IF(Skills!C27=1,60+Inputs!$B$24+Inputs!$B$28,IF(Skills!C27=2,90+(Inputs!$B$25+1)+Inputs!$B$28,IF(Skills!C27=3,120+Inputs!$B$26+Inputs!$B$28,MAX(0,(Inputs!$B$3-100)*3)+Inputs!$B$27+Inputs!$B$28)))</f>
        <v/>
      </c>
      <c r="E860">
        <f>INDEX(FactorTable!$B$2:$Y$301, MATCH(ROUND(MIN(300,MAX(1,D860)),0), FactorTable!$A$2:$A$301,0), Skills!M27+1)</f>
        <v/>
      </c>
      <c r="F860">
        <f>IF(Skills!N27=TRUE,(Skills!L27/10)*(E860/1000),Skills!L27/10)+Skills!O27</f>
        <v/>
      </c>
      <c r="G860">
        <f>Calc!G27</f>
        <v/>
      </c>
      <c r="H860">
        <f>Calc!H27</f>
        <v/>
      </c>
      <c r="I860">
        <f>IF(Skills!AA27&lt;&gt;"",1+(Skills!AA27/10)*(U836/1000)/100,1)</f>
        <v/>
      </c>
      <c r="J860" t="inlineStr"/>
      <c r="K860" t="inlineStr"/>
      <c r="L860" t="inlineStr"/>
      <c r="M860" t="inlineStr"/>
      <c r="N860" t="inlineStr"/>
      <c r="O860" t="n">
        <v>0</v>
      </c>
      <c r="P860">
        <f>IF(B877=0,0,O860/B877)</f>
        <v/>
      </c>
      <c r="Q860" t="n">
        <v>0</v>
      </c>
      <c r="R860" t="n">
        <v>0</v>
      </c>
      <c r="S860">
        <f>IFERROR(O860/N860,0)</f>
        <v/>
      </c>
    </row>
    <row r="861">
      <c r="A861">
        <f>Skills!A28</f>
        <v/>
      </c>
      <c r="B861">
        <f>Skills!B28</f>
        <v/>
      </c>
      <c r="C861">
        <f>Inputs!$B$3&gt;=75</f>
        <v/>
      </c>
      <c r="D861">
        <f>IF(Skills!C28=1,60+Inputs!$B$24+Inputs!$B$28,IF(Skills!C28=2,90+(Inputs!$B$25+1)+Inputs!$B$28,IF(Skills!C28=3,120+Inputs!$B$26+Inputs!$B$28,MAX(0,(Inputs!$B$3-100)*3)+Inputs!$B$27+Inputs!$B$28)))</f>
        <v/>
      </c>
      <c r="E861">
        <f>INDEX(FactorTable!$B$2:$Y$301, MATCH(ROUND(MIN(300,MAX(1,D861)),0), FactorTable!$A$2:$A$301,0), Skills!M28+1)</f>
        <v/>
      </c>
      <c r="F861">
        <f>IF(Skills!N28=TRUE,(Skills!L28/10)*(E861/1000),Skills!L28/10)+Skills!O28</f>
        <v/>
      </c>
      <c r="G861">
        <f>Calc!G28</f>
        <v/>
      </c>
      <c r="H861">
        <f>Calc!H28</f>
        <v/>
      </c>
      <c r="I861">
        <f>IF(Skills!AA28&lt;&gt;"",1+(Skills!AA28/10)*(U836/1000)/100,1)</f>
        <v/>
      </c>
      <c r="J861" t="inlineStr"/>
      <c r="K861" t="inlineStr"/>
      <c r="L861" t="inlineStr"/>
      <c r="M861" t="inlineStr"/>
      <c r="N861" t="inlineStr"/>
      <c r="O861" t="n">
        <v>0</v>
      </c>
      <c r="P861">
        <f>IF(B877=0,0,O861/B877)</f>
        <v/>
      </c>
      <c r="Q861" t="n">
        <v>0</v>
      </c>
      <c r="R861" t="n">
        <v>0</v>
      </c>
      <c r="S861">
        <f>IFERROR(O861/N861,0)</f>
        <v/>
      </c>
    </row>
    <row r="862">
      <c r="A862">
        <f>Skills!A29</f>
        <v/>
      </c>
      <c r="B862">
        <f>Skills!B29</f>
        <v/>
      </c>
      <c r="C862">
        <f>Inputs!$B$3&gt;=120</f>
        <v/>
      </c>
      <c r="D862">
        <f>IF(Skills!C29=1,60+Inputs!$B$24+Inputs!$B$28,IF(Skills!C29=2,90+(Inputs!$B$25+1)+Inputs!$B$28,IF(Skills!C29=3,120+Inputs!$B$26+Inputs!$B$28,MAX(0,(Inputs!$B$3-100)*3)+Inputs!$B$27+Inputs!$B$28)))</f>
        <v/>
      </c>
      <c r="E862">
        <f>INDEX(FactorTable!$B$2:$Y$301, MATCH(ROUND(MIN(300,MAX(1,D862)),0), FactorTable!$A$2:$A$301,0), Skills!M29+1)</f>
        <v/>
      </c>
      <c r="F862">
        <f>IF(Skills!N29=TRUE,(Skills!L29/10)*(E862/1000),Skills!L29/10)+Skills!O29</f>
        <v/>
      </c>
      <c r="G862">
        <f>Calc!G29</f>
        <v/>
      </c>
      <c r="H862">
        <f>Calc!H29</f>
        <v/>
      </c>
      <c r="I862">
        <f>IF(Skills!AA29&lt;&gt;"",1+(Skills!AA29/10)*(U836/1000)/100,1)</f>
        <v/>
      </c>
      <c r="J862" t="inlineStr"/>
      <c r="K862" t="inlineStr"/>
      <c r="L862" t="inlineStr"/>
      <c r="M862" t="inlineStr"/>
      <c r="N862" t="inlineStr"/>
      <c r="O862" t="n">
        <v>0</v>
      </c>
      <c r="P862">
        <f>IF(B877=0,0,O862/B877)</f>
        <v/>
      </c>
      <c r="Q862" t="n">
        <v>0</v>
      </c>
      <c r="R862" t="n">
        <v>0</v>
      </c>
      <c r="S862">
        <f>IFERROR(O862/N862,0)</f>
        <v/>
      </c>
    </row>
    <row r="863">
      <c r="A863">
        <f>Skills!A30</f>
        <v/>
      </c>
      <c r="B863">
        <f>Skills!B30</f>
        <v/>
      </c>
      <c r="C863">
        <f>Inputs!$B$3&gt;=125</f>
        <v/>
      </c>
      <c r="D863">
        <f>IF(Skills!C30=1,60+Inputs!$B$24+Inputs!$B$28,IF(Skills!C30=2,90+(Inputs!$B$25+1)+Inputs!$B$28,IF(Skills!C30=3,120+Inputs!$B$26+Inputs!$B$28,MAX(0,(Inputs!$B$3-100)*3)+Inputs!$B$27+Inputs!$B$28)))</f>
        <v/>
      </c>
      <c r="E863">
        <f>INDEX(FactorTable!$B$2:$Y$301, MATCH(ROUND(MIN(300,MAX(1,D863)),0), FactorTable!$A$2:$A$301,0), Skills!M30+1)</f>
        <v/>
      </c>
      <c r="F863">
        <f>IF(Skills!N30=TRUE,(Skills!L30/10)*(E863/1000),Skills!L30/10)+Skills!O30</f>
        <v/>
      </c>
      <c r="G863">
        <f>Calc!G30</f>
        <v/>
      </c>
      <c r="H863">
        <f>Calc!H30</f>
        <v/>
      </c>
      <c r="I863">
        <f>IF(Skills!AA30&lt;&gt;"",1+(Skills!AA30/10)*(U836/1000)/100,1)</f>
        <v/>
      </c>
      <c r="J863" t="inlineStr"/>
      <c r="K863" t="inlineStr"/>
      <c r="L863" t="inlineStr"/>
      <c r="M863" t="inlineStr"/>
      <c r="N863" t="inlineStr"/>
      <c r="O863" t="n">
        <v>0</v>
      </c>
      <c r="P863">
        <f>IF(B877=0,0,O863/B877)</f>
        <v/>
      </c>
      <c r="Q863" t="n">
        <v>0</v>
      </c>
      <c r="R863" t="n">
        <v>0</v>
      </c>
      <c r="S863">
        <f>IFERROR(O863/N863,0)</f>
        <v/>
      </c>
    </row>
    <row r="864">
      <c r="A864">
        <f>Skills!A31</f>
        <v/>
      </c>
      <c r="B864">
        <f>Skills!B31</f>
        <v/>
      </c>
      <c r="C864">
        <f>Inputs!$B$3&gt;=107</f>
        <v/>
      </c>
      <c r="D864">
        <f>IF(Skills!C31=1,60+Inputs!$B$24+Inputs!$B$28,IF(Skills!C31=2,90+(Inputs!$B$25+1)+Inputs!$B$28,IF(Skills!C31=3,120+Inputs!$B$26+Inputs!$B$28,MAX(0,(Inputs!$B$3-100)*3)+Inputs!$B$27+Inputs!$B$28)))</f>
        <v/>
      </c>
      <c r="E864">
        <f>INDEX(FactorTable!$B$2:$Y$301, MATCH(ROUND(MIN(300,MAX(1,D864)),0), FactorTable!$A$2:$A$301,0), Skills!M31+1)</f>
        <v/>
      </c>
      <c r="F864">
        <f>IF(Skills!N31=TRUE,(Skills!L31/10)*(E864/1000),Skills!L31/10)+Skills!O31</f>
        <v/>
      </c>
      <c r="G864">
        <f>Calc!G31</f>
        <v/>
      </c>
      <c r="H864">
        <f>Calc!H31</f>
        <v/>
      </c>
      <c r="I864">
        <f>IF(Skills!AA31&lt;&gt;"",1+(Skills!AA31/10)*(U836/1000)/100,1)</f>
        <v/>
      </c>
      <c r="J864" t="inlineStr"/>
      <c r="K864" t="inlineStr"/>
      <c r="L864" t="inlineStr"/>
      <c r="M864" t="inlineStr"/>
      <c r="N864" t="inlineStr"/>
      <c r="O864" t="n">
        <v>0</v>
      </c>
      <c r="P864">
        <f>IF(B877=0,0,O864/B877)</f>
        <v/>
      </c>
      <c r="Q864" t="n">
        <v>0</v>
      </c>
      <c r="R864" t="n">
        <v>0</v>
      </c>
      <c r="S864">
        <f>IFERROR(O864/N864,0)</f>
        <v/>
      </c>
    </row>
    <row r="866">
      <c r="A866" t="inlineStr">
        <is>
          <t>Actions Per Second (pre-Adrenalin)</t>
        </is>
      </c>
      <c r="B866">
        <f>1+MIN(150,150*(1-(1-(Inputs!$B$10+((C855=TRUE)*(F855-Calc!F22)))/150)*(1-((C852=TRUE)*F852*IF(AND(Inputs!$B$4&lt;&gt;"pvp",Inputs!$B$35&gt;0),(((S852-1)*(Skills!Y19*(1+Inputs!$B$33/100))+MIN((Skills!Y19*(1+Inputs!$B$33/100)),MAX(0,Inputs!$B$35-((S852-1)*Skills!D19))))/Inputs!$B$35),IF(Inputs!$B$4="pvp",MIN((Skills!Y19*(1+Inputs!$B$33/100)),15)/15,(Skills!Y19*(1+Inputs!$B$33/100))/Skills!D19)))/150)))/100</f>
        <v/>
      </c>
    </row>
    <row r="867">
      <c r="A867" t="inlineStr">
        <is>
          <t>Alchemic Adrenaline Uptime</t>
        </is>
      </c>
      <c r="B867">
        <f>(Skills!Y6*(1+Inputs!$B$33/100))/((Skills!Y6*(1+Inputs!$B$33/100))+(5/B866))</f>
        <v/>
      </c>
    </row>
    <row r="868">
      <c r="A868" t="inlineStr">
        <is>
          <t>Attack Speed Buff Bonus %</t>
        </is>
      </c>
      <c r="B868">
        <f>((C852=TRUE)*F852*IF(AND(Inputs!$B$4&lt;&gt;"pvp",Inputs!$B$35&gt;0),(((S852-1)*(Skills!Y19*(1+Inputs!$B$33/100))+MIN((Skills!Y19*(1+Inputs!$B$33/100)),MAX(0,Inputs!$B$35-((S852-1)*Skills!D19))))/Inputs!$B$35),IF(Inputs!$B$4="pvp",MIN((Skills!Y19*(1+Inputs!$B$33/100)),15)/15,(Skills!Y19*(1+Inputs!$B$33/100))/Skills!D19)))+((C840=TRUE)*F840*B867)</f>
        <v/>
      </c>
    </row>
    <row r="869">
      <c r="A869" t="inlineStr">
        <is>
          <t>Actions Per Second (final)</t>
        </is>
      </c>
      <c r="B869">
        <f>1+MIN(150,150*(1-(1-(Inputs!$B$10+((C855=TRUE)*(F855-Calc!F22)))/150)*(1-B868/150)))/100</f>
        <v/>
      </c>
    </row>
    <row r="870">
      <c r="A870" t="inlineStr">
        <is>
          <t>Skill + Buff Cast Rate</t>
        </is>
      </c>
      <c r="B870">
        <f>IF(AND(Inputs!$B$4&lt;&gt;"pvp",Inputs!$B$35&gt;0),SUMPRODUCT((Skills!E2:E31=TRUE)*(C835:C864=TRUE)*R835:R864*Skills!F2:F31)/Inputs!$B$35,SUMPRODUCT((Skills!E2:E31=TRUE)*(C835:C864=TRUE)*Q835:Q864*Skills!F2:F31))</f>
        <v/>
      </c>
    </row>
    <row r="871">
      <c r="A871" t="inlineStr">
        <is>
          <t>Showdown Casts Per Second</t>
        </is>
      </c>
      <c r="B871">
        <f>MAX(0,B869-B870)</f>
        <v/>
      </c>
    </row>
    <row r="872">
      <c r="A872" t="inlineStr">
        <is>
          <t>Average Buff Multiplier</t>
        </is>
      </c>
      <c r="B872">
        <f>(1+(((C854=TRUE)*F854*IF(AND(Inputs!$B$4&lt;&gt;"pvp",Inputs!$B$35&gt;0),(((S854-1)*(Skills!Y21*(1+Inputs!$B$33/100))+MIN((Skills!Y21*(1+Inputs!$B$33/100)),MAX(0,Inputs!$B$35-((S854-1)*Skills!D21))))/Inputs!$B$35),IF(Inputs!$B$4="pvp",MIN((Skills!Y21*(1+Inputs!$B$33/100)),15)/15,(Skills!Y21*(1+Inputs!$B$33/100))/Skills!D21)))+((C861=TRUE)*(F861-Calc!F28))+((C851=TRUE)*(F851-Calc!F18)))/100)*(1+((C848=TRUE)*F848*IF(AND(Inputs!$B$4&lt;&gt;"pvp",Inputs!$B$35&gt;0),(((S848-1)*(Skills!Y15*(1+Inputs!$B$33/100))+MIN((Skills!Y15*(1+Inputs!$B$33/100)),MAX(0,Inputs!$B$35-((S848-1)*Skills!D15))))/Inputs!$B$35),IF(Inputs!$B$4="pvp",MIN((Skills!Y15*(1+Inputs!$B$33/100)),15)/15,(Skills!Y15*(1+Inputs!$B$33/100))/Skills!D15)))/100)*(1+((C839=TRUE)*F839*B867)/100)</f>
        <v/>
      </c>
    </row>
    <row r="873">
      <c r="A873" t="inlineStr">
        <is>
          <t>Global Crit Rate Bonus %</t>
        </is>
      </c>
      <c r="B873">
        <f>IF(Inputs!$B$3&gt;=47,8,0)+((C853=TRUE)*F853*IF(AND(Inputs!$B$4&lt;&gt;"pvp",Inputs!$B$35&gt;0),(((S853-1)*(Skills!Y20*(1+Inputs!$B$33/100))+MIN((Skills!Y20*(1+Inputs!$B$33/100)),MAX(0,Inputs!$B$35-((S853-1)*Skills!D20))))/Inputs!$B$35),IF(Inputs!$B$4="pvp",MIN((Skills!Y20*(1+Inputs!$B$33/100)),15)/15,(Skills!Y20*(1+Inputs!$B$33/100))/Skills!D20)))</f>
        <v/>
      </c>
    </row>
    <row r="874">
      <c r="A874" t="inlineStr">
        <is>
          <t>Global Monster Damage-Taken Bonus %</t>
        </is>
      </c>
      <c r="B874">
        <f>IF(Inputs!$B$3&gt;=82,15,0)+((C849=TRUE)*F849*IF(AND(Inputs!$B$4&lt;&gt;"pvp",Inputs!$B$35&gt;0),(((S849-1)*(Skills!Y16*(1+Inputs!$B$33/100))+MIN((Skills!Y16*(1+Inputs!$B$33/100)),MAX(0,Inputs!$B$35-((S849-1)*Skills!D16))))/Inputs!$B$35),IF(Inputs!$B$4="pvp",MIN((Skills!Y16*(1+Inputs!$B$33/100)),15)/15,(Skills!Y16*(1+Inputs!$B$33/100))/Skills!D16)))</f>
        <v/>
      </c>
    </row>
    <row r="875">
      <c r="A875" t="inlineStr">
        <is>
          <t>Shadow Partner Average Multiplier</t>
        </is>
      </c>
      <c r="B875">
        <f>1+((C844=TRUE)*F844*I844*Skills!J11/100)/100</f>
        <v/>
      </c>
    </row>
    <row r="876">
      <c r="A876" t="inlineStr">
        <is>
          <t>Global Critical Damage Bonus % (Frailty Curse Mastery Lv.111)</t>
        </is>
      </c>
      <c r="B876">
        <f>IF(Inputs!$B$3&gt;=111,30,0)*IF(AND(Inputs!$B$4&lt;&gt;"pvp",Inputs!$B$35&gt;0),(((S849-1)*(Skills!Y16*(1+Inputs!$B$33/100))+MIN((Skills!Y16*(1+Inputs!$B$33/100)),MAX(0,Inputs!$B$35-((S849-1)*Skills!D16))))/Inputs!$B$35),IF(Inputs!$B$4="pvp",MIN((Skills!Y16*(1+Inputs!$B$33/100)),15)/15,(Skills!Y16*(1+Inputs!$B$33/100))/Skills!D16))</f>
        <v/>
      </c>
    </row>
    <row r="877">
      <c r="A877" s="5" t="inlineStr">
        <is>
          <t>TOTAL DPS</t>
        </is>
      </c>
      <c r="B877" s="5">
        <f>SUM(O835:O864)</f>
        <v/>
      </c>
    </row>
    <row r="880">
      <c r="A880" s="5" t="inlineStr">
        <is>
          <t>Stat: Skill Level Bonus — 3rd Job</t>
        </is>
      </c>
    </row>
    <row r="881">
      <c r="A881" s="8" t="inlineStr">
        <is>
          <t>Key</t>
        </is>
      </c>
      <c r="B881" s="8" t="inlineStr">
        <is>
          <t>Name</t>
        </is>
      </c>
      <c r="C881" s="8" t="inlineStr">
        <is>
          <t>Unlocked</t>
        </is>
      </c>
      <c r="D881" s="8" t="inlineStr">
        <is>
          <t>InputLevel</t>
        </is>
      </c>
      <c r="E881" s="8" t="inlineStr">
        <is>
          <t>Factor</t>
        </is>
      </c>
      <c r="F881" s="8" t="inlineStr">
        <is>
          <t>CoefficientPercent</t>
        </is>
      </c>
      <c r="G881" s="8" t="inlineStr">
        <is>
          <t>EffectiveHits</t>
        </is>
      </c>
      <c r="H881" s="8" t="inlineStr">
        <is>
          <t>ProcProbability</t>
        </is>
      </c>
      <c r="I881" s="8" t="inlineStr">
        <is>
          <t>MapleHeroMultiplier</t>
        </is>
      </c>
      <c r="J881" s="8" t="inlineStr">
        <is>
          <t>BaseDamage</t>
        </is>
      </c>
      <c r="K881" s="8" t="inlineStr">
        <is>
          <t>BaseHitDamage</t>
        </is>
      </c>
      <c r="L881" s="8" t="inlineStr">
        <is>
          <t>NonCritAvg</t>
        </is>
      </c>
      <c r="M881" s="8" t="inlineStr">
        <is>
          <t>CritAvg</t>
        </is>
      </c>
      <c r="N881" s="8" t="inlineStr">
        <is>
          <t>ExpectedDamage(perHit)</t>
        </is>
      </c>
      <c r="O881" s="8" t="inlineStr">
        <is>
          <t>DPS</t>
        </is>
      </c>
      <c r="P881" s="8" t="inlineStr">
        <is>
          <t>% of Total</t>
        </is>
      </c>
      <c r="Q881" s="8" t="inlineStr">
        <is>
          <t>InvCooldown</t>
        </is>
      </c>
      <c r="R881" s="8" t="inlineStr">
        <is>
          <t>CastsInFight</t>
        </is>
      </c>
      <c r="S881" s="8" t="inlineStr">
        <is>
          <t>HitRate(perSec)</t>
        </is>
      </c>
      <c r="U881" t="inlineStr">
        <is>
          <t>helpers</t>
        </is>
      </c>
    </row>
    <row r="882">
      <c r="A882">
        <f>Skills!A2</f>
        <v/>
      </c>
      <c r="B882">
        <f>Skills!B2</f>
        <v/>
      </c>
      <c r="C882">
        <f>Inputs!$B$3&gt;=100</f>
        <v/>
      </c>
      <c r="D882" t="inlineStr"/>
      <c r="E882" t="inlineStr"/>
      <c r="F882">
        <f>U886+Skills!O2</f>
        <v/>
      </c>
      <c r="G882">
        <f>Calc!G2</f>
        <v/>
      </c>
      <c r="H882">
        <f>Calc!H2</f>
        <v/>
      </c>
      <c r="I882">
        <f>IF(Skills!AA2&lt;&gt;"",1+(Skills!AA2/10)*(U883/1000)/100,1)</f>
        <v/>
      </c>
      <c r="J882">
        <f>(Inputs!$B$5*(1+Inputs!$B$6/100))*(F882/100)</f>
        <v/>
      </c>
      <c r="K882">
        <f>J882*(1+((Inputs!$B$11*(1+Inputs!$B$12/100))*0.01+Inputs!$B$13*0.0025)/100)*(1+Inputs!$B$14/100)*(1+IF(Inputs!$B$4="pvp",0,(1-Summary!$B$55)*(Inputs!$B$19+((C907=TRUE)*(F907-Calc!F27))+Skills!P2+B921)+Summary!$B$55*(Inputs!$B$20+Skills!Q2+B921))/100)*(1+Inputs!$B$15/100)*(5000/(6000+Inputs!$B$7*(1-Inputs!$B$18/100)))*(1+(Inputs!$B$23+((C910=TRUE)*(F910-Calc!F30)))/100)*(1+Skills!R2/100)*(1+(IF(Skills!A2="SHOWDOWN",Inputs!$B$16+((C903=TRUE)*(F903-Calc!F23)),Inputs!$B$17+((C909=TRUE)*(F909-Calc!F29))))/100)*(((1+(((C901=TRUE)*F901*IF(AND(Inputs!$B$4&lt;&gt;"pvp",Inputs!$B$35&gt;0),(((S901-1)*(Skills!Y21*(1+Inputs!$B$33/100))+MIN((Skills!Y21*(1+Inputs!$B$33/100)),MAX(0,Inputs!$B$35-((S901-1)*Skills!D21))))/Inputs!$B$35),IF(Inputs!$B$4="pvp",MIN((Skills!Y21*(1+Inputs!$B$33/100)),15)/15,(Skills!Y21*(1+Inputs!$B$33/100))/Skills!D21)))+((C908=TRUE)*(F908-Calc!F28))+((C898=TRUE)*(F898-Calc!F18)))/100)*(1+((C895=TRUE)*F895*IF(AND(Inputs!$B$4&lt;&gt;"pvp",Inputs!$B$35&gt;0),(((S895-1)*(Skills!Y15*(1+Inputs!$B$33/100))+MIN((Skills!Y15*(1+Inputs!$B$33/100)),MAX(0,Inputs!$B$35-((S895-1)*Skills!D15))))/Inputs!$B$35),IF(Inputs!$B$4="pvp",MIN((Skills!Y15*(1+Inputs!$B$33/100)),15)/15,(Skills!Y15*(1+Inputs!$B$33/100))/Skills!D15)))/100)*(1+((C886=TRUE)*F886*B914)/100))*B922*I882)</f>
        <v/>
      </c>
      <c r="L882">
        <f>K882*(MIN(Inputs!$B$21+((C904=TRUE)*(F904-Calc!F24)),Inputs!$B$22)/100+Inputs!$B$22/100)/2</f>
        <v/>
      </c>
      <c r="M882">
        <f>L882*(1+(Inputs!$B$9+((C906=TRUE)*(F906-Calc!F26))+B923)/100)</f>
        <v/>
      </c>
      <c r="N882">
        <f>L882*(1-MIN((Inputs!$B$8+((C905=TRUE)*(F905-Calc!F25))+B920),100)/100)+M882*(MIN((Inputs!$B$8+((C905=TRUE)*(F905-Calc!F25))+B920),100)/100)</f>
        <v/>
      </c>
      <c r="O882">
        <f>IF(C882,Skills!G2*N882*B918*IF(Inputs!$B$4="pvp",1,(1-Summary!$B$55)*(1)+Summary!$B$55*(MIN((6+Inputs!$B$32),Inputs!$B$37))),0)</f>
        <v/>
      </c>
      <c r="P882">
        <f>IF(B924=0,0,O882/B924)</f>
        <v/>
      </c>
      <c r="Q882" t="n">
        <v>0</v>
      </c>
      <c r="R882" t="n">
        <v>0</v>
      </c>
      <c r="S882">
        <f>IFERROR(O882/N882,0)</f>
        <v/>
      </c>
      <c r="U882">
        <f>MAX(0,(Inputs!$B$3-100)*3)+Inputs!$B$27+Inputs!$B$28</f>
        <v/>
      </c>
    </row>
    <row r="883">
      <c r="A883">
        <f>Skills!A3</f>
        <v/>
      </c>
      <c r="B883">
        <f>Skills!B3</f>
        <v/>
      </c>
      <c r="C883">
        <f>Inputs!$B$3&gt;=35</f>
        <v/>
      </c>
      <c r="D883">
        <f>IF(Skills!C3=1,60+Inputs!$B$24+Inputs!$B$28,IF(Skills!C3=2,90+Inputs!$B$25+Inputs!$B$28,IF(Skills!C3=3,120+(Inputs!$B$26+1)+Inputs!$B$28,MAX(0,(Inputs!$B$3-100)*3)+Inputs!$B$27+Inputs!$B$28)))</f>
        <v/>
      </c>
      <c r="E883">
        <f>INDEX(FactorTable!$B$2:$Y$301, MATCH(ROUND(MIN(300,MAX(1,D883)),0), FactorTable!$A$2:$A$301,0), Skills!M3+1)</f>
        <v/>
      </c>
      <c r="F883">
        <f>IF(Skills!N3=TRUE,(Skills!L3/10)*(E883/1000),Skills!L3/10)+Skills!O3</f>
        <v/>
      </c>
      <c r="G883">
        <f>Calc!G3</f>
        <v/>
      </c>
      <c r="H883">
        <f>Calc!H3</f>
        <v/>
      </c>
      <c r="I883">
        <f>IF(Skills!AA3&lt;&gt;"",1+(Skills!AA3/10)*(U883/1000)/100,1)</f>
        <v/>
      </c>
      <c r="J883">
        <f>(Inputs!$B$5*(1+Inputs!$B$6/100))*(F883/100)</f>
        <v/>
      </c>
      <c r="K883">
        <f>J883*(1+((Inputs!$B$11*(1+Inputs!$B$12/100))*0.01+Inputs!$B$13*0.0025)/100)*(1+Inputs!$B$14/100)*(1+IF(Inputs!$B$4="pvp",0,(1-Summary!$B$55)*(Inputs!$B$19+((C907=TRUE)*(F907-Calc!F27))+Skills!P3+B921)+Summary!$B$55*(Inputs!$B$20+Skills!Q3+B921))/100)*(1+Inputs!$B$15/100)*(5000/(6000+Inputs!$B$7*(1-Inputs!$B$18/100)))*(1+(Inputs!$B$23+((C910=TRUE)*(F910-Calc!F30)))/100)*(1+Skills!R3/100)*(1+(IF(Skills!A3="SHOWDOWN",Inputs!$B$16+((C903=TRUE)*(F903-Calc!F23)),Inputs!$B$17+((C909=TRUE)*(F909-Calc!F29))))/100)*(((1+(((C901=TRUE)*F901*IF(AND(Inputs!$B$4&lt;&gt;"pvp",Inputs!$B$35&gt;0),(((S901-1)*(Skills!Y21*(1+Inputs!$B$33/100))+MIN((Skills!Y21*(1+Inputs!$B$33/100)),MAX(0,Inputs!$B$35-((S901-1)*Skills!D21))))/Inputs!$B$35),IF(Inputs!$B$4="pvp",MIN((Skills!Y21*(1+Inputs!$B$33/100)),15)/15,(Skills!Y21*(1+Inputs!$B$33/100))/Skills!D21)))+((C908=TRUE)*(F908-Calc!F28))+((C898=TRUE)*(F898-Calc!F18)))/100)*(1+((C895=TRUE)*F895*IF(AND(Inputs!$B$4&lt;&gt;"pvp",Inputs!$B$35&gt;0),(((S895-1)*(Skills!Y15*(1+Inputs!$B$33/100))+MIN((Skills!Y15*(1+Inputs!$B$33/100)),MAX(0,Inputs!$B$35-((S895-1)*Skills!D15))))/Inputs!$B$35),IF(Inputs!$B$4="pvp",MIN((Skills!Y15*(1+Inputs!$B$33/100)),15)/15,(Skills!Y15*(1+Inputs!$B$33/100))/Skills!D15)))/100)*(1+((C886=TRUE)*F886*B914)/100))*B922*I883)</f>
        <v/>
      </c>
      <c r="L883">
        <f>K883*(MIN(Inputs!$B$21+((C904=TRUE)*(F904-Calc!F24)),Inputs!$B$22)/100+Inputs!$B$22/100)/2</f>
        <v/>
      </c>
      <c r="M883">
        <f>L883*(1+(Inputs!$B$9+((C906=TRUE)*(F906-Calc!F26))+B923)/100)</f>
        <v/>
      </c>
      <c r="N883">
        <f>L883*(1-MIN((Inputs!$B$8+((C905=TRUE)*(F905-Calc!F25))+B920),100)/100)+M883*(MIN((Inputs!$B$8+((C905=TRUE)*(F905-Calc!F25))+B920),100)/100)</f>
        <v/>
      </c>
      <c r="O883">
        <f>IF(C883,H883*N883*IF(AND(Inputs!$B$4&lt;&gt;"pvp",Inputs!$B$35&gt;0),((Skills!G3*((R883-1)*IF(Skills!H3&gt;0,Skills!I3/Skills!H3,1)+IF(Skills!H3&gt;0,MIN(Skills!I3,MAX(0,Inputs!$B$35-((R883-1)*IF(Inputs!$B$4="pvp",15,MAX(0.1,Skills!D3-IF(Skills!E3=TRUE,Inputs!$B$31,0))))))/Skills!H3,1)))/Inputs!$B$35),G883*Q883)*IF(Inputs!$B$4="pvp",1,(1-Summary!$B$55)*(1)+Summary!$B$55*(MIN(Skills!W3,Inputs!$B$37))),0)</f>
        <v/>
      </c>
      <c r="P883">
        <f>IF(B924=0,0,O883/B924)</f>
        <v/>
      </c>
      <c r="Q883">
        <f>IFERROR(1/IF(Inputs!$B$4="pvp",15,MAX(0.1,Skills!D3-IF(Skills!E3=TRUE,Inputs!$B$31,0))),0)</f>
        <v/>
      </c>
      <c r="R883">
        <f>IF(AND(Inputs!$B$4&lt;&gt;"pvp",Inputs!$B$35&gt;0),(INT(Inputs!$B$35/IF(Inputs!$B$4="pvp",15,MAX(0.1,Skills!D3-IF(Skills!E3=TRUE,Inputs!$B$31,0))))+1),0)</f>
        <v/>
      </c>
      <c r="S883">
        <f>IFERROR(O883/N883,0)</f>
        <v/>
      </c>
      <c r="U883">
        <f>INDEX(FactorTable!$B$2:$Y$301, MATCH(ROUND(MIN(300,MAX(1,U882)),0), FactorTable!$A$2:$A$301,0), 24)</f>
        <v/>
      </c>
    </row>
    <row r="884">
      <c r="A884">
        <f>Skills!A4</f>
        <v/>
      </c>
      <c r="B884">
        <f>Skills!B4</f>
        <v/>
      </c>
      <c r="C884">
        <f>Inputs!$B$3&gt;=40</f>
        <v/>
      </c>
      <c r="D884">
        <f>IF(Skills!C4=1,60+Inputs!$B$24+Inputs!$B$28,IF(Skills!C4=2,90+Inputs!$B$25+Inputs!$B$28,IF(Skills!C4=3,120+(Inputs!$B$26+1)+Inputs!$B$28,MAX(0,(Inputs!$B$3-100)*3)+Inputs!$B$27+Inputs!$B$28)))</f>
        <v/>
      </c>
      <c r="E884">
        <f>INDEX(FactorTable!$B$2:$Y$301, MATCH(ROUND(MIN(300,MAX(1,D884)),0), FactorTable!$A$2:$A$301,0), Skills!M4+1)</f>
        <v/>
      </c>
      <c r="F884">
        <f>IF(Skills!N4=TRUE,(Skills!L4/10)*(E884/1000),Skills!L4/10)+Skills!O4</f>
        <v/>
      </c>
      <c r="G884">
        <f>Calc!G4</f>
        <v/>
      </c>
      <c r="H884">
        <f>Calc!H4</f>
        <v/>
      </c>
      <c r="I884">
        <f>IF(Skills!AA4&lt;&gt;"",1+(Skills!AA4/10)*(U883/1000)/100,1)</f>
        <v/>
      </c>
      <c r="J884">
        <f>(Inputs!$B$5*(1+Inputs!$B$6/100))*(F884/100)</f>
        <v/>
      </c>
      <c r="K884">
        <f>J884*(1+((Inputs!$B$11*(1+Inputs!$B$12/100))*0.01+Inputs!$B$13*0.0025)/100)*(1+Inputs!$B$14/100)*(1+IF(Inputs!$B$4="pvp",0,(1-Summary!$B$55)*(Inputs!$B$19+((C907=TRUE)*(F907-Calc!F27))+Skills!P4+B921)+Summary!$B$55*(Inputs!$B$20+Skills!Q4+B921))/100)*(1+Inputs!$B$15/100)*(5000/(6000+Inputs!$B$7*(1-Inputs!$B$18/100)))*(1+(Inputs!$B$23+((C910=TRUE)*(F910-Calc!F30)))/100)*(1+Skills!R4/100)*(1+(IF(Skills!A4="SHOWDOWN",Inputs!$B$16+((C903=TRUE)*(F903-Calc!F23)),Inputs!$B$17+((C909=TRUE)*(F909-Calc!F29))))/100)*(((1+(((C901=TRUE)*F901*IF(AND(Inputs!$B$4&lt;&gt;"pvp",Inputs!$B$35&gt;0),(((S901-1)*(Skills!Y21*(1+Inputs!$B$33/100))+MIN((Skills!Y21*(1+Inputs!$B$33/100)),MAX(0,Inputs!$B$35-((S901-1)*Skills!D21))))/Inputs!$B$35),IF(Inputs!$B$4="pvp",MIN((Skills!Y21*(1+Inputs!$B$33/100)),15)/15,(Skills!Y21*(1+Inputs!$B$33/100))/Skills!D21)))+((C908=TRUE)*(F908-Calc!F28))+((C898=TRUE)*(F898-Calc!F18)))/100)*(1+((C895=TRUE)*F895*IF(AND(Inputs!$B$4&lt;&gt;"pvp",Inputs!$B$35&gt;0),(((S895-1)*(Skills!Y15*(1+Inputs!$B$33/100))+MIN((Skills!Y15*(1+Inputs!$B$33/100)),MAX(0,Inputs!$B$35-((S895-1)*Skills!D15))))/Inputs!$B$35),IF(Inputs!$B$4="pvp",MIN((Skills!Y15*(1+Inputs!$B$33/100)),15)/15,(Skills!Y15*(1+Inputs!$B$33/100))/Skills!D15)))/100)*(1+((C886=TRUE)*F886*B914)/100))*B922*I884)</f>
        <v/>
      </c>
      <c r="L884">
        <f>K884*(MIN(Inputs!$B$21+((C904=TRUE)*(F904-Calc!F24)),Inputs!$B$22)/100+Inputs!$B$22/100)/2</f>
        <v/>
      </c>
      <c r="M884">
        <f>L884*(1+(Inputs!$B$9+((C906=TRUE)*(F906-Calc!F26))+B923)/100)</f>
        <v/>
      </c>
      <c r="N884">
        <f>L884*(1-MIN((Inputs!$B$8+((C905=TRUE)*(F905-Calc!F25))+B920),100)/100)+M884*(MIN((Inputs!$B$8+((C905=TRUE)*(F905-Calc!F25))+B920),100)/100)</f>
        <v/>
      </c>
      <c r="O884">
        <f>IF(C884,H884*N884*IF(AND(Inputs!$B$4&lt;&gt;"pvp",Inputs!$B$35&gt;0),((Skills!G4*((R884-1)*IF(Skills!H4&gt;0,Skills!I4/Skills!H4,1)+IF(Skills!H4&gt;0,MIN(Skills!I4,MAX(0,Inputs!$B$35-((R884-1)*IF(Inputs!$B$4="pvp",15,MAX(0.1,Skills!D4-IF(Skills!E4=TRUE,Inputs!$B$31,0))))))/Skills!H4,1)))/Inputs!$B$35),G884*Q884)*IF(Inputs!$B$4="pvp",1,(1-Summary!$B$55)*(1)+Summary!$B$55*(MIN(Skills!W4,Inputs!$B$37))),0)</f>
        <v/>
      </c>
      <c r="P884">
        <f>IF(B924=0,0,O884/B924)</f>
        <v/>
      </c>
      <c r="Q884">
        <f>IFERROR(1/IF(Inputs!$B$4="pvp",15,MAX(0.1,Skills!D4-IF(Skills!E4=TRUE,Inputs!$B$31,0))),0)</f>
        <v/>
      </c>
      <c r="R884">
        <f>IF(AND(Inputs!$B$4&lt;&gt;"pvp",Inputs!$B$35&gt;0),(INT(Inputs!$B$35/IF(Inputs!$B$4="pvp",15,MAX(0.1,Skills!D4-IF(Skills!E4=TRUE,Inputs!$B$31,0))))+1),0)</f>
        <v/>
      </c>
      <c r="S884">
        <f>IFERROR(O884/N884,0)</f>
        <v/>
      </c>
      <c r="U884">
        <f>MAX(0,(Inputs!$B$3-100)*3)+Inputs!$B$27+Inputs!$B$28</f>
        <v/>
      </c>
    </row>
    <row r="885">
      <c r="A885">
        <f>Skills!A5</f>
        <v/>
      </c>
      <c r="B885">
        <f>Skills!B5</f>
        <v/>
      </c>
      <c r="C885">
        <f>Inputs!$B$3&gt;=63</f>
        <v/>
      </c>
      <c r="D885">
        <f>IF(Skills!C5=1,60+Inputs!$B$24+Inputs!$B$28,IF(Skills!C5=2,90+Inputs!$B$25+Inputs!$B$28,IF(Skills!C5=3,120+(Inputs!$B$26+1)+Inputs!$B$28,MAX(0,(Inputs!$B$3-100)*3)+Inputs!$B$27+Inputs!$B$28)))</f>
        <v/>
      </c>
      <c r="E885">
        <f>INDEX(FactorTable!$B$2:$Y$301, MATCH(ROUND(MIN(300,MAX(1,D885)),0), FactorTable!$A$2:$A$301,0), Skills!M5+1)</f>
        <v/>
      </c>
      <c r="F885">
        <f>IF(Skills!N5=TRUE,(Skills!L5/10)*(E885/1000),Skills!L5/10)+Skills!O5</f>
        <v/>
      </c>
      <c r="G885">
        <f>Calc!G5</f>
        <v/>
      </c>
      <c r="H885">
        <f>Calc!H5</f>
        <v/>
      </c>
      <c r="I885">
        <f>IF(Skills!AA5&lt;&gt;"",1+(Skills!AA5/10)*(U883/1000)/100,1)</f>
        <v/>
      </c>
      <c r="J885">
        <f>(Inputs!$B$5*(1+Inputs!$B$6/100))*(F885/100)</f>
        <v/>
      </c>
      <c r="K885">
        <f>J885*(1+((Inputs!$B$11*(1+Inputs!$B$12/100))*0.01+Inputs!$B$13*0.0025)/100)*(1+Inputs!$B$14/100)*(1+IF(Inputs!$B$4="pvp",0,(1-Summary!$B$55)*(Inputs!$B$19+((C907=TRUE)*(F907-Calc!F27))+Skills!P5+B921)+Summary!$B$55*(Inputs!$B$20+Skills!Q5+B921))/100)*(1+Inputs!$B$15/100)*(5000/(6000+Inputs!$B$7*(1-Inputs!$B$18/100)))*(1+(Inputs!$B$23+((C910=TRUE)*(F910-Calc!F30)))/100)*(1+Skills!R5/100)*(1+(IF(Skills!A5="SHOWDOWN",Inputs!$B$16+((C903=TRUE)*(F903-Calc!F23)),Inputs!$B$17+((C909=TRUE)*(F909-Calc!F29))))/100)*(((1+(((C901=TRUE)*F901*IF(AND(Inputs!$B$4&lt;&gt;"pvp",Inputs!$B$35&gt;0),(((S901-1)*(Skills!Y21*(1+Inputs!$B$33/100))+MIN((Skills!Y21*(1+Inputs!$B$33/100)),MAX(0,Inputs!$B$35-((S901-1)*Skills!D21))))/Inputs!$B$35),IF(Inputs!$B$4="pvp",MIN((Skills!Y21*(1+Inputs!$B$33/100)),15)/15,(Skills!Y21*(1+Inputs!$B$33/100))/Skills!D21)))+((C908=TRUE)*(F908-Calc!F28))+((C898=TRUE)*(F898-Calc!F18)))/100)*(1+((C895=TRUE)*F895*IF(AND(Inputs!$B$4&lt;&gt;"pvp",Inputs!$B$35&gt;0),(((S895-1)*(Skills!Y15*(1+Inputs!$B$33/100))+MIN((Skills!Y15*(1+Inputs!$B$33/100)),MAX(0,Inputs!$B$35-((S895-1)*Skills!D15))))/Inputs!$B$35),IF(Inputs!$B$4="pvp",MIN((Skills!Y15*(1+Inputs!$B$33/100)),15)/15,(Skills!Y15*(1+Inputs!$B$33/100))/Skills!D15)))/100)*(1+((C886=TRUE)*F886*B914)/100))*B922*I885)</f>
        <v/>
      </c>
      <c r="L885">
        <f>K885*(MIN(Inputs!$B$21+((C904=TRUE)*(F904-Calc!F24)),Inputs!$B$22)/100+Inputs!$B$22/100)/2</f>
        <v/>
      </c>
      <c r="M885">
        <f>L885*(1+(Inputs!$B$9+((C906=TRUE)*(F906-Calc!F26))+B923)/100)</f>
        <v/>
      </c>
      <c r="N885">
        <f>L885*(1-MIN((Inputs!$B$8+((C905=TRUE)*(F905-Calc!F25))+B920),100)/100)+M885*(MIN((Inputs!$B$8+((C905=TRUE)*(F905-Calc!F25))+B920),100)/100)</f>
        <v/>
      </c>
      <c r="O885">
        <f>IF(C885,H885*N885*IF(AND(Inputs!$B$4&lt;&gt;"pvp",Inputs!$B$35&gt;0),((Skills!G5*((R885-1)*IF(Skills!H5&gt;0,Skills!I5/Skills!H5,1)+IF(Skills!H5&gt;0,MIN(Skills!I5,MAX(0,Inputs!$B$35-((R885-1)*IF(Inputs!$B$4="pvp",15,MAX(0.1,Skills!D5-IF(Skills!E5=TRUE,Inputs!$B$31,0))))))/Skills!H5,1)))/Inputs!$B$35),G885*Q885)*IF(Inputs!$B$4="pvp",1,(1-Summary!$B$55)*(1)+Summary!$B$55*(MIN(Skills!W5,Inputs!$B$37))),0)</f>
        <v/>
      </c>
      <c r="P885">
        <f>IF(B924=0,0,O885/B924)</f>
        <v/>
      </c>
      <c r="Q885">
        <f>IFERROR(1/IF(Inputs!$B$4="pvp",15,MAX(0.1,Skills!D5-IF(Skills!E5=TRUE,Inputs!$B$31,0))),0)</f>
        <v/>
      </c>
      <c r="R885">
        <f>IF(AND(Inputs!$B$4&lt;&gt;"pvp",Inputs!$B$35&gt;0),(INT(Inputs!$B$35/IF(Inputs!$B$4="pvp",15,MAX(0.1,Skills!D5-IF(Skills!E5=TRUE,Inputs!$B$31,0))))+1),0)</f>
        <v/>
      </c>
      <c r="S885">
        <f>IFERROR(O885/N885,0)</f>
        <v/>
      </c>
      <c r="U885">
        <f>INDEX(FactorTable!$B$2:$Y$301, MATCH(ROUND(MIN(300,MAX(1,U884)),0), FactorTable!$A$2:$A$301,0), 22)</f>
        <v/>
      </c>
    </row>
    <row r="886">
      <c r="A886">
        <f>Skills!A6</f>
        <v/>
      </c>
      <c r="B886">
        <f>Skills!B6</f>
        <v/>
      </c>
      <c r="C886">
        <f>Inputs!$B$3&gt;=66</f>
        <v/>
      </c>
      <c r="D886">
        <f>IF(Skills!C6=1,60+Inputs!$B$24+Inputs!$B$28,IF(Skills!C6=2,90+Inputs!$B$25+Inputs!$B$28,IF(Skills!C6=3,120+(Inputs!$B$26+1)+Inputs!$B$28,MAX(0,(Inputs!$B$3-100)*3)+Inputs!$B$27+Inputs!$B$28)))</f>
        <v/>
      </c>
      <c r="E886">
        <f>INDEX(FactorTable!$B$2:$Y$301, MATCH(ROUND(MIN(300,MAX(1,D886)),0), FactorTable!$A$2:$A$301,0), Skills!M6+1)</f>
        <v/>
      </c>
      <c r="F886">
        <f>IF(Skills!N6=TRUE,(Skills!L6/10)*(E886/1000),Skills!L6/10)+Skills!O6</f>
        <v/>
      </c>
      <c r="G886">
        <f>Calc!G6</f>
        <v/>
      </c>
      <c r="H886">
        <f>Calc!H6</f>
        <v/>
      </c>
      <c r="I886">
        <f>IF(Skills!AA6&lt;&gt;"",1+(Skills!AA6/10)*(U883/1000)/100,1)</f>
        <v/>
      </c>
      <c r="J886" t="inlineStr"/>
      <c r="K886" t="inlineStr"/>
      <c r="L886" t="inlineStr"/>
      <c r="M886" t="inlineStr"/>
      <c r="N886" t="inlineStr"/>
      <c r="O886" t="n">
        <v>0</v>
      </c>
      <c r="P886">
        <f>IF(B924=0,0,O886/B924)</f>
        <v/>
      </c>
      <c r="Q886" t="n">
        <v>0</v>
      </c>
      <c r="R886" t="n">
        <v>0</v>
      </c>
      <c r="S886">
        <f>IFERROR(O886/N886,0)</f>
        <v/>
      </c>
      <c r="U886">
        <f>290*U885/1000</f>
        <v/>
      </c>
    </row>
    <row r="887">
      <c r="A887">
        <f>Skills!A7</f>
        <v/>
      </c>
      <c r="B887">
        <f>Skills!B7</f>
        <v/>
      </c>
      <c r="C887">
        <f>Inputs!$B$3&gt;=66</f>
        <v/>
      </c>
      <c r="D887">
        <f>IF(Skills!C7=1,60+Inputs!$B$24+Inputs!$B$28,IF(Skills!C7=2,90+Inputs!$B$25+Inputs!$B$28,IF(Skills!C7=3,120+(Inputs!$B$26+1)+Inputs!$B$28,MAX(0,(Inputs!$B$3-100)*3)+Inputs!$B$27+Inputs!$B$28)))</f>
        <v/>
      </c>
      <c r="E887">
        <f>INDEX(FactorTable!$B$2:$Y$301, MATCH(ROUND(MIN(300,MAX(1,D887)),0), FactorTable!$A$2:$A$301,0), Skills!M7+1)</f>
        <v/>
      </c>
      <c r="F887">
        <f>IF(Skills!N7=TRUE,(Skills!L7/10)*(E887/1000),Skills!L7/10)+Skills!O7</f>
        <v/>
      </c>
      <c r="G887">
        <f>Calc!G7</f>
        <v/>
      </c>
      <c r="H887">
        <f>Calc!H7</f>
        <v/>
      </c>
      <c r="I887">
        <f>IF(Skills!AA7&lt;&gt;"",1+(Skills!AA7/10)*(U883/1000)/100,1)</f>
        <v/>
      </c>
      <c r="J887" t="inlineStr"/>
      <c r="K887" t="inlineStr"/>
      <c r="L887" t="inlineStr"/>
      <c r="M887" t="inlineStr"/>
      <c r="N887" t="inlineStr"/>
      <c r="O887" t="n">
        <v>0</v>
      </c>
      <c r="P887">
        <f>IF(B924=0,0,O887/B924)</f>
        <v/>
      </c>
      <c r="Q887" t="n">
        <v>0</v>
      </c>
      <c r="R887" t="n">
        <v>0</v>
      </c>
      <c r="S887">
        <f>IFERROR(O887/N887,0)</f>
        <v/>
      </c>
    </row>
    <row r="888">
      <c r="A888">
        <f>Skills!A8</f>
        <v/>
      </c>
      <c r="B888">
        <f>Skills!B8</f>
        <v/>
      </c>
      <c r="C888">
        <f>Inputs!$B$3&gt;=69</f>
        <v/>
      </c>
      <c r="D888">
        <f>IF(Skills!C8=1,60+Inputs!$B$24+Inputs!$B$28,IF(Skills!C8=2,90+Inputs!$B$25+Inputs!$B$28,IF(Skills!C8=3,120+(Inputs!$B$26+1)+Inputs!$B$28,MAX(0,(Inputs!$B$3-100)*3)+Inputs!$B$27+Inputs!$B$28)))</f>
        <v/>
      </c>
      <c r="E888">
        <f>INDEX(FactorTable!$B$2:$Y$301, MATCH(ROUND(MIN(300,MAX(1,D888)),0), FactorTable!$A$2:$A$301,0), Skills!M8+1)</f>
        <v/>
      </c>
      <c r="F888">
        <f>IF(Skills!N8=TRUE,(Skills!L8/10)*(E888/1000),Skills!L8/10)+Skills!O8</f>
        <v/>
      </c>
      <c r="G888">
        <f>Calc!G8</f>
        <v/>
      </c>
      <c r="H888">
        <f>Calc!H8</f>
        <v/>
      </c>
      <c r="I888">
        <f>IF(Skills!AA8&lt;&gt;"",1+(Skills!AA8/10)*(U883/1000)/100,1)</f>
        <v/>
      </c>
      <c r="J888">
        <f>(Inputs!$B$5*(1+Inputs!$B$6/100))*(F888/100)</f>
        <v/>
      </c>
      <c r="K888">
        <f>J888*(1+((Inputs!$B$11*(1+Inputs!$B$12/100))*0.01+Inputs!$B$13*0.0025)/100)*(1+Inputs!$B$14/100)*(1+IF(Inputs!$B$4="pvp",0,(1-Summary!$B$55)*(Inputs!$B$19+((C907=TRUE)*(F907-Calc!F27))+Skills!P8+B921)+Summary!$B$55*(Inputs!$B$20+Skills!Q8+B921))/100)*(1+Inputs!$B$15/100)*(5000/(6000+Inputs!$B$7*(1-Inputs!$B$18/100)))*(1+(Inputs!$B$23+((C910=TRUE)*(F910-Calc!F30)))/100)*(1+Skills!R8/100)*(1+(IF(Skills!A8="SHOWDOWN",Inputs!$B$16+((C903=TRUE)*(F903-Calc!F23)),Inputs!$B$17+((C909=TRUE)*(F909-Calc!F29))))/100)*(((1+(((C901=TRUE)*F901*IF(AND(Inputs!$B$4&lt;&gt;"pvp",Inputs!$B$35&gt;0),(((S901-1)*(Skills!Y21*(1+Inputs!$B$33/100))+MIN((Skills!Y21*(1+Inputs!$B$33/100)),MAX(0,Inputs!$B$35-((S901-1)*Skills!D21))))/Inputs!$B$35),IF(Inputs!$B$4="pvp",MIN((Skills!Y21*(1+Inputs!$B$33/100)),15)/15,(Skills!Y21*(1+Inputs!$B$33/100))/Skills!D21)))+((C908=TRUE)*(F908-Calc!F28))+((C898=TRUE)*(F898-Calc!F18)))/100)*(1+((C895=TRUE)*F895*IF(AND(Inputs!$B$4&lt;&gt;"pvp",Inputs!$B$35&gt;0),(((S895-1)*(Skills!Y15*(1+Inputs!$B$33/100))+MIN((Skills!Y15*(1+Inputs!$B$33/100)),MAX(0,Inputs!$B$35-((S895-1)*Skills!D15))))/Inputs!$B$35),IF(Inputs!$B$4="pvp",MIN((Skills!Y15*(1+Inputs!$B$33/100)),15)/15,(Skills!Y15*(1+Inputs!$B$33/100))/Skills!D15)))/100)*(1+((C886=TRUE)*F886*B914)/100))*B922*I888)</f>
        <v/>
      </c>
      <c r="L888">
        <f>K888*(MIN(Inputs!$B$21+((C904=TRUE)*(F904-Calc!F24)),Inputs!$B$22)/100+Inputs!$B$22/100)/2</f>
        <v/>
      </c>
      <c r="M888">
        <f>L888*(1+(Inputs!$B$9+((C906=TRUE)*(F906-Calc!F26))+B923)/100)</f>
        <v/>
      </c>
      <c r="N888">
        <f>L888*(1-MIN((Inputs!$B$8+((C905=TRUE)*(F905-Calc!F25))+B920),100)/100)+M888*(MIN((Inputs!$B$8+((C905=TRUE)*(F905-Calc!F25))+B920),100)/100)</f>
        <v/>
      </c>
      <c r="O888">
        <f>IF(C888,H888*N888*IF(AND(Inputs!$B$4&lt;&gt;"pvp",Inputs!$B$35&gt;0),((Skills!G8*((R888-1)*IF(Skills!H8&gt;0,Skills!I8/Skills!H8,1)+IF(Skills!H8&gt;0,MIN(Skills!I8,MAX(0,Inputs!$B$35-((R888-1)*IF(Inputs!$B$4="pvp",15,MAX(0.1,Skills!D8-IF(Skills!E8=TRUE,Inputs!$B$31,0))))))/Skills!H8,1)))/Inputs!$B$35),G888*Q888)*IF(Inputs!$B$4="pvp",1,(1-Summary!$B$55)*(1)+Summary!$B$55*(MIN(Skills!W8,Inputs!$B$37))),0)</f>
        <v/>
      </c>
      <c r="P888">
        <f>IF(B924=0,0,O888/B924)</f>
        <v/>
      </c>
      <c r="Q888">
        <f>IFERROR(1/IF(Inputs!$B$4="pvp",15,MAX(0.1,Skills!D8-IF(Skills!E8=TRUE,Inputs!$B$31,0))),0)</f>
        <v/>
      </c>
      <c r="R888">
        <f>IF(AND(Inputs!$B$4&lt;&gt;"pvp",Inputs!$B$35&gt;0),(INT(Inputs!$B$35/IF(Inputs!$B$4="pvp",15,MAX(0.1,Skills!D8-IF(Skills!E8=TRUE,Inputs!$B$31,0))))+1),0)</f>
        <v/>
      </c>
      <c r="S888">
        <f>IFERROR(O888/N888,0)</f>
        <v/>
      </c>
    </row>
    <row r="889">
      <c r="A889">
        <f>Skills!A9</f>
        <v/>
      </c>
      <c r="B889">
        <f>Skills!B9</f>
        <v/>
      </c>
      <c r="C889">
        <f>Inputs!$B$3&gt;=72</f>
        <v/>
      </c>
      <c r="D889">
        <f>IF(Skills!C9=1,60+Inputs!$B$24+Inputs!$B$28,IF(Skills!C9=2,90+Inputs!$B$25+Inputs!$B$28,IF(Skills!C9=3,120+(Inputs!$B$26+1)+Inputs!$B$28,MAX(0,(Inputs!$B$3-100)*3)+Inputs!$B$27+Inputs!$B$28)))</f>
        <v/>
      </c>
      <c r="E889">
        <f>INDEX(FactorTable!$B$2:$Y$301, MATCH(ROUND(MIN(300,MAX(1,D889)),0), FactorTable!$A$2:$A$301,0), Skills!M9+1)</f>
        <v/>
      </c>
      <c r="F889">
        <f>IF(Skills!N9=TRUE,(Skills!L9/10)*(E889/1000),Skills!L9/10)+Skills!O9</f>
        <v/>
      </c>
      <c r="G889">
        <f>Calc!G9</f>
        <v/>
      </c>
      <c r="H889">
        <f>Calc!H9</f>
        <v/>
      </c>
      <c r="I889">
        <f>IF(Skills!AA9&lt;&gt;"",1+(Skills!AA9/10)*(U883/1000)/100,1)</f>
        <v/>
      </c>
      <c r="J889">
        <f>(Inputs!$B$5*(1+Inputs!$B$6/100))*(F889/100)</f>
        <v/>
      </c>
      <c r="K889">
        <f>J889*(1+((Inputs!$B$11*(1+Inputs!$B$12/100))*0.01+Inputs!$B$13*0.0025)/100)*(1+Inputs!$B$14/100)*(1+IF(Inputs!$B$4="pvp",0,(1-Summary!$B$55)*(Inputs!$B$19+((C907=TRUE)*(F907-Calc!F27))+Skills!P9+B921)+Summary!$B$55*(Inputs!$B$20+Skills!Q9+B921))/100)*(1+Inputs!$B$15/100)*(5000/(6000+Inputs!$B$7*(1-Inputs!$B$18/100)))*(1+(Inputs!$B$23+((C910=TRUE)*(F910-Calc!F30)))/100)*(1+Skills!R9/100)*(1+(IF(Skills!A9="SHOWDOWN",Inputs!$B$16+((C903=TRUE)*(F903-Calc!F23)),Inputs!$B$17+((C909=TRUE)*(F909-Calc!F29))))/100)*(((1+(((C901=TRUE)*F901*IF(AND(Inputs!$B$4&lt;&gt;"pvp",Inputs!$B$35&gt;0),(((S901-1)*(Skills!Y21*(1+Inputs!$B$33/100))+MIN((Skills!Y21*(1+Inputs!$B$33/100)),MAX(0,Inputs!$B$35-((S901-1)*Skills!D21))))/Inputs!$B$35),IF(Inputs!$B$4="pvp",MIN((Skills!Y21*(1+Inputs!$B$33/100)),15)/15,(Skills!Y21*(1+Inputs!$B$33/100))/Skills!D21)))+((C908=TRUE)*(F908-Calc!F28))+((C898=TRUE)*(F898-Calc!F18)))/100)*(1+((C895=TRUE)*F895*IF(AND(Inputs!$B$4&lt;&gt;"pvp",Inputs!$B$35&gt;0),(((S895-1)*(Skills!Y15*(1+Inputs!$B$33/100))+MIN((Skills!Y15*(1+Inputs!$B$33/100)),MAX(0,Inputs!$B$35-((S895-1)*Skills!D15))))/Inputs!$B$35),IF(Inputs!$B$4="pvp",MIN((Skills!Y15*(1+Inputs!$B$33/100)),15)/15,(Skills!Y15*(1+Inputs!$B$33/100))/Skills!D15)))/100)*(1+((C886=TRUE)*F886*B914)/100))*B922*I889)</f>
        <v/>
      </c>
      <c r="L889">
        <f>K889*(MIN(Inputs!$B$21+((C904=TRUE)*(F904-Calc!F24)),Inputs!$B$22)/100+Inputs!$B$22/100)/2</f>
        <v/>
      </c>
      <c r="M889">
        <f>L889*(1+(Inputs!$B$9+((C906=TRUE)*(F906-Calc!F26))+B923)/100)</f>
        <v/>
      </c>
      <c r="N889">
        <f>L889*(1-MIN((Inputs!$B$8+((C905=TRUE)*(F905-Calc!F25))+B920),100)/100)+M889*(MIN((Inputs!$B$8+((C905=TRUE)*(F905-Calc!F25))+B920),100)/100)</f>
        <v/>
      </c>
      <c r="O889">
        <f>IF(C889,H889*N889*IF(AND(Inputs!$B$4&lt;&gt;"pvp",Inputs!$B$35&gt;0),((Skills!G9*((R889-1)*IF(Skills!H9&gt;0,Skills!I9/Skills!H9,1)+IF(Skills!H9&gt;0,MIN(Skills!I9,MAX(0,Inputs!$B$35-((R889-1)*IF(Inputs!$B$4="pvp",15,MAX(0.1,Skills!D9-IF(Skills!E9=TRUE,Inputs!$B$31,0))))))/Skills!H9,1)))/Inputs!$B$35),G889*Q889)*IF(Inputs!$B$4="pvp",1,(1-Summary!$B$55)*(1)+Summary!$B$55*(MIN(Skills!W9,Inputs!$B$37))),0)</f>
        <v/>
      </c>
      <c r="P889">
        <f>IF(B924=0,0,O889/B924)</f>
        <v/>
      </c>
      <c r="Q889">
        <f>IFERROR(1/IF(Inputs!$B$4="pvp",15,MAX(0.1,Skills!D9-IF(Skills!E9=TRUE,Inputs!$B$31,0))),0)</f>
        <v/>
      </c>
      <c r="R889">
        <f>IF(AND(Inputs!$B$4&lt;&gt;"pvp",Inputs!$B$35&gt;0),(INT(Inputs!$B$35/IF(Inputs!$B$4="pvp",15,MAX(0.1,Skills!D9-IF(Skills!E9=TRUE,Inputs!$B$31,0))))+1),0)</f>
        <v/>
      </c>
      <c r="S889">
        <f>IFERROR(O889/N889,0)</f>
        <v/>
      </c>
    </row>
    <row r="890">
      <c r="A890">
        <f>Skills!A10</f>
        <v/>
      </c>
      <c r="B890">
        <f>Skills!B10</f>
        <v/>
      </c>
      <c r="C890">
        <f>Inputs!$B$3&gt;=117</f>
        <v/>
      </c>
      <c r="D890">
        <f>IF(Skills!C10=1,60+Inputs!$B$24+Inputs!$B$28,IF(Skills!C10=2,90+Inputs!$B$25+Inputs!$B$28,IF(Skills!C10=3,120+(Inputs!$B$26+1)+Inputs!$B$28,MAX(0,(Inputs!$B$3-100)*3)+Inputs!$B$27+Inputs!$B$28)))</f>
        <v/>
      </c>
      <c r="E890">
        <f>INDEX(FactorTable!$B$2:$Y$301, MATCH(ROUND(MIN(300,MAX(1,D890)),0), FactorTable!$A$2:$A$301,0), Skills!M10+1)</f>
        <v/>
      </c>
      <c r="F890">
        <f>IF(Skills!N10=TRUE,(Skills!L10/10)*(E890/1000),Skills!L10/10)+Skills!O10</f>
        <v/>
      </c>
      <c r="G890">
        <f>Calc!G10</f>
        <v/>
      </c>
      <c r="H890">
        <f>Calc!H10</f>
        <v/>
      </c>
      <c r="I890">
        <f>IF(Skills!AA10&lt;&gt;"",1+(Skills!AA10/10)*(U883/1000)/100,1)</f>
        <v/>
      </c>
      <c r="J890">
        <f>(Inputs!$B$5*(1+Inputs!$B$6/100))*(F890/100)</f>
        <v/>
      </c>
      <c r="K890">
        <f>J890*(1+((Inputs!$B$11*(1+Inputs!$B$12/100))*0.01+Inputs!$B$13*0.0025)/100)*(1+Inputs!$B$14/100)*(1+IF(Inputs!$B$4="pvp",0,(1-Summary!$B$55)*(Inputs!$B$19+((C907=TRUE)*(F907-Calc!F27))+Skills!P10+B921)+Summary!$B$55*(Inputs!$B$20+Skills!Q10+B921))/100)*(1+Inputs!$B$15/100)*(5000/(6000+Inputs!$B$7*(1-Inputs!$B$18/100)))*(1+(Inputs!$B$23+((C910=TRUE)*(F910-Calc!F30)))/100)*(1+Skills!R10/100)*(1+(IF(Skills!A10="SHOWDOWN",Inputs!$B$16+((C903=TRUE)*(F903-Calc!F23)),Inputs!$B$17+((C909=TRUE)*(F909-Calc!F29))))/100)*(((1+(((C901=TRUE)*F901*IF(AND(Inputs!$B$4&lt;&gt;"pvp",Inputs!$B$35&gt;0),(((S901-1)*(Skills!Y21*(1+Inputs!$B$33/100))+MIN((Skills!Y21*(1+Inputs!$B$33/100)),MAX(0,Inputs!$B$35-((S901-1)*Skills!D21))))/Inputs!$B$35),IF(Inputs!$B$4="pvp",MIN((Skills!Y21*(1+Inputs!$B$33/100)),15)/15,(Skills!Y21*(1+Inputs!$B$33/100))/Skills!D21)))+((C908=TRUE)*(F908-Calc!F28))+((C898=TRUE)*(F898-Calc!F18)))/100)*(1+((C895=TRUE)*F895*IF(AND(Inputs!$B$4&lt;&gt;"pvp",Inputs!$B$35&gt;0),(((S895-1)*(Skills!Y15*(1+Inputs!$B$33/100))+MIN((Skills!Y15*(1+Inputs!$B$33/100)),MAX(0,Inputs!$B$35-((S895-1)*Skills!D15))))/Inputs!$B$35),IF(Inputs!$B$4="pvp",MIN((Skills!Y15*(1+Inputs!$B$33/100)),15)/15,(Skills!Y15*(1+Inputs!$B$33/100))/Skills!D15)))/100)*(1+((C886=TRUE)*F886*B914)/100))*B922*I890)</f>
        <v/>
      </c>
      <c r="L890">
        <f>K890*(MIN(Inputs!$B$21+((C904=TRUE)*(F904-Calc!F24)),Inputs!$B$22)/100+Inputs!$B$22/100)/2</f>
        <v/>
      </c>
      <c r="M890">
        <f>L890*(1+(Inputs!$B$9+((C906=TRUE)*(F906-Calc!F26))+B923)/100)</f>
        <v/>
      </c>
      <c r="N890">
        <f>L890*(1-MIN((Inputs!$B$8+((C905=TRUE)*(F905-Calc!F25))+B920),100)/100)+M890*(MIN((Inputs!$B$8+((C905=TRUE)*(F905-Calc!F25))+B920),100)/100)</f>
        <v/>
      </c>
      <c r="O890">
        <f>IF(C890,0.2*SUMPRODUCT((Skills!Z2:Z31=TRUE)*(C882:C911=TRUE)*S882:S911)*N890,0)</f>
        <v/>
      </c>
      <c r="P890">
        <f>IF(B924=0,0,O890/B924)</f>
        <v/>
      </c>
      <c r="Q890" t="n">
        <v>0</v>
      </c>
      <c r="R890" t="n">
        <v>0</v>
      </c>
      <c r="S890" t="n">
        <v>0</v>
      </c>
    </row>
    <row r="891">
      <c r="A891">
        <f>Skills!A11</f>
        <v/>
      </c>
      <c r="B891">
        <f>Skills!B11</f>
        <v/>
      </c>
      <c r="C891">
        <f>Inputs!$B$3&gt;=60</f>
        <v/>
      </c>
      <c r="D891">
        <f>IF(Skills!C11=1,60+Inputs!$B$24+Inputs!$B$28,IF(Skills!C11=2,90+Inputs!$B$25+Inputs!$B$28,IF(Skills!C11=3,120+(Inputs!$B$26+1)+Inputs!$B$28,MAX(0,(Inputs!$B$3-100)*3)+Inputs!$B$27+Inputs!$B$28)))</f>
        <v/>
      </c>
      <c r="E891">
        <f>INDEX(FactorTable!$B$2:$Y$301, MATCH(ROUND(MIN(300,MAX(1,D891)),0), FactorTable!$A$2:$A$301,0), Skills!M11+1)</f>
        <v/>
      </c>
      <c r="F891">
        <f>IF(Skills!N11=TRUE,(Skills!L11/10)*(E891/1000),Skills!L11/10)+Skills!O11</f>
        <v/>
      </c>
      <c r="G891">
        <f>Calc!G11</f>
        <v/>
      </c>
      <c r="H891">
        <f>Calc!H11</f>
        <v/>
      </c>
      <c r="I891">
        <f>IF(Skills!AA11&lt;&gt;"",1+(Skills!AA11/10)*(U883/1000)/100,1)</f>
        <v/>
      </c>
      <c r="J891" t="inlineStr"/>
      <c r="K891" t="inlineStr"/>
      <c r="L891" t="inlineStr"/>
      <c r="M891" t="inlineStr"/>
      <c r="N891" t="inlineStr"/>
      <c r="O891" t="n">
        <v>0</v>
      </c>
      <c r="P891">
        <f>IF(B924=0,0,O891/B924)</f>
        <v/>
      </c>
      <c r="Q891" t="n">
        <v>0</v>
      </c>
      <c r="R891" t="n">
        <v>0</v>
      </c>
      <c r="S891">
        <f>IFERROR(O891/N891,0)</f>
        <v/>
      </c>
    </row>
    <row r="892">
      <c r="A892">
        <f>Skills!A12</f>
        <v/>
      </c>
      <c r="B892">
        <f>Skills!B12</f>
        <v/>
      </c>
      <c r="C892">
        <f>Inputs!$B$3&gt;=103</f>
        <v/>
      </c>
      <c r="D892">
        <f>IF(Skills!C12=1,60+Inputs!$B$24+Inputs!$B$28,IF(Skills!C12=2,90+Inputs!$B$25+Inputs!$B$28,IF(Skills!C12=3,120+(Inputs!$B$26+1)+Inputs!$B$28,MAX(0,(Inputs!$B$3-100)*3)+Inputs!$B$27+Inputs!$B$28)))</f>
        <v/>
      </c>
      <c r="E892">
        <f>INDEX(FactorTable!$B$2:$Y$301, MATCH(ROUND(MIN(300,MAX(1,D892)),0), FactorTable!$A$2:$A$301,0), Skills!M12+1)</f>
        <v/>
      </c>
      <c r="F892">
        <f>IF(Skills!N12=TRUE,(Skills!L12/10)*(E892/1000),Skills!L12/10)+Skills!O12</f>
        <v/>
      </c>
      <c r="G892">
        <f>Calc!G12</f>
        <v/>
      </c>
      <c r="H892">
        <f>Calc!H12</f>
        <v/>
      </c>
      <c r="I892">
        <f>IF(Skills!AA12&lt;&gt;"",1+(Skills!AA12/10)*(U883/1000)/100,1)</f>
        <v/>
      </c>
      <c r="J892">
        <f>(Inputs!$B$5*(1+Inputs!$B$6/100))*(F892/100)</f>
        <v/>
      </c>
      <c r="K892">
        <f>J892*(1+((Inputs!$B$11*(1+Inputs!$B$12/100))*0.01+Inputs!$B$13*0.0025)/100)*(1+Inputs!$B$14/100)*(1+IF(Inputs!$B$4="pvp",0,(1-Summary!$B$55)*(Inputs!$B$19+((C907=TRUE)*(F907-Calc!F27))+Skills!P12+B921)+Summary!$B$55*(Inputs!$B$20+Skills!Q12+B921))/100)*(1+Inputs!$B$15/100)*(5000/(6000+Inputs!$B$7*(1-Inputs!$B$18/100)))*(1+(Inputs!$B$23+((C910=TRUE)*(F910-Calc!F30)))/100)*(1+Skills!R12/100)*(1+(IF(Skills!A12="SHOWDOWN",Inputs!$B$16+((C903=TRUE)*(F903-Calc!F23)),Inputs!$B$17+((C909=TRUE)*(F909-Calc!F29))))/100)*(((1+(((C901=TRUE)*F901*IF(AND(Inputs!$B$4&lt;&gt;"pvp",Inputs!$B$35&gt;0),(((S901-1)*(Skills!Y21*(1+Inputs!$B$33/100))+MIN((Skills!Y21*(1+Inputs!$B$33/100)),MAX(0,Inputs!$B$35-((S901-1)*Skills!D21))))/Inputs!$B$35),IF(Inputs!$B$4="pvp",MIN((Skills!Y21*(1+Inputs!$B$33/100)),15)/15,(Skills!Y21*(1+Inputs!$B$33/100))/Skills!D21)))+((C908=TRUE)*(F908-Calc!F28))+((C898=TRUE)*(F898-Calc!F18)))/100)*(1+((C895=TRUE)*F895*IF(AND(Inputs!$B$4&lt;&gt;"pvp",Inputs!$B$35&gt;0),(((S895-1)*(Skills!Y15*(1+Inputs!$B$33/100))+MIN((Skills!Y15*(1+Inputs!$B$33/100)),MAX(0,Inputs!$B$35-((S895-1)*Skills!D15))))/Inputs!$B$35),IF(Inputs!$B$4="pvp",MIN((Skills!Y15*(1+Inputs!$B$33/100)),15)/15,(Skills!Y15*(1+Inputs!$B$33/100))/Skills!D15)))/100)*(1+((C886=TRUE)*F886*B914)/100))*B922*I892)</f>
        <v/>
      </c>
      <c r="L892">
        <f>K892*(MIN(Inputs!$B$21+((C904=TRUE)*(F904-Calc!F24)),Inputs!$B$22)/100+Inputs!$B$22/100)/2</f>
        <v/>
      </c>
      <c r="M892">
        <f>L892*(1+(Inputs!$B$9+((C906=TRUE)*(F906-Calc!F26))+B923)/100)</f>
        <v/>
      </c>
      <c r="N892">
        <f>L892*(1-MIN((Inputs!$B$8+((C905=TRUE)*(F905-Calc!F25))+B920),100)/100)+M892*(MIN((Inputs!$B$8+((C905=TRUE)*(F905-Calc!F25))+B920),100)/100)</f>
        <v/>
      </c>
      <c r="O892">
        <f>IF(C892,H892*N892*IF(AND(Inputs!$B$4&lt;&gt;"pvp",Inputs!$B$35&gt;0),((Skills!G12*((R892-1)*IF(Skills!H12&gt;0,Skills!I12/Skills!H12,1)+IF(Skills!H12&gt;0,MIN(Skills!I12,MAX(0,Inputs!$B$35-((R892-1)*IF(Inputs!$B$4="pvp",15,MAX(0.1,Skills!D12-IF(Skills!E12=TRUE,Inputs!$B$31,0))))))/Skills!H12,1)))/Inputs!$B$35),G892*Q892)*IF(Inputs!$B$4="pvp",1,(1-Summary!$B$55)*(1)+Summary!$B$55*(MIN(Skills!W12,Inputs!$B$37))),0)</f>
        <v/>
      </c>
      <c r="P892">
        <f>IF(B924=0,0,O892/B924)</f>
        <v/>
      </c>
      <c r="Q892">
        <f>IFERROR(1/IF(Inputs!$B$4="pvp",15,MAX(0.1,Skills!D12-IF(Skills!E12=TRUE,Inputs!$B$31,0))),0)</f>
        <v/>
      </c>
      <c r="R892">
        <f>IF(AND(Inputs!$B$4&lt;&gt;"pvp",Inputs!$B$35&gt;0),(INT(Inputs!$B$35/IF(Inputs!$B$4="pvp",15,MAX(0.1,Skills!D12-IF(Skills!E12=TRUE,Inputs!$B$31,0))))+1),0)</f>
        <v/>
      </c>
      <c r="S892">
        <f>IFERROR(O892/N892,0)</f>
        <v/>
      </c>
    </row>
    <row r="893">
      <c r="A893">
        <f>Skills!A13</f>
        <v/>
      </c>
      <c r="B893">
        <f>Skills!B13</f>
        <v/>
      </c>
      <c r="C893">
        <f>Inputs!$B$3&gt;=105</f>
        <v/>
      </c>
      <c r="D893">
        <f>IF(Skills!C13=1,60+Inputs!$B$24+Inputs!$B$28,IF(Skills!C13=2,90+Inputs!$B$25+Inputs!$B$28,IF(Skills!C13=3,120+(Inputs!$B$26+1)+Inputs!$B$28,MAX(0,(Inputs!$B$3-100)*3)+Inputs!$B$27+Inputs!$B$28)))</f>
        <v/>
      </c>
      <c r="E893">
        <f>INDEX(FactorTable!$B$2:$Y$301, MATCH(ROUND(MIN(300,MAX(1,D893)),0), FactorTable!$A$2:$A$301,0), Skills!M13+1)</f>
        <v/>
      </c>
      <c r="F893">
        <f>IF(Skills!N13=TRUE,(Skills!L13/10)*(E893/1000),Skills!L13/10)+Skills!O13</f>
        <v/>
      </c>
      <c r="G893">
        <f>Calc!G13</f>
        <v/>
      </c>
      <c r="H893">
        <f>Calc!H13</f>
        <v/>
      </c>
      <c r="I893">
        <f>IF(Skills!AA13&lt;&gt;"",1+(Skills!AA13/10)*(U883/1000)/100,1)</f>
        <v/>
      </c>
      <c r="J893">
        <f>(Inputs!$B$5*(1+Inputs!$B$6/100))*(F893/100)</f>
        <v/>
      </c>
      <c r="K893">
        <f>J893*(1+((Inputs!$B$11*(1+Inputs!$B$12/100))*0.01+Inputs!$B$13*0.0025)/100)*(1+Inputs!$B$14/100)*(1+IF(Inputs!$B$4="pvp",0,(1-Summary!$B$55)*(Inputs!$B$19+((C907=TRUE)*(F907-Calc!F27))+Skills!P13+B921)+Summary!$B$55*(Inputs!$B$20+Skills!Q13+B921))/100)*(1+Inputs!$B$15/100)*(5000/(6000+Inputs!$B$7*(1-Inputs!$B$18/100)))*(1+(Inputs!$B$23+((C910=TRUE)*(F910-Calc!F30)))/100)*(1+Skills!R13/100)*(1+(IF(Skills!A13="SHOWDOWN",Inputs!$B$16+((C903=TRUE)*(F903-Calc!F23)),Inputs!$B$17+((C909=TRUE)*(F909-Calc!F29))))/100)*(((1+(((C901=TRUE)*F901*IF(AND(Inputs!$B$4&lt;&gt;"pvp",Inputs!$B$35&gt;0),(((S901-1)*(Skills!Y21*(1+Inputs!$B$33/100))+MIN((Skills!Y21*(1+Inputs!$B$33/100)),MAX(0,Inputs!$B$35-((S901-1)*Skills!D21))))/Inputs!$B$35),IF(Inputs!$B$4="pvp",MIN((Skills!Y21*(1+Inputs!$B$33/100)),15)/15,(Skills!Y21*(1+Inputs!$B$33/100))/Skills!D21)))+((C908=TRUE)*(F908-Calc!F28))+((C898=TRUE)*(F898-Calc!F18)))/100)*(1+((C895=TRUE)*F895*IF(AND(Inputs!$B$4&lt;&gt;"pvp",Inputs!$B$35&gt;0),(((S895-1)*(Skills!Y15*(1+Inputs!$B$33/100))+MIN((Skills!Y15*(1+Inputs!$B$33/100)),MAX(0,Inputs!$B$35-((S895-1)*Skills!D15))))/Inputs!$B$35),IF(Inputs!$B$4="pvp",MIN((Skills!Y15*(1+Inputs!$B$33/100)),15)/15,(Skills!Y15*(1+Inputs!$B$33/100))/Skills!D15)))/100)*(1+((C886=TRUE)*F886*B914)/100))*B922*I893)</f>
        <v/>
      </c>
      <c r="L893">
        <f>K893*(MIN(Inputs!$B$21+((C904=TRUE)*(F904-Calc!F24)),Inputs!$B$22)/100+Inputs!$B$22/100)/2</f>
        <v/>
      </c>
      <c r="M893">
        <f>L893*(1+(Inputs!$B$9+((C906=TRUE)*(F906-Calc!F26))+B923)/100)</f>
        <v/>
      </c>
      <c r="N893">
        <f>L893*(1-MIN((Inputs!$B$8+((C905=TRUE)*(F905-Calc!F25))+B920),100)/100)+M893*(MIN((Inputs!$B$8+((C905=TRUE)*(F905-Calc!F25))+B920),100)/100)</f>
        <v/>
      </c>
      <c r="O893">
        <f>IF(C893,H893*N893*IF(AND(Inputs!$B$4&lt;&gt;"pvp",Inputs!$B$35&gt;0),((Skills!G13*((R893-1)*IF(Skills!H13&gt;0,Skills!I13/Skills!H13,1)+IF(Skills!H13&gt;0,MIN(Skills!I13,MAX(0,Inputs!$B$35-((R893-1)*IF(Inputs!$B$4="pvp",15,MAX(0.1,Skills!D13-IF(Skills!E13=TRUE,Inputs!$B$31,0))))))/Skills!H13,1)))/Inputs!$B$35),G893*Q893)*IF(Inputs!$B$4="pvp",1,(1-Summary!$B$55)*(1)+Summary!$B$55*(MIN(Skills!W13,Inputs!$B$37))),0)</f>
        <v/>
      </c>
      <c r="P893">
        <f>IF(B924=0,0,O893/B924)</f>
        <v/>
      </c>
      <c r="Q893">
        <f>IFERROR(1/IF(Inputs!$B$4="pvp",15,MAX(0.1,Skills!D13-IF(Skills!E13=TRUE,Inputs!$B$31,0))),0)</f>
        <v/>
      </c>
      <c r="R893">
        <f>IF(AND(Inputs!$B$4&lt;&gt;"pvp",Inputs!$B$35&gt;0),(INT(Inputs!$B$35/IF(Inputs!$B$4="pvp",15,MAX(0.1,Skills!D13-IF(Skills!E13=TRUE,Inputs!$B$31,0))))+1),0)</f>
        <v/>
      </c>
      <c r="S893">
        <f>IFERROR(O893/N893,0)</f>
        <v/>
      </c>
    </row>
    <row r="894">
      <c r="A894">
        <f>Skills!A14</f>
        <v/>
      </c>
      <c r="B894">
        <f>Skills!B14</f>
        <v/>
      </c>
      <c r="C894">
        <f>Inputs!$B$3&gt;=105</f>
        <v/>
      </c>
      <c r="D894">
        <f>IF(Skills!C14=1,60+Inputs!$B$24+Inputs!$B$28,IF(Skills!C14=2,90+Inputs!$B$25+Inputs!$B$28,IF(Skills!C14=3,120+(Inputs!$B$26+1)+Inputs!$B$28,MAX(0,(Inputs!$B$3-100)*3)+Inputs!$B$27+Inputs!$B$28)))</f>
        <v/>
      </c>
      <c r="E894">
        <f>INDEX(FactorTable!$B$2:$Y$301, MATCH(ROUND(MIN(300,MAX(1,D894)),0), FactorTable!$A$2:$A$301,0), Skills!M14+1)</f>
        <v/>
      </c>
      <c r="F894">
        <f>IF(Skills!N14=TRUE,(Skills!L14/10)*(E894/1000),Skills!L14/10)+Skills!O14</f>
        <v/>
      </c>
      <c r="G894">
        <f>Calc!G14</f>
        <v/>
      </c>
      <c r="H894">
        <f>Calc!H14</f>
        <v/>
      </c>
      <c r="I894">
        <f>IF(Skills!AA14&lt;&gt;"",1+(Skills!AA14/10)*(U883/1000)/100,1)</f>
        <v/>
      </c>
      <c r="J894">
        <f>(Inputs!$B$5*(1+Inputs!$B$6/100))*(F894/100)</f>
        <v/>
      </c>
      <c r="K894">
        <f>J894*(1+((Inputs!$B$11*(1+Inputs!$B$12/100))*0.01+Inputs!$B$13*0.0025)/100)*(1+Inputs!$B$14/100)*(1+IF(Inputs!$B$4="pvp",0,(1-Summary!$B$55)*(Inputs!$B$19+((C907=TRUE)*(F907-Calc!F27))+Skills!P14+B921)+Summary!$B$55*(Inputs!$B$20+Skills!Q14+B921))/100)*(1+Inputs!$B$15/100)*(5000/(6000+Inputs!$B$7*(1-Inputs!$B$18/100)))*(1+(Inputs!$B$23+((C910=TRUE)*(F910-Calc!F30)))/100)*(1+Skills!R14/100)*(1+(IF(Skills!A14="SHOWDOWN",Inputs!$B$16+((C903=TRUE)*(F903-Calc!F23)),Inputs!$B$17+((C909=TRUE)*(F909-Calc!F29))))/100)*(((1+(((C901=TRUE)*F901*IF(AND(Inputs!$B$4&lt;&gt;"pvp",Inputs!$B$35&gt;0),(((S901-1)*(Skills!Y21*(1+Inputs!$B$33/100))+MIN((Skills!Y21*(1+Inputs!$B$33/100)),MAX(0,Inputs!$B$35-((S901-1)*Skills!D21))))/Inputs!$B$35),IF(Inputs!$B$4="pvp",MIN((Skills!Y21*(1+Inputs!$B$33/100)),15)/15,(Skills!Y21*(1+Inputs!$B$33/100))/Skills!D21)))+((C908=TRUE)*(F908-Calc!F28))+((C898=TRUE)*(F898-Calc!F18)))/100)*(1+((C895=TRUE)*F895*IF(AND(Inputs!$B$4&lt;&gt;"pvp",Inputs!$B$35&gt;0),(((S895-1)*(Skills!Y15*(1+Inputs!$B$33/100))+MIN((Skills!Y15*(1+Inputs!$B$33/100)),MAX(0,Inputs!$B$35-((S895-1)*Skills!D15))))/Inputs!$B$35),IF(Inputs!$B$4="pvp",MIN((Skills!Y15*(1+Inputs!$B$33/100)),15)/15,(Skills!Y15*(1+Inputs!$B$33/100))/Skills!D15)))/100)*(1+((C886=TRUE)*F886*B914)/100))*B922*I894)</f>
        <v/>
      </c>
      <c r="L894">
        <f>K894*(MIN(Inputs!$B$21+((C904=TRUE)*(F904-Calc!F24)),Inputs!$B$22)/100+Inputs!$B$22/100)/2</f>
        <v/>
      </c>
      <c r="M894">
        <f>L894*(1+(Inputs!$B$9+((C906=TRUE)*(F906-Calc!F26))+B923)/100)</f>
        <v/>
      </c>
      <c r="N894">
        <f>L894*(1-MIN((Inputs!$B$8+((C905=TRUE)*(F905-Calc!F25))+B920),100)/100)+M894*(MIN((Inputs!$B$8+((C905=TRUE)*(F905-Calc!F25))+B920),100)/100)</f>
        <v/>
      </c>
      <c r="O894">
        <f>IF(C894,H894*N894*IF(AND(Inputs!$B$4&lt;&gt;"pvp",Inputs!$B$35&gt;0),((Skills!G14*((R894-1)*IF(Skills!H14&gt;0,Skills!I14/Skills!H14,1)+IF(Skills!H14&gt;0,MIN(Skills!I14,MAX(0,Inputs!$B$35-((R894-1)*IF(Inputs!$B$4="pvp",15,MAX(0.1,Skills!D14-IF(Skills!E14=TRUE,Inputs!$B$31,0))))))/Skills!H14,1)))/Inputs!$B$35),G894*Q894)*IF(Inputs!$B$4="pvp",1,(1-Summary!$B$55)*(1)+Summary!$B$55*(MIN(Skills!W14,Inputs!$B$37))),0)</f>
        <v/>
      </c>
      <c r="P894">
        <f>IF(B924=0,0,O894/B924)</f>
        <v/>
      </c>
      <c r="Q894">
        <f>IFERROR(1/IF(Inputs!$B$4="pvp",15,MAX(0.1,Skills!D14-IF(Skills!E14=TRUE,Inputs!$B$31,0))),0)</f>
        <v/>
      </c>
      <c r="R894">
        <f>IF(AND(Inputs!$B$4&lt;&gt;"pvp",Inputs!$B$35&gt;0),(INT(Inputs!$B$35/IF(Inputs!$B$4="pvp",15,MAX(0.1,Skills!D14-IF(Skills!E14=TRUE,Inputs!$B$31,0))))+1),0)</f>
        <v/>
      </c>
      <c r="S894">
        <f>IFERROR(O894/N894,0)</f>
        <v/>
      </c>
    </row>
    <row r="895">
      <c r="A895">
        <f>Skills!A15</f>
        <v/>
      </c>
      <c r="B895">
        <f>Skills!B15</f>
        <v/>
      </c>
      <c r="C895">
        <f>Inputs!$B$3&gt;=110</f>
        <v/>
      </c>
      <c r="D895">
        <f>IF(Skills!C15=1,60+Inputs!$B$24+Inputs!$B$28,IF(Skills!C15=2,90+Inputs!$B$25+Inputs!$B$28,IF(Skills!C15=3,120+(Inputs!$B$26+1)+Inputs!$B$28,MAX(0,(Inputs!$B$3-100)*3)+Inputs!$B$27+Inputs!$B$28)))</f>
        <v/>
      </c>
      <c r="E895">
        <f>INDEX(FactorTable!$B$2:$Y$301, MATCH(ROUND(MIN(300,MAX(1,D895)),0), FactorTable!$A$2:$A$301,0), Skills!M15+1)</f>
        <v/>
      </c>
      <c r="F895">
        <f>IF(Skills!N15=TRUE,(Skills!L15/10)*(E895/1000),Skills!L15/10)+Skills!O15</f>
        <v/>
      </c>
      <c r="G895">
        <f>Calc!G15</f>
        <v/>
      </c>
      <c r="H895">
        <f>Calc!H15</f>
        <v/>
      </c>
      <c r="I895">
        <f>IF(Skills!AA15&lt;&gt;"",1+(Skills!AA15/10)*(U883/1000)/100,1)</f>
        <v/>
      </c>
      <c r="J895" t="inlineStr"/>
      <c r="K895" t="inlineStr"/>
      <c r="L895" t="inlineStr"/>
      <c r="M895" t="inlineStr"/>
      <c r="N895" t="inlineStr"/>
      <c r="O895" t="n">
        <v>0</v>
      </c>
      <c r="P895">
        <f>IF(B924=0,0,O895/B924)</f>
        <v/>
      </c>
      <c r="Q895">
        <f>IFERROR(1/IF(Inputs!$B$4="pvp",15,MAX(0.1,Skills!D15-IF(Skills!E15=TRUE,Inputs!$B$31,0))),0)</f>
        <v/>
      </c>
      <c r="R895">
        <f>IF(AND(Inputs!$B$4&lt;&gt;"pvp",Inputs!$B$35&gt;0),(INT(Inputs!$B$35/IF(Inputs!$B$4="pvp",15,MAX(0.1,Skills!D15-IF(Skills!E15=TRUE,Inputs!$B$31,0))))+1),0)</f>
        <v/>
      </c>
      <c r="S895">
        <f>IFERROR(O895/N895,0)</f>
        <v/>
      </c>
    </row>
    <row r="896">
      <c r="A896">
        <f>Skills!A16</f>
        <v/>
      </c>
      <c r="B896">
        <f>Skills!B16</f>
        <v/>
      </c>
      <c r="C896">
        <f>Inputs!$B$3&gt;=110</f>
        <v/>
      </c>
      <c r="D896">
        <f>IF(Skills!C16=1,60+Inputs!$B$24+Inputs!$B$28,IF(Skills!C16=2,90+Inputs!$B$25+Inputs!$B$28,IF(Skills!C16=3,120+(Inputs!$B$26+1)+Inputs!$B$28,MAX(0,(Inputs!$B$3-100)*3)+Inputs!$B$27+Inputs!$B$28)))</f>
        <v/>
      </c>
      <c r="E896">
        <f>INDEX(FactorTable!$B$2:$Y$301, MATCH(ROUND(MIN(300,MAX(1,D896)),0), FactorTable!$A$2:$A$301,0), Skills!M16+1)</f>
        <v/>
      </c>
      <c r="F896">
        <f>IF(Skills!N16=TRUE,(Skills!L16/10)*(E896/1000),Skills!L16/10)+Skills!O16</f>
        <v/>
      </c>
      <c r="G896">
        <f>Calc!G16</f>
        <v/>
      </c>
      <c r="H896">
        <f>Calc!H16</f>
        <v/>
      </c>
      <c r="I896">
        <f>IF(Skills!AA16&lt;&gt;"",1+(Skills!AA16/10)*(U883/1000)/100,1)</f>
        <v/>
      </c>
      <c r="J896" t="inlineStr"/>
      <c r="K896" t="inlineStr"/>
      <c r="L896" t="inlineStr"/>
      <c r="M896" t="inlineStr"/>
      <c r="N896" t="inlineStr"/>
      <c r="O896" t="n">
        <v>0</v>
      </c>
      <c r="P896">
        <f>IF(B924=0,0,O896/B924)</f>
        <v/>
      </c>
      <c r="Q896">
        <f>IFERROR(1/IF(Inputs!$B$4="pvp",15,MAX(0.1,Skills!D16-IF(Skills!E16=TRUE,Inputs!$B$31,0))),0)</f>
        <v/>
      </c>
      <c r="R896">
        <f>IF(AND(Inputs!$B$4&lt;&gt;"pvp",Inputs!$B$35&gt;0),(INT(Inputs!$B$35/IF(Inputs!$B$4="pvp",15,MAX(0.1,Skills!D16-IF(Skills!E16=TRUE,Inputs!$B$31,0))))+1),0)</f>
        <v/>
      </c>
      <c r="S896">
        <f>IFERROR(O896/N896,0)</f>
        <v/>
      </c>
    </row>
    <row r="897">
      <c r="A897">
        <f>Skills!A17</f>
        <v/>
      </c>
      <c r="B897">
        <f>Skills!B17</f>
        <v/>
      </c>
      <c r="C897">
        <f>Inputs!$B$3&gt;=115</f>
        <v/>
      </c>
      <c r="D897">
        <f>IF(Skills!C17=1,60+Inputs!$B$24+Inputs!$B$28,IF(Skills!C17=2,90+Inputs!$B$25+Inputs!$B$28,IF(Skills!C17=3,120+(Inputs!$B$26+1)+Inputs!$B$28,MAX(0,(Inputs!$B$3-100)*3)+Inputs!$B$27+Inputs!$B$28)))</f>
        <v/>
      </c>
      <c r="E897">
        <f>INDEX(FactorTable!$B$2:$Y$301, MATCH(ROUND(MIN(300,MAX(1,D897)),0), FactorTable!$A$2:$A$301,0), Skills!M17+1)</f>
        <v/>
      </c>
      <c r="F897">
        <f>IF(Skills!N17=TRUE,(Skills!L17/10)*(E897/1000),Skills!L17/10)+Skills!O17</f>
        <v/>
      </c>
      <c r="G897">
        <f>Calc!G17</f>
        <v/>
      </c>
      <c r="H897">
        <f>Calc!H17</f>
        <v/>
      </c>
      <c r="I897">
        <f>IF(Skills!AA17&lt;&gt;"",1+(Skills!AA17/10)*(U883/1000)/100,1)</f>
        <v/>
      </c>
      <c r="J897">
        <f>(Inputs!$B$5*(1+Inputs!$B$6/100))*(F897/100)</f>
        <v/>
      </c>
      <c r="K897">
        <f>J897*(1+((Inputs!$B$11*(1+Inputs!$B$12/100))*0.01+Inputs!$B$13*0.0025)/100)*(1+Inputs!$B$14/100)*(1+IF(Inputs!$B$4="pvp",0,(1-Summary!$B$55)*(Inputs!$B$19+((C907=TRUE)*(F907-Calc!F27))+Skills!P17+B921)+Summary!$B$55*(Inputs!$B$20+Skills!Q17+B921))/100)*(1+Inputs!$B$15/100)*(5000/(6000+Inputs!$B$7*(1-Inputs!$B$18/100)))*(1+(Inputs!$B$23+((C910=TRUE)*(F910-Calc!F30)))/100)*(1+Skills!R17/100)*(1+(IF(Skills!A17="SHOWDOWN",Inputs!$B$16+((C903=TRUE)*(F903-Calc!F23)),Inputs!$B$17+((C909=TRUE)*(F909-Calc!F29))))/100)*(((1+(((C901=TRUE)*F901*IF(AND(Inputs!$B$4&lt;&gt;"pvp",Inputs!$B$35&gt;0),(((S901-1)*(Skills!Y21*(1+Inputs!$B$33/100))+MIN((Skills!Y21*(1+Inputs!$B$33/100)),MAX(0,Inputs!$B$35-((S901-1)*Skills!D21))))/Inputs!$B$35),IF(Inputs!$B$4="pvp",MIN((Skills!Y21*(1+Inputs!$B$33/100)),15)/15,(Skills!Y21*(1+Inputs!$B$33/100))/Skills!D21)))+((C908=TRUE)*(F908-Calc!F28))+((C898=TRUE)*(F898-Calc!F18)))/100)*(1+((C895=TRUE)*F895*IF(AND(Inputs!$B$4&lt;&gt;"pvp",Inputs!$B$35&gt;0),(((S895-1)*(Skills!Y15*(1+Inputs!$B$33/100))+MIN((Skills!Y15*(1+Inputs!$B$33/100)),MAX(0,Inputs!$B$35-((S895-1)*Skills!D15))))/Inputs!$B$35),IF(Inputs!$B$4="pvp",MIN((Skills!Y15*(1+Inputs!$B$33/100)),15)/15,(Skills!Y15*(1+Inputs!$B$33/100))/Skills!D15)))/100)*(1+((C886=TRUE)*F886*B914)/100))*B922*I897)</f>
        <v/>
      </c>
      <c r="L897">
        <f>K897*(MIN(Inputs!$B$21+((C904=TRUE)*(F904-Calc!F24)),Inputs!$B$22)/100+Inputs!$B$22/100)/2</f>
        <v/>
      </c>
      <c r="M897">
        <f>L897*(1+(Inputs!$B$9+((C906=TRUE)*(F906-Calc!F26))+B923)/100)</f>
        <v/>
      </c>
      <c r="N897">
        <f>L897*(1-MIN((Inputs!$B$8+((C905=TRUE)*(F905-Calc!F25))+B920),100)/100)+M897*(MIN((Inputs!$B$8+((C905=TRUE)*(F905-Calc!F25))+B920),100)/100)</f>
        <v/>
      </c>
      <c r="O897">
        <f>IF(C897,Inputs!$B$38*0.2*N897,0)</f>
        <v/>
      </c>
      <c r="P897">
        <f>IF(B924=0,0,O897/B924)</f>
        <v/>
      </c>
      <c r="Q897" t="n">
        <v>0</v>
      </c>
      <c r="R897" t="n">
        <v>0</v>
      </c>
      <c r="S897">
        <f>IFERROR(O897/N897,0)</f>
        <v/>
      </c>
    </row>
    <row r="898">
      <c r="A898">
        <f>Skills!A18</f>
        <v/>
      </c>
      <c r="B898">
        <f>Skills!B18</f>
        <v/>
      </c>
      <c r="C898">
        <f>Inputs!$B$3&gt;=115</f>
        <v/>
      </c>
      <c r="D898">
        <f>IF(Skills!C18=1,60+Inputs!$B$24+Inputs!$B$28,IF(Skills!C18=2,90+Inputs!$B$25+Inputs!$B$28,IF(Skills!C18=3,120+(Inputs!$B$26+1)+Inputs!$B$28,MAX(0,(Inputs!$B$3-100)*3)+Inputs!$B$27+Inputs!$B$28)))</f>
        <v/>
      </c>
      <c r="E898">
        <f>INDEX(FactorTable!$B$2:$Y$301, MATCH(ROUND(MIN(300,MAX(1,D898)),0), FactorTable!$A$2:$A$301,0), Skills!M18+1)</f>
        <v/>
      </c>
      <c r="F898">
        <f>IF(Skills!N18=TRUE,(Skills!L18/10)*(E898/1000),Skills!L18/10)+Skills!O18</f>
        <v/>
      </c>
      <c r="G898">
        <f>Calc!G18</f>
        <v/>
      </c>
      <c r="H898">
        <f>Calc!H18</f>
        <v/>
      </c>
      <c r="I898">
        <f>IF(Skills!AA18&lt;&gt;"",1+(Skills!AA18/10)*(U883/1000)/100,1)</f>
        <v/>
      </c>
      <c r="J898" t="inlineStr"/>
      <c r="K898" t="inlineStr"/>
      <c r="L898" t="inlineStr"/>
      <c r="M898" t="inlineStr"/>
      <c r="N898" t="inlineStr"/>
      <c r="O898" t="n">
        <v>0</v>
      </c>
      <c r="P898">
        <f>IF(B924=0,0,O898/B924)</f>
        <v/>
      </c>
      <c r="Q898" t="n">
        <v>0</v>
      </c>
      <c r="R898" t="n">
        <v>0</v>
      </c>
      <c r="S898">
        <f>IFERROR(O898/N898,0)</f>
        <v/>
      </c>
    </row>
    <row r="899">
      <c r="A899">
        <f>Skills!A19</f>
        <v/>
      </c>
      <c r="B899">
        <f>Skills!B19</f>
        <v/>
      </c>
      <c r="C899">
        <f>TRUE</f>
        <v/>
      </c>
      <c r="D899">
        <f>IF(Skills!C19=1,60+Inputs!$B$24+Inputs!$B$28,IF(Skills!C19=2,90+Inputs!$B$25+Inputs!$B$28,IF(Skills!C19=3,120+(Inputs!$B$26+1)+Inputs!$B$28,MAX(0,(Inputs!$B$3-100)*3)+Inputs!$B$27+Inputs!$B$28)))</f>
        <v/>
      </c>
      <c r="E899">
        <f>INDEX(FactorTable!$B$2:$Y$301, MATCH(ROUND(MIN(300,MAX(1,D899)),0), FactorTable!$A$2:$A$301,0), Skills!M19+1)</f>
        <v/>
      </c>
      <c r="F899">
        <f>IF(Skills!N19=TRUE,(Skills!L19/10)*(E899/1000),Skills!L19/10)+Skills!O19</f>
        <v/>
      </c>
      <c r="G899">
        <f>Calc!G19</f>
        <v/>
      </c>
      <c r="H899">
        <f>Calc!H19</f>
        <v/>
      </c>
      <c r="I899">
        <f>IF(Skills!AA19&lt;&gt;"",1+(Skills!AA19/10)*(U883/1000)/100,1)</f>
        <v/>
      </c>
      <c r="J899" t="inlineStr"/>
      <c r="K899" t="inlineStr"/>
      <c r="L899" t="inlineStr"/>
      <c r="M899" t="inlineStr"/>
      <c r="N899" t="inlineStr"/>
      <c r="O899" t="n">
        <v>0</v>
      </c>
      <c r="P899">
        <f>IF(B924=0,0,O899/B924)</f>
        <v/>
      </c>
      <c r="Q899">
        <f>IFERROR(1/IF(Inputs!$B$4="pvp",15,MAX(0.1,Skills!D19-IF(Skills!E19=TRUE,Inputs!$B$31,0))),0)</f>
        <v/>
      </c>
      <c r="R899">
        <f>IF(AND(Inputs!$B$4&lt;&gt;"pvp",Inputs!$B$35&gt;0),(INT(Inputs!$B$35/IF(Inputs!$B$4="pvp",15,MAX(0.1,Skills!D19-IF(Skills!E19=TRUE,Inputs!$B$31,0))))+1),0)</f>
        <v/>
      </c>
      <c r="S899">
        <f>IFERROR(O899/N899,0)</f>
        <v/>
      </c>
    </row>
    <row r="900">
      <c r="A900">
        <f>Skills!A20</f>
        <v/>
      </c>
      <c r="B900">
        <f>Skills!B20</f>
        <v/>
      </c>
      <c r="C900">
        <f>Inputs!$B$3&gt;=15</f>
        <v/>
      </c>
      <c r="D900">
        <f>IF(Skills!C20=1,60+Inputs!$B$24+Inputs!$B$28,IF(Skills!C20=2,90+Inputs!$B$25+Inputs!$B$28,IF(Skills!C20=3,120+(Inputs!$B$26+1)+Inputs!$B$28,MAX(0,(Inputs!$B$3-100)*3)+Inputs!$B$27+Inputs!$B$28)))</f>
        <v/>
      </c>
      <c r="E900">
        <f>INDEX(FactorTable!$B$2:$Y$301, MATCH(ROUND(MIN(300,MAX(1,D900)),0), FactorTable!$A$2:$A$301,0), Skills!M20+1)</f>
        <v/>
      </c>
      <c r="F900">
        <f>IF(Skills!N20=TRUE,(Skills!L20/10)*(E900/1000),Skills!L20/10)+Skills!O20</f>
        <v/>
      </c>
      <c r="G900">
        <f>Calc!G20</f>
        <v/>
      </c>
      <c r="H900">
        <f>Calc!H20</f>
        <v/>
      </c>
      <c r="I900">
        <f>IF(Skills!AA20&lt;&gt;"",1+(Skills!AA20/10)*(U883/1000)/100,1)</f>
        <v/>
      </c>
      <c r="J900" t="inlineStr"/>
      <c r="K900" t="inlineStr"/>
      <c r="L900" t="inlineStr"/>
      <c r="M900" t="inlineStr"/>
      <c r="N900" t="inlineStr"/>
      <c r="O900" t="n">
        <v>0</v>
      </c>
      <c r="P900">
        <f>IF(B924=0,0,O900/B924)</f>
        <v/>
      </c>
      <c r="Q900">
        <f>IFERROR(1/IF(Inputs!$B$4="pvp",15,MAX(0.1,Skills!D20-IF(Skills!E20=TRUE,Inputs!$B$31,0))),0)</f>
        <v/>
      </c>
      <c r="R900">
        <f>IF(AND(Inputs!$B$4&lt;&gt;"pvp",Inputs!$B$35&gt;0),(INT(Inputs!$B$35/IF(Inputs!$B$4="pvp",15,MAX(0.1,Skills!D20-IF(Skills!E20=TRUE,Inputs!$B$31,0))))+1),0)</f>
        <v/>
      </c>
      <c r="S900">
        <f>IFERROR(O900/N900,0)</f>
        <v/>
      </c>
    </row>
    <row r="901">
      <c r="A901">
        <f>Skills!A21</f>
        <v/>
      </c>
      <c r="B901">
        <f>Skills!B21</f>
        <v/>
      </c>
      <c r="C901">
        <f>Inputs!$B$3&gt;=15</f>
        <v/>
      </c>
      <c r="D901">
        <f>IF(Skills!C21=1,60+Inputs!$B$24+Inputs!$B$28,IF(Skills!C21=2,90+Inputs!$B$25+Inputs!$B$28,IF(Skills!C21=3,120+(Inputs!$B$26+1)+Inputs!$B$28,MAX(0,(Inputs!$B$3-100)*3)+Inputs!$B$27+Inputs!$B$28)))</f>
        <v/>
      </c>
      <c r="E901">
        <f>INDEX(FactorTable!$B$2:$Y$301, MATCH(ROUND(MIN(300,MAX(1,D901)),0), FactorTable!$A$2:$A$301,0), Skills!M21+1)</f>
        <v/>
      </c>
      <c r="F901">
        <f>IF(Skills!N21=TRUE,(Skills!L21/10)*(E901/1000),Skills!L21/10)+Skills!O21</f>
        <v/>
      </c>
      <c r="G901">
        <f>Calc!G21</f>
        <v/>
      </c>
      <c r="H901">
        <f>Calc!H21</f>
        <v/>
      </c>
      <c r="I901">
        <f>IF(Skills!AA21&lt;&gt;"",1+(Skills!AA21/10)*(U883/1000)/100,1)</f>
        <v/>
      </c>
      <c r="J901" t="inlineStr"/>
      <c r="K901" t="inlineStr"/>
      <c r="L901" t="inlineStr"/>
      <c r="M901" t="inlineStr"/>
      <c r="N901" t="inlineStr"/>
      <c r="O901" t="n">
        <v>0</v>
      </c>
      <c r="P901">
        <f>IF(B924=0,0,O901/B924)</f>
        <v/>
      </c>
      <c r="Q901">
        <f>IFERROR(1/IF(Inputs!$B$4="pvp",15,MAX(0.1,Skills!D21-IF(Skills!E21=TRUE,Inputs!$B$31,0))),0)</f>
        <v/>
      </c>
      <c r="R901">
        <f>IF(AND(Inputs!$B$4&lt;&gt;"pvp",Inputs!$B$35&gt;0),(INT(Inputs!$B$35/IF(Inputs!$B$4="pvp",15,MAX(0.1,Skills!D21-IF(Skills!E21=TRUE,Inputs!$B$31,0))))+1),0)</f>
        <v/>
      </c>
      <c r="S901">
        <f>IFERROR(O901/N901,0)</f>
        <v/>
      </c>
    </row>
    <row r="902">
      <c r="A902">
        <f>Skills!A22</f>
        <v/>
      </c>
      <c r="B902">
        <f>Skills!B22</f>
        <v/>
      </c>
      <c r="C902">
        <f>Inputs!$B$3&gt;=33</f>
        <v/>
      </c>
      <c r="D902">
        <f>IF(Skills!C22=1,60+Inputs!$B$24+Inputs!$B$28,IF(Skills!C22=2,90+Inputs!$B$25+Inputs!$B$28,IF(Skills!C22=3,120+(Inputs!$B$26+1)+Inputs!$B$28,MAX(0,(Inputs!$B$3-100)*3)+Inputs!$B$27+Inputs!$B$28)))</f>
        <v/>
      </c>
      <c r="E902">
        <f>INDEX(FactorTable!$B$2:$Y$301, MATCH(ROUND(MIN(300,MAX(1,D902)),0), FactorTable!$A$2:$A$301,0), Skills!M22+1)</f>
        <v/>
      </c>
      <c r="F902">
        <f>IF(Skills!N22=TRUE,(Skills!L22/10)*(E902/1000),Skills!L22/10)+Skills!O22</f>
        <v/>
      </c>
      <c r="G902">
        <f>Calc!G22</f>
        <v/>
      </c>
      <c r="H902">
        <f>Calc!H22</f>
        <v/>
      </c>
      <c r="I902">
        <f>IF(Skills!AA22&lt;&gt;"",1+(Skills!AA22/10)*(U883/1000)/100,1)</f>
        <v/>
      </c>
      <c r="J902" t="inlineStr"/>
      <c r="K902" t="inlineStr"/>
      <c r="L902" t="inlineStr"/>
      <c r="M902" t="inlineStr"/>
      <c r="N902" t="inlineStr"/>
      <c r="O902" t="n">
        <v>0</v>
      </c>
      <c r="P902">
        <f>IF(B924=0,0,O902/B924)</f>
        <v/>
      </c>
      <c r="Q902" t="n">
        <v>0</v>
      </c>
      <c r="R902" t="n">
        <v>0</v>
      </c>
      <c r="S902">
        <f>IFERROR(O902/N902,0)</f>
        <v/>
      </c>
    </row>
    <row r="903">
      <c r="A903">
        <f>Skills!A23</f>
        <v/>
      </c>
      <c r="B903">
        <f>Skills!B23</f>
        <v/>
      </c>
      <c r="C903">
        <f>Inputs!$B$3&gt;=38</f>
        <v/>
      </c>
      <c r="D903">
        <f>IF(Skills!C23=1,60+Inputs!$B$24+Inputs!$B$28,IF(Skills!C23=2,90+Inputs!$B$25+Inputs!$B$28,IF(Skills!C23=3,120+(Inputs!$B$26+1)+Inputs!$B$28,MAX(0,(Inputs!$B$3-100)*3)+Inputs!$B$27+Inputs!$B$28)))</f>
        <v/>
      </c>
      <c r="E903">
        <f>INDEX(FactorTable!$B$2:$Y$301, MATCH(ROUND(MIN(300,MAX(1,D903)),0), FactorTable!$A$2:$A$301,0), Skills!M23+1)</f>
        <v/>
      </c>
      <c r="F903">
        <f>IF(Skills!N23=TRUE,(Skills!L23/10)*(E903/1000),Skills!L23/10)+Skills!O23</f>
        <v/>
      </c>
      <c r="G903">
        <f>Calc!G23</f>
        <v/>
      </c>
      <c r="H903">
        <f>Calc!H23</f>
        <v/>
      </c>
      <c r="I903">
        <f>IF(Skills!AA23&lt;&gt;"",1+(Skills!AA23/10)*(U883/1000)/100,1)</f>
        <v/>
      </c>
      <c r="J903" t="inlineStr"/>
      <c r="K903" t="inlineStr"/>
      <c r="L903" t="inlineStr"/>
      <c r="M903" t="inlineStr"/>
      <c r="N903" t="inlineStr"/>
      <c r="O903" t="n">
        <v>0</v>
      </c>
      <c r="P903">
        <f>IF(B924=0,0,O903/B924)</f>
        <v/>
      </c>
      <c r="Q903" t="n">
        <v>0</v>
      </c>
      <c r="R903" t="n">
        <v>0</v>
      </c>
      <c r="S903">
        <f>IFERROR(O903/N903,0)</f>
        <v/>
      </c>
    </row>
    <row r="904">
      <c r="A904">
        <f>Skills!A24</f>
        <v/>
      </c>
      <c r="B904">
        <f>Skills!B24</f>
        <v/>
      </c>
      <c r="C904">
        <f>Inputs!$B$3&gt;=40</f>
        <v/>
      </c>
      <c r="D904">
        <f>IF(Skills!C24=1,60+Inputs!$B$24+Inputs!$B$28,IF(Skills!C24=2,90+Inputs!$B$25+Inputs!$B$28,IF(Skills!C24=3,120+(Inputs!$B$26+1)+Inputs!$B$28,MAX(0,(Inputs!$B$3-100)*3)+Inputs!$B$27+Inputs!$B$28)))</f>
        <v/>
      </c>
      <c r="E904">
        <f>INDEX(FactorTable!$B$2:$Y$301, MATCH(ROUND(MIN(300,MAX(1,D904)),0), FactorTable!$A$2:$A$301,0), Skills!M24+1)</f>
        <v/>
      </c>
      <c r="F904">
        <f>IF(Skills!N24=TRUE,(Skills!L24/10)*(E904/1000),Skills!L24/10)+Skills!O24</f>
        <v/>
      </c>
      <c r="G904">
        <f>Calc!G24</f>
        <v/>
      </c>
      <c r="H904">
        <f>Calc!H24</f>
        <v/>
      </c>
      <c r="I904">
        <f>IF(Skills!AA24&lt;&gt;"",1+(Skills!AA24/10)*(U883/1000)/100,1)</f>
        <v/>
      </c>
      <c r="J904" t="inlineStr"/>
      <c r="K904" t="inlineStr"/>
      <c r="L904" t="inlineStr"/>
      <c r="M904" t="inlineStr"/>
      <c r="N904" t="inlineStr"/>
      <c r="O904" t="n">
        <v>0</v>
      </c>
      <c r="P904">
        <f>IF(B924=0,0,O904/B924)</f>
        <v/>
      </c>
      <c r="Q904" t="n">
        <v>0</v>
      </c>
      <c r="R904" t="n">
        <v>0</v>
      </c>
      <c r="S904">
        <f>IFERROR(O904/N904,0)</f>
        <v/>
      </c>
    </row>
    <row r="905">
      <c r="A905">
        <f>Skills!A25</f>
        <v/>
      </c>
      <c r="B905">
        <f>Skills!B25</f>
        <v/>
      </c>
      <c r="C905">
        <f>Inputs!$B$3&gt;=45</f>
        <v/>
      </c>
      <c r="D905">
        <f>IF(Skills!C25=1,60+Inputs!$B$24+Inputs!$B$28,IF(Skills!C25=2,90+Inputs!$B$25+Inputs!$B$28,IF(Skills!C25=3,120+(Inputs!$B$26+1)+Inputs!$B$28,MAX(0,(Inputs!$B$3-100)*3)+Inputs!$B$27+Inputs!$B$28)))</f>
        <v/>
      </c>
      <c r="E905">
        <f>INDEX(FactorTable!$B$2:$Y$301, MATCH(ROUND(MIN(300,MAX(1,D905)),0), FactorTable!$A$2:$A$301,0), Skills!M25+1)</f>
        <v/>
      </c>
      <c r="F905">
        <f>IF(Skills!N25=TRUE,(Skills!L25/10)*(E905/1000),Skills!L25/10)+Skills!O25</f>
        <v/>
      </c>
      <c r="G905">
        <f>Calc!G25</f>
        <v/>
      </c>
      <c r="H905">
        <f>Calc!H25</f>
        <v/>
      </c>
      <c r="I905">
        <f>IF(Skills!AA25&lt;&gt;"",1+(Skills!AA25/10)*(U883/1000)/100,1)</f>
        <v/>
      </c>
      <c r="J905" t="inlineStr"/>
      <c r="K905" t="inlineStr"/>
      <c r="L905" t="inlineStr"/>
      <c r="M905" t="inlineStr"/>
      <c r="N905" t="inlineStr"/>
      <c r="O905" t="n">
        <v>0</v>
      </c>
      <c r="P905">
        <f>IF(B924=0,0,O905/B924)</f>
        <v/>
      </c>
      <c r="Q905" t="n">
        <v>0</v>
      </c>
      <c r="R905" t="n">
        <v>0</v>
      </c>
      <c r="S905">
        <f>IFERROR(O905/N905,0)</f>
        <v/>
      </c>
    </row>
    <row r="906">
      <c r="A906">
        <f>Skills!A26</f>
        <v/>
      </c>
      <c r="B906">
        <f>Skills!B26</f>
        <v/>
      </c>
      <c r="C906">
        <f>Inputs!$B$3&gt;=45</f>
        <v/>
      </c>
      <c r="D906">
        <f>IF(Skills!C26=1,60+Inputs!$B$24+Inputs!$B$28,IF(Skills!C26=2,90+Inputs!$B$25+Inputs!$B$28,IF(Skills!C26=3,120+(Inputs!$B$26+1)+Inputs!$B$28,MAX(0,(Inputs!$B$3-100)*3)+Inputs!$B$27+Inputs!$B$28)))</f>
        <v/>
      </c>
      <c r="E906">
        <f>INDEX(FactorTable!$B$2:$Y$301, MATCH(ROUND(MIN(300,MAX(1,D906)),0), FactorTable!$A$2:$A$301,0), Skills!M26+1)</f>
        <v/>
      </c>
      <c r="F906">
        <f>IF(Skills!N26=TRUE,(Skills!L26/10)*(E906/1000),Skills!L26/10)+Skills!O26</f>
        <v/>
      </c>
      <c r="G906">
        <f>Calc!G26</f>
        <v/>
      </c>
      <c r="H906">
        <f>Calc!H26</f>
        <v/>
      </c>
      <c r="I906">
        <f>IF(Skills!AA26&lt;&gt;"",1+(Skills!AA26/10)*(U883/1000)/100,1)</f>
        <v/>
      </c>
      <c r="J906" t="inlineStr"/>
      <c r="K906" t="inlineStr"/>
      <c r="L906" t="inlineStr"/>
      <c r="M906" t="inlineStr"/>
      <c r="N906" t="inlineStr"/>
      <c r="O906" t="n">
        <v>0</v>
      </c>
      <c r="P906">
        <f>IF(B924=0,0,O906/B924)</f>
        <v/>
      </c>
      <c r="Q906" t="n">
        <v>0</v>
      </c>
      <c r="R906" t="n">
        <v>0</v>
      </c>
      <c r="S906">
        <f>IFERROR(O906/N906,0)</f>
        <v/>
      </c>
    </row>
    <row r="907">
      <c r="A907">
        <f>Skills!A27</f>
        <v/>
      </c>
      <c r="B907">
        <f>Skills!B27</f>
        <v/>
      </c>
      <c r="C907">
        <f>Inputs!$B$3&gt;=72</f>
        <v/>
      </c>
      <c r="D907">
        <f>IF(Skills!C27=1,60+Inputs!$B$24+Inputs!$B$28,IF(Skills!C27=2,90+Inputs!$B$25+Inputs!$B$28,IF(Skills!C27=3,120+(Inputs!$B$26+1)+Inputs!$B$28,MAX(0,(Inputs!$B$3-100)*3)+Inputs!$B$27+Inputs!$B$28)))</f>
        <v/>
      </c>
      <c r="E907">
        <f>INDEX(FactorTable!$B$2:$Y$301, MATCH(ROUND(MIN(300,MAX(1,D907)),0), FactorTable!$A$2:$A$301,0), Skills!M27+1)</f>
        <v/>
      </c>
      <c r="F907">
        <f>IF(Skills!N27=TRUE,(Skills!L27/10)*(E907/1000),Skills!L27/10)+Skills!O27</f>
        <v/>
      </c>
      <c r="G907">
        <f>Calc!G27</f>
        <v/>
      </c>
      <c r="H907">
        <f>Calc!H27</f>
        <v/>
      </c>
      <c r="I907">
        <f>IF(Skills!AA27&lt;&gt;"",1+(Skills!AA27/10)*(U883/1000)/100,1)</f>
        <v/>
      </c>
      <c r="J907" t="inlineStr"/>
      <c r="K907" t="inlineStr"/>
      <c r="L907" t="inlineStr"/>
      <c r="M907" t="inlineStr"/>
      <c r="N907" t="inlineStr"/>
      <c r="O907" t="n">
        <v>0</v>
      </c>
      <c r="P907">
        <f>IF(B924=0,0,O907/B924)</f>
        <v/>
      </c>
      <c r="Q907" t="n">
        <v>0</v>
      </c>
      <c r="R907" t="n">
        <v>0</v>
      </c>
      <c r="S907">
        <f>IFERROR(O907/N907,0)</f>
        <v/>
      </c>
    </row>
    <row r="908">
      <c r="A908">
        <f>Skills!A28</f>
        <v/>
      </c>
      <c r="B908">
        <f>Skills!B28</f>
        <v/>
      </c>
      <c r="C908">
        <f>Inputs!$B$3&gt;=75</f>
        <v/>
      </c>
      <c r="D908">
        <f>IF(Skills!C28=1,60+Inputs!$B$24+Inputs!$B$28,IF(Skills!C28=2,90+Inputs!$B$25+Inputs!$B$28,IF(Skills!C28=3,120+(Inputs!$B$26+1)+Inputs!$B$28,MAX(0,(Inputs!$B$3-100)*3)+Inputs!$B$27+Inputs!$B$28)))</f>
        <v/>
      </c>
      <c r="E908">
        <f>INDEX(FactorTable!$B$2:$Y$301, MATCH(ROUND(MIN(300,MAX(1,D908)),0), FactorTable!$A$2:$A$301,0), Skills!M28+1)</f>
        <v/>
      </c>
      <c r="F908">
        <f>IF(Skills!N28=TRUE,(Skills!L28/10)*(E908/1000),Skills!L28/10)+Skills!O28</f>
        <v/>
      </c>
      <c r="G908">
        <f>Calc!G28</f>
        <v/>
      </c>
      <c r="H908">
        <f>Calc!H28</f>
        <v/>
      </c>
      <c r="I908">
        <f>IF(Skills!AA28&lt;&gt;"",1+(Skills!AA28/10)*(U883/1000)/100,1)</f>
        <v/>
      </c>
      <c r="J908" t="inlineStr"/>
      <c r="K908" t="inlineStr"/>
      <c r="L908" t="inlineStr"/>
      <c r="M908" t="inlineStr"/>
      <c r="N908" t="inlineStr"/>
      <c r="O908" t="n">
        <v>0</v>
      </c>
      <c r="P908">
        <f>IF(B924=0,0,O908/B924)</f>
        <v/>
      </c>
      <c r="Q908" t="n">
        <v>0</v>
      </c>
      <c r="R908" t="n">
        <v>0</v>
      </c>
      <c r="S908">
        <f>IFERROR(O908/N908,0)</f>
        <v/>
      </c>
    </row>
    <row r="909">
      <c r="A909">
        <f>Skills!A29</f>
        <v/>
      </c>
      <c r="B909">
        <f>Skills!B29</f>
        <v/>
      </c>
      <c r="C909">
        <f>Inputs!$B$3&gt;=120</f>
        <v/>
      </c>
      <c r="D909">
        <f>IF(Skills!C29=1,60+Inputs!$B$24+Inputs!$B$28,IF(Skills!C29=2,90+Inputs!$B$25+Inputs!$B$28,IF(Skills!C29=3,120+(Inputs!$B$26+1)+Inputs!$B$28,MAX(0,(Inputs!$B$3-100)*3)+Inputs!$B$27+Inputs!$B$28)))</f>
        <v/>
      </c>
      <c r="E909">
        <f>INDEX(FactorTable!$B$2:$Y$301, MATCH(ROUND(MIN(300,MAX(1,D909)),0), FactorTable!$A$2:$A$301,0), Skills!M29+1)</f>
        <v/>
      </c>
      <c r="F909">
        <f>IF(Skills!N29=TRUE,(Skills!L29/10)*(E909/1000),Skills!L29/10)+Skills!O29</f>
        <v/>
      </c>
      <c r="G909">
        <f>Calc!G29</f>
        <v/>
      </c>
      <c r="H909">
        <f>Calc!H29</f>
        <v/>
      </c>
      <c r="I909">
        <f>IF(Skills!AA29&lt;&gt;"",1+(Skills!AA29/10)*(U883/1000)/100,1)</f>
        <v/>
      </c>
      <c r="J909" t="inlineStr"/>
      <c r="K909" t="inlineStr"/>
      <c r="L909" t="inlineStr"/>
      <c r="M909" t="inlineStr"/>
      <c r="N909" t="inlineStr"/>
      <c r="O909" t="n">
        <v>0</v>
      </c>
      <c r="P909">
        <f>IF(B924=0,0,O909/B924)</f>
        <v/>
      </c>
      <c r="Q909" t="n">
        <v>0</v>
      </c>
      <c r="R909" t="n">
        <v>0</v>
      </c>
      <c r="S909">
        <f>IFERROR(O909/N909,0)</f>
        <v/>
      </c>
    </row>
    <row r="910">
      <c r="A910">
        <f>Skills!A30</f>
        <v/>
      </c>
      <c r="B910">
        <f>Skills!B30</f>
        <v/>
      </c>
      <c r="C910">
        <f>Inputs!$B$3&gt;=125</f>
        <v/>
      </c>
      <c r="D910">
        <f>IF(Skills!C30=1,60+Inputs!$B$24+Inputs!$B$28,IF(Skills!C30=2,90+Inputs!$B$25+Inputs!$B$28,IF(Skills!C30=3,120+(Inputs!$B$26+1)+Inputs!$B$28,MAX(0,(Inputs!$B$3-100)*3)+Inputs!$B$27+Inputs!$B$28)))</f>
        <v/>
      </c>
      <c r="E910">
        <f>INDEX(FactorTable!$B$2:$Y$301, MATCH(ROUND(MIN(300,MAX(1,D910)),0), FactorTable!$A$2:$A$301,0), Skills!M30+1)</f>
        <v/>
      </c>
      <c r="F910">
        <f>IF(Skills!N30=TRUE,(Skills!L30/10)*(E910/1000),Skills!L30/10)+Skills!O30</f>
        <v/>
      </c>
      <c r="G910">
        <f>Calc!G30</f>
        <v/>
      </c>
      <c r="H910">
        <f>Calc!H30</f>
        <v/>
      </c>
      <c r="I910">
        <f>IF(Skills!AA30&lt;&gt;"",1+(Skills!AA30/10)*(U883/1000)/100,1)</f>
        <v/>
      </c>
      <c r="J910" t="inlineStr"/>
      <c r="K910" t="inlineStr"/>
      <c r="L910" t="inlineStr"/>
      <c r="M910" t="inlineStr"/>
      <c r="N910" t="inlineStr"/>
      <c r="O910" t="n">
        <v>0</v>
      </c>
      <c r="P910">
        <f>IF(B924=0,0,O910/B924)</f>
        <v/>
      </c>
      <c r="Q910" t="n">
        <v>0</v>
      </c>
      <c r="R910" t="n">
        <v>0</v>
      </c>
      <c r="S910">
        <f>IFERROR(O910/N910,0)</f>
        <v/>
      </c>
    </row>
    <row r="911">
      <c r="A911">
        <f>Skills!A31</f>
        <v/>
      </c>
      <c r="B911">
        <f>Skills!B31</f>
        <v/>
      </c>
      <c r="C911">
        <f>Inputs!$B$3&gt;=107</f>
        <v/>
      </c>
      <c r="D911">
        <f>IF(Skills!C31=1,60+Inputs!$B$24+Inputs!$B$28,IF(Skills!C31=2,90+Inputs!$B$25+Inputs!$B$28,IF(Skills!C31=3,120+(Inputs!$B$26+1)+Inputs!$B$28,MAX(0,(Inputs!$B$3-100)*3)+Inputs!$B$27+Inputs!$B$28)))</f>
        <v/>
      </c>
      <c r="E911">
        <f>INDEX(FactorTable!$B$2:$Y$301, MATCH(ROUND(MIN(300,MAX(1,D911)),0), FactorTable!$A$2:$A$301,0), Skills!M31+1)</f>
        <v/>
      </c>
      <c r="F911">
        <f>IF(Skills!N31=TRUE,(Skills!L31/10)*(E911/1000),Skills!L31/10)+Skills!O31</f>
        <v/>
      </c>
      <c r="G911">
        <f>Calc!G31</f>
        <v/>
      </c>
      <c r="H911">
        <f>Calc!H31</f>
        <v/>
      </c>
      <c r="I911">
        <f>IF(Skills!AA31&lt;&gt;"",1+(Skills!AA31/10)*(U883/1000)/100,1)</f>
        <v/>
      </c>
      <c r="J911" t="inlineStr"/>
      <c r="K911" t="inlineStr"/>
      <c r="L911" t="inlineStr"/>
      <c r="M911" t="inlineStr"/>
      <c r="N911" t="inlineStr"/>
      <c r="O911" t="n">
        <v>0</v>
      </c>
      <c r="P911">
        <f>IF(B924=0,0,O911/B924)</f>
        <v/>
      </c>
      <c r="Q911" t="n">
        <v>0</v>
      </c>
      <c r="R911" t="n">
        <v>0</v>
      </c>
      <c r="S911">
        <f>IFERROR(O911/N911,0)</f>
        <v/>
      </c>
    </row>
    <row r="913">
      <c r="A913" t="inlineStr">
        <is>
          <t>Actions Per Second (pre-Adrenalin)</t>
        </is>
      </c>
      <c r="B913">
        <f>1+MIN(150,150*(1-(1-(Inputs!$B$10+((C902=TRUE)*(F902-Calc!F22)))/150)*(1-((C899=TRUE)*F899*IF(AND(Inputs!$B$4&lt;&gt;"pvp",Inputs!$B$35&gt;0),(((S899-1)*(Skills!Y19*(1+Inputs!$B$33/100))+MIN((Skills!Y19*(1+Inputs!$B$33/100)),MAX(0,Inputs!$B$35-((S899-1)*Skills!D19))))/Inputs!$B$35),IF(Inputs!$B$4="pvp",MIN((Skills!Y19*(1+Inputs!$B$33/100)),15)/15,(Skills!Y19*(1+Inputs!$B$33/100))/Skills!D19)))/150)))/100</f>
        <v/>
      </c>
    </row>
    <row r="914">
      <c r="A914" t="inlineStr">
        <is>
          <t>Alchemic Adrenaline Uptime</t>
        </is>
      </c>
      <c r="B914">
        <f>(Skills!Y6*(1+Inputs!$B$33/100))/((Skills!Y6*(1+Inputs!$B$33/100))+(5/B913))</f>
        <v/>
      </c>
    </row>
    <row r="915">
      <c r="A915" t="inlineStr">
        <is>
          <t>Attack Speed Buff Bonus %</t>
        </is>
      </c>
      <c r="B915">
        <f>((C899=TRUE)*F899*IF(AND(Inputs!$B$4&lt;&gt;"pvp",Inputs!$B$35&gt;0),(((S899-1)*(Skills!Y19*(1+Inputs!$B$33/100))+MIN((Skills!Y19*(1+Inputs!$B$33/100)),MAX(0,Inputs!$B$35-((S899-1)*Skills!D19))))/Inputs!$B$35),IF(Inputs!$B$4="pvp",MIN((Skills!Y19*(1+Inputs!$B$33/100)),15)/15,(Skills!Y19*(1+Inputs!$B$33/100))/Skills!D19)))+((C887=TRUE)*F887*B914)</f>
        <v/>
      </c>
    </row>
    <row r="916">
      <c r="A916" t="inlineStr">
        <is>
          <t>Actions Per Second (final)</t>
        </is>
      </c>
      <c r="B916">
        <f>1+MIN(150,150*(1-(1-(Inputs!$B$10+((C902=TRUE)*(F902-Calc!F22)))/150)*(1-B915/150)))/100</f>
        <v/>
      </c>
    </row>
    <row r="917">
      <c r="A917" t="inlineStr">
        <is>
          <t>Skill + Buff Cast Rate</t>
        </is>
      </c>
      <c r="B917">
        <f>IF(AND(Inputs!$B$4&lt;&gt;"pvp",Inputs!$B$35&gt;0),SUMPRODUCT((Skills!E2:E31=TRUE)*(C882:C911=TRUE)*R882:R911*Skills!F2:F31)/Inputs!$B$35,SUMPRODUCT((Skills!E2:E31=TRUE)*(C882:C911=TRUE)*Q882:Q911*Skills!F2:F31))</f>
        <v/>
      </c>
    </row>
    <row r="918">
      <c r="A918" t="inlineStr">
        <is>
          <t>Showdown Casts Per Second</t>
        </is>
      </c>
      <c r="B918">
        <f>MAX(0,B916-B917)</f>
        <v/>
      </c>
    </row>
    <row r="919">
      <c r="A919" t="inlineStr">
        <is>
          <t>Average Buff Multiplier</t>
        </is>
      </c>
      <c r="B919">
        <f>(1+(((C901=TRUE)*F901*IF(AND(Inputs!$B$4&lt;&gt;"pvp",Inputs!$B$35&gt;0),(((S901-1)*(Skills!Y21*(1+Inputs!$B$33/100))+MIN((Skills!Y21*(1+Inputs!$B$33/100)),MAX(0,Inputs!$B$35-((S901-1)*Skills!D21))))/Inputs!$B$35),IF(Inputs!$B$4="pvp",MIN((Skills!Y21*(1+Inputs!$B$33/100)),15)/15,(Skills!Y21*(1+Inputs!$B$33/100))/Skills!D21)))+((C908=TRUE)*(F908-Calc!F28))+((C898=TRUE)*(F898-Calc!F18)))/100)*(1+((C895=TRUE)*F895*IF(AND(Inputs!$B$4&lt;&gt;"pvp",Inputs!$B$35&gt;0),(((S895-1)*(Skills!Y15*(1+Inputs!$B$33/100))+MIN((Skills!Y15*(1+Inputs!$B$33/100)),MAX(0,Inputs!$B$35-((S895-1)*Skills!D15))))/Inputs!$B$35),IF(Inputs!$B$4="pvp",MIN((Skills!Y15*(1+Inputs!$B$33/100)),15)/15,(Skills!Y15*(1+Inputs!$B$33/100))/Skills!D15)))/100)*(1+((C886=TRUE)*F886*B914)/100)</f>
        <v/>
      </c>
    </row>
    <row r="920">
      <c r="A920" t="inlineStr">
        <is>
          <t>Global Crit Rate Bonus %</t>
        </is>
      </c>
      <c r="B920">
        <f>IF(Inputs!$B$3&gt;=47,8,0)+((C900=TRUE)*F900*IF(AND(Inputs!$B$4&lt;&gt;"pvp",Inputs!$B$35&gt;0),(((S900-1)*(Skills!Y20*(1+Inputs!$B$33/100))+MIN((Skills!Y20*(1+Inputs!$B$33/100)),MAX(0,Inputs!$B$35-((S900-1)*Skills!D20))))/Inputs!$B$35),IF(Inputs!$B$4="pvp",MIN((Skills!Y20*(1+Inputs!$B$33/100)),15)/15,(Skills!Y20*(1+Inputs!$B$33/100))/Skills!D20)))</f>
        <v/>
      </c>
    </row>
    <row r="921">
      <c r="A921" t="inlineStr">
        <is>
          <t>Global Monster Damage-Taken Bonus %</t>
        </is>
      </c>
      <c r="B921">
        <f>IF(Inputs!$B$3&gt;=82,15,0)+((C896=TRUE)*F896*IF(AND(Inputs!$B$4&lt;&gt;"pvp",Inputs!$B$35&gt;0),(((S896-1)*(Skills!Y16*(1+Inputs!$B$33/100))+MIN((Skills!Y16*(1+Inputs!$B$33/100)),MAX(0,Inputs!$B$35-((S896-1)*Skills!D16))))/Inputs!$B$35),IF(Inputs!$B$4="pvp",MIN((Skills!Y16*(1+Inputs!$B$33/100)),15)/15,(Skills!Y16*(1+Inputs!$B$33/100))/Skills!D16)))</f>
        <v/>
      </c>
    </row>
    <row r="922">
      <c r="A922" t="inlineStr">
        <is>
          <t>Shadow Partner Average Multiplier</t>
        </is>
      </c>
      <c r="B922">
        <f>1+((C891=TRUE)*F891*I891*Skills!J11/100)/100</f>
        <v/>
      </c>
    </row>
    <row r="923">
      <c r="A923" t="inlineStr">
        <is>
          <t>Global Critical Damage Bonus % (Frailty Curse Mastery Lv.111)</t>
        </is>
      </c>
      <c r="B923">
        <f>IF(Inputs!$B$3&gt;=111,30,0)*IF(AND(Inputs!$B$4&lt;&gt;"pvp",Inputs!$B$35&gt;0),(((S896-1)*(Skills!Y16*(1+Inputs!$B$33/100))+MIN((Skills!Y16*(1+Inputs!$B$33/100)),MAX(0,Inputs!$B$35-((S896-1)*Skills!D16))))/Inputs!$B$35),IF(Inputs!$B$4="pvp",MIN((Skills!Y16*(1+Inputs!$B$33/100)),15)/15,(Skills!Y16*(1+Inputs!$B$33/100))/Skills!D16))</f>
        <v/>
      </c>
    </row>
    <row r="924">
      <c r="A924" s="5" t="inlineStr">
        <is>
          <t>TOTAL DPS</t>
        </is>
      </c>
      <c r="B924" s="5">
        <f>SUM(O882:O911)</f>
        <v/>
      </c>
    </row>
    <row r="927">
      <c r="A927" s="5" t="inlineStr">
        <is>
          <t>Stat: Skill Level Bonus — 4th Job</t>
        </is>
      </c>
    </row>
    <row r="928">
      <c r="A928" s="8" t="inlineStr">
        <is>
          <t>Key</t>
        </is>
      </c>
      <c r="B928" s="8" t="inlineStr">
        <is>
          <t>Name</t>
        </is>
      </c>
      <c r="C928" s="8" t="inlineStr">
        <is>
          <t>Unlocked</t>
        </is>
      </c>
      <c r="D928" s="8" t="inlineStr">
        <is>
          <t>InputLevel</t>
        </is>
      </c>
      <c r="E928" s="8" t="inlineStr">
        <is>
          <t>Factor</t>
        </is>
      </c>
      <c r="F928" s="8" t="inlineStr">
        <is>
          <t>CoefficientPercent</t>
        </is>
      </c>
      <c r="G928" s="8" t="inlineStr">
        <is>
          <t>EffectiveHits</t>
        </is>
      </c>
      <c r="H928" s="8" t="inlineStr">
        <is>
          <t>ProcProbability</t>
        </is>
      </c>
      <c r="I928" s="8" t="inlineStr">
        <is>
          <t>MapleHeroMultiplier</t>
        </is>
      </c>
      <c r="J928" s="8" t="inlineStr">
        <is>
          <t>BaseDamage</t>
        </is>
      </c>
      <c r="K928" s="8" t="inlineStr">
        <is>
          <t>BaseHitDamage</t>
        </is>
      </c>
      <c r="L928" s="8" t="inlineStr">
        <is>
          <t>NonCritAvg</t>
        </is>
      </c>
      <c r="M928" s="8" t="inlineStr">
        <is>
          <t>CritAvg</t>
        </is>
      </c>
      <c r="N928" s="8" t="inlineStr">
        <is>
          <t>ExpectedDamage(perHit)</t>
        </is>
      </c>
      <c r="O928" s="8" t="inlineStr">
        <is>
          <t>DPS</t>
        </is>
      </c>
      <c r="P928" s="8" t="inlineStr">
        <is>
          <t>% of Total</t>
        </is>
      </c>
      <c r="Q928" s="8" t="inlineStr">
        <is>
          <t>InvCooldown</t>
        </is>
      </c>
      <c r="R928" s="8" t="inlineStr">
        <is>
          <t>CastsInFight</t>
        </is>
      </c>
      <c r="S928" s="8" t="inlineStr">
        <is>
          <t>HitRate(perSec)</t>
        </is>
      </c>
      <c r="U928" t="inlineStr">
        <is>
          <t>helpers</t>
        </is>
      </c>
    </row>
    <row r="929">
      <c r="A929">
        <f>Skills!A2</f>
        <v/>
      </c>
      <c r="B929">
        <f>Skills!B2</f>
        <v/>
      </c>
      <c r="C929">
        <f>Inputs!$B$3&gt;=100</f>
        <v/>
      </c>
      <c r="D929" t="inlineStr"/>
      <c r="E929" t="inlineStr"/>
      <c r="F929">
        <f>U933+Skills!O2</f>
        <v/>
      </c>
      <c r="G929">
        <f>Calc!G2</f>
        <v/>
      </c>
      <c r="H929">
        <f>Calc!H2</f>
        <v/>
      </c>
      <c r="I929">
        <f>IF(Skills!AA2&lt;&gt;"",1+(Skills!AA2/10)*(U930/1000)/100,1)</f>
        <v/>
      </c>
      <c r="J929">
        <f>(Inputs!$B$5*(1+Inputs!$B$6/100))*(F929/100)</f>
        <v/>
      </c>
      <c r="K929">
        <f>J929*(1+((Inputs!$B$11*(1+Inputs!$B$12/100))*0.01+Inputs!$B$13*0.0025)/100)*(1+Inputs!$B$14/100)*(1+IF(Inputs!$B$4="pvp",0,(1-Summary!$B$55)*(Inputs!$B$19+((C954=TRUE)*(F954-Calc!F27))+Skills!P2+B968)+Summary!$B$55*(Inputs!$B$20+Skills!Q2+B968))/100)*(1+Inputs!$B$15/100)*(5000/(6000+Inputs!$B$7*(1-Inputs!$B$18/100)))*(1+(Inputs!$B$23+((C957=TRUE)*(F957-Calc!F30)))/100)*(1+Skills!R2/100)*(1+(IF(Skills!A2="SHOWDOWN",Inputs!$B$16+((C950=TRUE)*(F950-Calc!F23)),Inputs!$B$17+((C956=TRUE)*(F956-Calc!F29))))/100)*(((1+(((C948=TRUE)*F948*IF(AND(Inputs!$B$4&lt;&gt;"pvp",Inputs!$B$35&gt;0),(((S948-1)*(Skills!Y21*(1+Inputs!$B$33/100))+MIN((Skills!Y21*(1+Inputs!$B$33/100)),MAX(0,Inputs!$B$35-((S948-1)*Skills!D21))))/Inputs!$B$35),IF(Inputs!$B$4="pvp",MIN((Skills!Y21*(1+Inputs!$B$33/100)),15)/15,(Skills!Y21*(1+Inputs!$B$33/100))/Skills!D21)))+((C955=TRUE)*(F955-Calc!F28))+((C945=TRUE)*(F945-Calc!F18)))/100)*(1+((C942=TRUE)*F942*IF(AND(Inputs!$B$4&lt;&gt;"pvp",Inputs!$B$35&gt;0),(((S942-1)*(Skills!Y15*(1+Inputs!$B$33/100))+MIN((Skills!Y15*(1+Inputs!$B$33/100)),MAX(0,Inputs!$B$35-((S942-1)*Skills!D15))))/Inputs!$B$35),IF(Inputs!$B$4="pvp",MIN((Skills!Y15*(1+Inputs!$B$33/100)),15)/15,(Skills!Y15*(1+Inputs!$B$33/100))/Skills!D15)))/100)*(1+((C933=TRUE)*F933*B961)/100))*B969*I929)</f>
        <v/>
      </c>
      <c r="L929">
        <f>K929*(MIN(Inputs!$B$21+((C951=TRUE)*(F951-Calc!F24)),Inputs!$B$22)/100+Inputs!$B$22/100)/2</f>
        <v/>
      </c>
      <c r="M929">
        <f>L929*(1+(Inputs!$B$9+((C953=TRUE)*(F953-Calc!F26))+B970)/100)</f>
        <v/>
      </c>
      <c r="N929">
        <f>L929*(1-MIN((Inputs!$B$8+((C952=TRUE)*(F952-Calc!F25))+B967),100)/100)+M929*(MIN((Inputs!$B$8+((C952=TRUE)*(F952-Calc!F25))+B967),100)/100)</f>
        <v/>
      </c>
      <c r="O929">
        <f>IF(C929,Skills!G2*N929*B965*IF(Inputs!$B$4="pvp",1,(1-Summary!$B$55)*(1)+Summary!$B$55*(MIN((6+Inputs!$B$32),Inputs!$B$37))),0)</f>
        <v/>
      </c>
      <c r="P929">
        <f>IF(B971=0,0,O929/B971)</f>
        <v/>
      </c>
      <c r="Q929" t="n">
        <v>0</v>
      </c>
      <c r="R929" t="n">
        <v>0</v>
      </c>
      <c r="S929">
        <f>IFERROR(O929/N929,0)</f>
        <v/>
      </c>
      <c r="U929">
        <f>MAX(0,(Inputs!$B$3-100)*3)+(Inputs!$B$27+1)+Inputs!$B$28</f>
        <v/>
      </c>
    </row>
    <row r="930">
      <c r="A930">
        <f>Skills!A3</f>
        <v/>
      </c>
      <c r="B930">
        <f>Skills!B3</f>
        <v/>
      </c>
      <c r="C930">
        <f>Inputs!$B$3&gt;=35</f>
        <v/>
      </c>
      <c r="D930">
        <f>IF(Skills!C3=1,60+Inputs!$B$24+Inputs!$B$28,IF(Skills!C3=2,90+Inputs!$B$25+Inputs!$B$28,IF(Skills!C3=3,120+Inputs!$B$26+Inputs!$B$28,MAX(0,(Inputs!$B$3-100)*3)+(Inputs!$B$27+1)+Inputs!$B$28)))</f>
        <v/>
      </c>
      <c r="E930">
        <f>INDEX(FactorTable!$B$2:$Y$301, MATCH(ROUND(MIN(300,MAX(1,D930)),0), FactorTable!$A$2:$A$301,0), Skills!M3+1)</f>
        <v/>
      </c>
      <c r="F930">
        <f>IF(Skills!N3=TRUE,(Skills!L3/10)*(E930/1000),Skills!L3/10)+Skills!O3</f>
        <v/>
      </c>
      <c r="G930">
        <f>Calc!G3</f>
        <v/>
      </c>
      <c r="H930">
        <f>Calc!H3</f>
        <v/>
      </c>
      <c r="I930">
        <f>IF(Skills!AA3&lt;&gt;"",1+(Skills!AA3/10)*(U930/1000)/100,1)</f>
        <v/>
      </c>
      <c r="J930">
        <f>(Inputs!$B$5*(1+Inputs!$B$6/100))*(F930/100)</f>
        <v/>
      </c>
      <c r="K930">
        <f>J930*(1+((Inputs!$B$11*(1+Inputs!$B$12/100))*0.01+Inputs!$B$13*0.0025)/100)*(1+Inputs!$B$14/100)*(1+IF(Inputs!$B$4="pvp",0,(1-Summary!$B$55)*(Inputs!$B$19+((C954=TRUE)*(F954-Calc!F27))+Skills!P3+B968)+Summary!$B$55*(Inputs!$B$20+Skills!Q3+B968))/100)*(1+Inputs!$B$15/100)*(5000/(6000+Inputs!$B$7*(1-Inputs!$B$18/100)))*(1+(Inputs!$B$23+((C957=TRUE)*(F957-Calc!F30)))/100)*(1+Skills!R3/100)*(1+(IF(Skills!A3="SHOWDOWN",Inputs!$B$16+((C950=TRUE)*(F950-Calc!F23)),Inputs!$B$17+((C956=TRUE)*(F956-Calc!F29))))/100)*(((1+(((C948=TRUE)*F948*IF(AND(Inputs!$B$4&lt;&gt;"pvp",Inputs!$B$35&gt;0),(((S948-1)*(Skills!Y21*(1+Inputs!$B$33/100))+MIN((Skills!Y21*(1+Inputs!$B$33/100)),MAX(0,Inputs!$B$35-((S948-1)*Skills!D21))))/Inputs!$B$35),IF(Inputs!$B$4="pvp",MIN((Skills!Y21*(1+Inputs!$B$33/100)),15)/15,(Skills!Y21*(1+Inputs!$B$33/100))/Skills!D21)))+((C955=TRUE)*(F955-Calc!F28))+((C945=TRUE)*(F945-Calc!F18)))/100)*(1+((C942=TRUE)*F942*IF(AND(Inputs!$B$4&lt;&gt;"pvp",Inputs!$B$35&gt;0),(((S942-1)*(Skills!Y15*(1+Inputs!$B$33/100))+MIN((Skills!Y15*(1+Inputs!$B$33/100)),MAX(0,Inputs!$B$35-((S942-1)*Skills!D15))))/Inputs!$B$35),IF(Inputs!$B$4="pvp",MIN((Skills!Y15*(1+Inputs!$B$33/100)),15)/15,(Skills!Y15*(1+Inputs!$B$33/100))/Skills!D15)))/100)*(1+((C933=TRUE)*F933*B961)/100))*B969*I930)</f>
        <v/>
      </c>
      <c r="L930">
        <f>K930*(MIN(Inputs!$B$21+((C951=TRUE)*(F951-Calc!F24)),Inputs!$B$22)/100+Inputs!$B$22/100)/2</f>
        <v/>
      </c>
      <c r="M930">
        <f>L930*(1+(Inputs!$B$9+((C953=TRUE)*(F953-Calc!F26))+B970)/100)</f>
        <v/>
      </c>
      <c r="N930">
        <f>L930*(1-MIN((Inputs!$B$8+((C952=TRUE)*(F952-Calc!F25))+B967),100)/100)+M930*(MIN((Inputs!$B$8+((C952=TRUE)*(F952-Calc!F25))+B967),100)/100)</f>
        <v/>
      </c>
      <c r="O930">
        <f>IF(C930,H930*N930*IF(AND(Inputs!$B$4&lt;&gt;"pvp",Inputs!$B$35&gt;0),((Skills!G3*((R930-1)*IF(Skills!H3&gt;0,Skills!I3/Skills!H3,1)+IF(Skills!H3&gt;0,MIN(Skills!I3,MAX(0,Inputs!$B$35-((R930-1)*IF(Inputs!$B$4="pvp",15,MAX(0.1,Skills!D3-IF(Skills!E3=TRUE,Inputs!$B$31,0))))))/Skills!H3,1)))/Inputs!$B$35),G930*Q930)*IF(Inputs!$B$4="pvp",1,(1-Summary!$B$55)*(1)+Summary!$B$55*(MIN(Skills!W3,Inputs!$B$37))),0)</f>
        <v/>
      </c>
      <c r="P930">
        <f>IF(B971=0,0,O930/B971)</f>
        <v/>
      </c>
      <c r="Q930">
        <f>IFERROR(1/IF(Inputs!$B$4="pvp",15,MAX(0.1,Skills!D3-IF(Skills!E3=TRUE,Inputs!$B$31,0))),0)</f>
        <v/>
      </c>
      <c r="R930">
        <f>IF(AND(Inputs!$B$4&lt;&gt;"pvp",Inputs!$B$35&gt;0),(INT(Inputs!$B$35/IF(Inputs!$B$4="pvp",15,MAX(0.1,Skills!D3-IF(Skills!E3=TRUE,Inputs!$B$31,0))))+1),0)</f>
        <v/>
      </c>
      <c r="S930">
        <f>IFERROR(O930/N930,0)</f>
        <v/>
      </c>
      <c r="U930">
        <f>INDEX(FactorTable!$B$2:$Y$301, MATCH(ROUND(MIN(300,MAX(1,U929)),0), FactorTable!$A$2:$A$301,0), 24)</f>
        <v/>
      </c>
    </row>
    <row r="931">
      <c r="A931">
        <f>Skills!A4</f>
        <v/>
      </c>
      <c r="B931">
        <f>Skills!B4</f>
        <v/>
      </c>
      <c r="C931">
        <f>Inputs!$B$3&gt;=40</f>
        <v/>
      </c>
      <c r="D931">
        <f>IF(Skills!C4=1,60+Inputs!$B$24+Inputs!$B$28,IF(Skills!C4=2,90+Inputs!$B$25+Inputs!$B$28,IF(Skills!C4=3,120+Inputs!$B$26+Inputs!$B$28,MAX(0,(Inputs!$B$3-100)*3)+(Inputs!$B$27+1)+Inputs!$B$28)))</f>
        <v/>
      </c>
      <c r="E931">
        <f>INDEX(FactorTable!$B$2:$Y$301, MATCH(ROUND(MIN(300,MAX(1,D931)),0), FactorTable!$A$2:$A$301,0), Skills!M4+1)</f>
        <v/>
      </c>
      <c r="F931">
        <f>IF(Skills!N4=TRUE,(Skills!L4/10)*(E931/1000),Skills!L4/10)+Skills!O4</f>
        <v/>
      </c>
      <c r="G931">
        <f>Calc!G4</f>
        <v/>
      </c>
      <c r="H931">
        <f>Calc!H4</f>
        <v/>
      </c>
      <c r="I931">
        <f>IF(Skills!AA4&lt;&gt;"",1+(Skills!AA4/10)*(U930/1000)/100,1)</f>
        <v/>
      </c>
      <c r="J931">
        <f>(Inputs!$B$5*(1+Inputs!$B$6/100))*(F931/100)</f>
        <v/>
      </c>
      <c r="K931">
        <f>J931*(1+((Inputs!$B$11*(1+Inputs!$B$12/100))*0.01+Inputs!$B$13*0.0025)/100)*(1+Inputs!$B$14/100)*(1+IF(Inputs!$B$4="pvp",0,(1-Summary!$B$55)*(Inputs!$B$19+((C954=TRUE)*(F954-Calc!F27))+Skills!P4+B968)+Summary!$B$55*(Inputs!$B$20+Skills!Q4+B968))/100)*(1+Inputs!$B$15/100)*(5000/(6000+Inputs!$B$7*(1-Inputs!$B$18/100)))*(1+(Inputs!$B$23+((C957=TRUE)*(F957-Calc!F30)))/100)*(1+Skills!R4/100)*(1+(IF(Skills!A4="SHOWDOWN",Inputs!$B$16+((C950=TRUE)*(F950-Calc!F23)),Inputs!$B$17+((C956=TRUE)*(F956-Calc!F29))))/100)*(((1+(((C948=TRUE)*F948*IF(AND(Inputs!$B$4&lt;&gt;"pvp",Inputs!$B$35&gt;0),(((S948-1)*(Skills!Y21*(1+Inputs!$B$33/100))+MIN((Skills!Y21*(1+Inputs!$B$33/100)),MAX(0,Inputs!$B$35-((S948-1)*Skills!D21))))/Inputs!$B$35),IF(Inputs!$B$4="pvp",MIN((Skills!Y21*(1+Inputs!$B$33/100)),15)/15,(Skills!Y21*(1+Inputs!$B$33/100))/Skills!D21)))+((C955=TRUE)*(F955-Calc!F28))+((C945=TRUE)*(F945-Calc!F18)))/100)*(1+((C942=TRUE)*F942*IF(AND(Inputs!$B$4&lt;&gt;"pvp",Inputs!$B$35&gt;0),(((S942-1)*(Skills!Y15*(1+Inputs!$B$33/100))+MIN((Skills!Y15*(1+Inputs!$B$33/100)),MAX(0,Inputs!$B$35-((S942-1)*Skills!D15))))/Inputs!$B$35),IF(Inputs!$B$4="pvp",MIN((Skills!Y15*(1+Inputs!$B$33/100)),15)/15,(Skills!Y15*(1+Inputs!$B$33/100))/Skills!D15)))/100)*(1+((C933=TRUE)*F933*B961)/100))*B969*I931)</f>
        <v/>
      </c>
      <c r="L931">
        <f>K931*(MIN(Inputs!$B$21+((C951=TRUE)*(F951-Calc!F24)),Inputs!$B$22)/100+Inputs!$B$22/100)/2</f>
        <v/>
      </c>
      <c r="M931">
        <f>L931*(1+(Inputs!$B$9+((C953=TRUE)*(F953-Calc!F26))+B970)/100)</f>
        <v/>
      </c>
      <c r="N931">
        <f>L931*(1-MIN((Inputs!$B$8+((C952=TRUE)*(F952-Calc!F25))+B967),100)/100)+M931*(MIN((Inputs!$B$8+((C952=TRUE)*(F952-Calc!F25))+B967),100)/100)</f>
        <v/>
      </c>
      <c r="O931">
        <f>IF(C931,H931*N931*IF(AND(Inputs!$B$4&lt;&gt;"pvp",Inputs!$B$35&gt;0),((Skills!G4*((R931-1)*IF(Skills!H4&gt;0,Skills!I4/Skills!H4,1)+IF(Skills!H4&gt;0,MIN(Skills!I4,MAX(0,Inputs!$B$35-((R931-1)*IF(Inputs!$B$4="pvp",15,MAX(0.1,Skills!D4-IF(Skills!E4=TRUE,Inputs!$B$31,0))))))/Skills!H4,1)))/Inputs!$B$35),G931*Q931)*IF(Inputs!$B$4="pvp",1,(1-Summary!$B$55)*(1)+Summary!$B$55*(MIN(Skills!W4,Inputs!$B$37))),0)</f>
        <v/>
      </c>
      <c r="P931">
        <f>IF(B971=0,0,O931/B971)</f>
        <v/>
      </c>
      <c r="Q931">
        <f>IFERROR(1/IF(Inputs!$B$4="pvp",15,MAX(0.1,Skills!D4-IF(Skills!E4=TRUE,Inputs!$B$31,0))),0)</f>
        <v/>
      </c>
      <c r="R931">
        <f>IF(AND(Inputs!$B$4&lt;&gt;"pvp",Inputs!$B$35&gt;0),(INT(Inputs!$B$35/IF(Inputs!$B$4="pvp",15,MAX(0.1,Skills!D4-IF(Skills!E4=TRUE,Inputs!$B$31,0))))+1),0)</f>
        <v/>
      </c>
      <c r="S931">
        <f>IFERROR(O931/N931,0)</f>
        <v/>
      </c>
      <c r="U931">
        <f>MAX(0,(Inputs!$B$3-100)*3)+(Inputs!$B$27+1)+Inputs!$B$28</f>
        <v/>
      </c>
    </row>
    <row r="932">
      <c r="A932">
        <f>Skills!A5</f>
        <v/>
      </c>
      <c r="B932">
        <f>Skills!B5</f>
        <v/>
      </c>
      <c r="C932">
        <f>Inputs!$B$3&gt;=63</f>
        <v/>
      </c>
      <c r="D932">
        <f>IF(Skills!C5=1,60+Inputs!$B$24+Inputs!$B$28,IF(Skills!C5=2,90+Inputs!$B$25+Inputs!$B$28,IF(Skills!C5=3,120+Inputs!$B$26+Inputs!$B$28,MAX(0,(Inputs!$B$3-100)*3)+(Inputs!$B$27+1)+Inputs!$B$28)))</f>
        <v/>
      </c>
      <c r="E932">
        <f>INDEX(FactorTable!$B$2:$Y$301, MATCH(ROUND(MIN(300,MAX(1,D932)),0), FactorTable!$A$2:$A$301,0), Skills!M5+1)</f>
        <v/>
      </c>
      <c r="F932">
        <f>IF(Skills!N5=TRUE,(Skills!L5/10)*(E932/1000),Skills!L5/10)+Skills!O5</f>
        <v/>
      </c>
      <c r="G932">
        <f>Calc!G5</f>
        <v/>
      </c>
      <c r="H932">
        <f>Calc!H5</f>
        <v/>
      </c>
      <c r="I932">
        <f>IF(Skills!AA5&lt;&gt;"",1+(Skills!AA5/10)*(U930/1000)/100,1)</f>
        <v/>
      </c>
      <c r="J932">
        <f>(Inputs!$B$5*(1+Inputs!$B$6/100))*(F932/100)</f>
        <v/>
      </c>
      <c r="K932">
        <f>J932*(1+((Inputs!$B$11*(1+Inputs!$B$12/100))*0.01+Inputs!$B$13*0.0025)/100)*(1+Inputs!$B$14/100)*(1+IF(Inputs!$B$4="pvp",0,(1-Summary!$B$55)*(Inputs!$B$19+((C954=TRUE)*(F954-Calc!F27))+Skills!P5+B968)+Summary!$B$55*(Inputs!$B$20+Skills!Q5+B968))/100)*(1+Inputs!$B$15/100)*(5000/(6000+Inputs!$B$7*(1-Inputs!$B$18/100)))*(1+(Inputs!$B$23+((C957=TRUE)*(F957-Calc!F30)))/100)*(1+Skills!R5/100)*(1+(IF(Skills!A5="SHOWDOWN",Inputs!$B$16+((C950=TRUE)*(F950-Calc!F23)),Inputs!$B$17+((C956=TRUE)*(F956-Calc!F29))))/100)*(((1+(((C948=TRUE)*F948*IF(AND(Inputs!$B$4&lt;&gt;"pvp",Inputs!$B$35&gt;0),(((S948-1)*(Skills!Y21*(1+Inputs!$B$33/100))+MIN((Skills!Y21*(1+Inputs!$B$33/100)),MAX(0,Inputs!$B$35-((S948-1)*Skills!D21))))/Inputs!$B$35),IF(Inputs!$B$4="pvp",MIN((Skills!Y21*(1+Inputs!$B$33/100)),15)/15,(Skills!Y21*(1+Inputs!$B$33/100))/Skills!D21)))+((C955=TRUE)*(F955-Calc!F28))+((C945=TRUE)*(F945-Calc!F18)))/100)*(1+((C942=TRUE)*F942*IF(AND(Inputs!$B$4&lt;&gt;"pvp",Inputs!$B$35&gt;0),(((S942-1)*(Skills!Y15*(1+Inputs!$B$33/100))+MIN((Skills!Y15*(1+Inputs!$B$33/100)),MAX(0,Inputs!$B$35-((S942-1)*Skills!D15))))/Inputs!$B$35),IF(Inputs!$B$4="pvp",MIN((Skills!Y15*(1+Inputs!$B$33/100)),15)/15,(Skills!Y15*(1+Inputs!$B$33/100))/Skills!D15)))/100)*(1+((C933=TRUE)*F933*B961)/100))*B969*I932)</f>
        <v/>
      </c>
      <c r="L932">
        <f>K932*(MIN(Inputs!$B$21+((C951=TRUE)*(F951-Calc!F24)),Inputs!$B$22)/100+Inputs!$B$22/100)/2</f>
        <v/>
      </c>
      <c r="M932">
        <f>L932*(1+(Inputs!$B$9+((C953=TRUE)*(F953-Calc!F26))+B970)/100)</f>
        <v/>
      </c>
      <c r="N932">
        <f>L932*(1-MIN((Inputs!$B$8+((C952=TRUE)*(F952-Calc!F25))+B967),100)/100)+M932*(MIN((Inputs!$B$8+((C952=TRUE)*(F952-Calc!F25))+B967),100)/100)</f>
        <v/>
      </c>
      <c r="O932">
        <f>IF(C932,H932*N932*IF(AND(Inputs!$B$4&lt;&gt;"pvp",Inputs!$B$35&gt;0),((Skills!G5*((R932-1)*IF(Skills!H5&gt;0,Skills!I5/Skills!H5,1)+IF(Skills!H5&gt;0,MIN(Skills!I5,MAX(0,Inputs!$B$35-((R932-1)*IF(Inputs!$B$4="pvp",15,MAX(0.1,Skills!D5-IF(Skills!E5=TRUE,Inputs!$B$31,0))))))/Skills!H5,1)))/Inputs!$B$35),G932*Q932)*IF(Inputs!$B$4="pvp",1,(1-Summary!$B$55)*(1)+Summary!$B$55*(MIN(Skills!W5,Inputs!$B$37))),0)</f>
        <v/>
      </c>
      <c r="P932">
        <f>IF(B971=0,0,O932/B971)</f>
        <v/>
      </c>
      <c r="Q932">
        <f>IFERROR(1/IF(Inputs!$B$4="pvp",15,MAX(0.1,Skills!D5-IF(Skills!E5=TRUE,Inputs!$B$31,0))),0)</f>
        <v/>
      </c>
      <c r="R932">
        <f>IF(AND(Inputs!$B$4&lt;&gt;"pvp",Inputs!$B$35&gt;0),(INT(Inputs!$B$35/IF(Inputs!$B$4="pvp",15,MAX(0.1,Skills!D5-IF(Skills!E5=TRUE,Inputs!$B$31,0))))+1),0)</f>
        <v/>
      </c>
      <c r="S932">
        <f>IFERROR(O932/N932,0)</f>
        <v/>
      </c>
      <c r="U932">
        <f>INDEX(FactorTable!$B$2:$Y$301, MATCH(ROUND(MIN(300,MAX(1,U931)),0), FactorTable!$A$2:$A$301,0), 22)</f>
        <v/>
      </c>
    </row>
    <row r="933">
      <c r="A933">
        <f>Skills!A6</f>
        <v/>
      </c>
      <c r="B933">
        <f>Skills!B6</f>
        <v/>
      </c>
      <c r="C933">
        <f>Inputs!$B$3&gt;=66</f>
        <v/>
      </c>
      <c r="D933">
        <f>IF(Skills!C6=1,60+Inputs!$B$24+Inputs!$B$28,IF(Skills!C6=2,90+Inputs!$B$25+Inputs!$B$28,IF(Skills!C6=3,120+Inputs!$B$26+Inputs!$B$28,MAX(0,(Inputs!$B$3-100)*3)+(Inputs!$B$27+1)+Inputs!$B$28)))</f>
        <v/>
      </c>
      <c r="E933">
        <f>INDEX(FactorTable!$B$2:$Y$301, MATCH(ROUND(MIN(300,MAX(1,D933)),0), FactorTable!$A$2:$A$301,0), Skills!M6+1)</f>
        <v/>
      </c>
      <c r="F933">
        <f>IF(Skills!N6=TRUE,(Skills!L6/10)*(E933/1000),Skills!L6/10)+Skills!O6</f>
        <v/>
      </c>
      <c r="G933">
        <f>Calc!G6</f>
        <v/>
      </c>
      <c r="H933">
        <f>Calc!H6</f>
        <v/>
      </c>
      <c r="I933">
        <f>IF(Skills!AA6&lt;&gt;"",1+(Skills!AA6/10)*(U930/1000)/100,1)</f>
        <v/>
      </c>
      <c r="J933" t="inlineStr"/>
      <c r="K933" t="inlineStr"/>
      <c r="L933" t="inlineStr"/>
      <c r="M933" t="inlineStr"/>
      <c r="N933" t="inlineStr"/>
      <c r="O933" t="n">
        <v>0</v>
      </c>
      <c r="P933">
        <f>IF(B971=0,0,O933/B971)</f>
        <v/>
      </c>
      <c r="Q933" t="n">
        <v>0</v>
      </c>
      <c r="R933" t="n">
        <v>0</v>
      </c>
      <c r="S933">
        <f>IFERROR(O933/N933,0)</f>
        <v/>
      </c>
      <c r="U933">
        <f>290*U932/1000</f>
        <v/>
      </c>
    </row>
    <row r="934">
      <c r="A934">
        <f>Skills!A7</f>
        <v/>
      </c>
      <c r="B934">
        <f>Skills!B7</f>
        <v/>
      </c>
      <c r="C934">
        <f>Inputs!$B$3&gt;=66</f>
        <v/>
      </c>
      <c r="D934">
        <f>IF(Skills!C7=1,60+Inputs!$B$24+Inputs!$B$28,IF(Skills!C7=2,90+Inputs!$B$25+Inputs!$B$28,IF(Skills!C7=3,120+Inputs!$B$26+Inputs!$B$28,MAX(0,(Inputs!$B$3-100)*3)+(Inputs!$B$27+1)+Inputs!$B$28)))</f>
        <v/>
      </c>
      <c r="E934">
        <f>INDEX(FactorTable!$B$2:$Y$301, MATCH(ROUND(MIN(300,MAX(1,D934)),0), FactorTable!$A$2:$A$301,0), Skills!M7+1)</f>
        <v/>
      </c>
      <c r="F934">
        <f>IF(Skills!N7=TRUE,(Skills!L7/10)*(E934/1000),Skills!L7/10)+Skills!O7</f>
        <v/>
      </c>
      <c r="G934">
        <f>Calc!G7</f>
        <v/>
      </c>
      <c r="H934">
        <f>Calc!H7</f>
        <v/>
      </c>
      <c r="I934">
        <f>IF(Skills!AA7&lt;&gt;"",1+(Skills!AA7/10)*(U930/1000)/100,1)</f>
        <v/>
      </c>
      <c r="J934" t="inlineStr"/>
      <c r="K934" t="inlineStr"/>
      <c r="L934" t="inlineStr"/>
      <c r="M934" t="inlineStr"/>
      <c r="N934" t="inlineStr"/>
      <c r="O934" t="n">
        <v>0</v>
      </c>
      <c r="P934">
        <f>IF(B971=0,0,O934/B971)</f>
        <v/>
      </c>
      <c r="Q934" t="n">
        <v>0</v>
      </c>
      <c r="R934" t="n">
        <v>0</v>
      </c>
      <c r="S934">
        <f>IFERROR(O934/N934,0)</f>
        <v/>
      </c>
    </row>
    <row r="935">
      <c r="A935">
        <f>Skills!A8</f>
        <v/>
      </c>
      <c r="B935">
        <f>Skills!B8</f>
        <v/>
      </c>
      <c r="C935">
        <f>Inputs!$B$3&gt;=69</f>
        <v/>
      </c>
      <c r="D935">
        <f>IF(Skills!C8=1,60+Inputs!$B$24+Inputs!$B$28,IF(Skills!C8=2,90+Inputs!$B$25+Inputs!$B$28,IF(Skills!C8=3,120+Inputs!$B$26+Inputs!$B$28,MAX(0,(Inputs!$B$3-100)*3)+(Inputs!$B$27+1)+Inputs!$B$28)))</f>
        <v/>
      </c>
      <c r="E935">
        <f>INDEX(FactorTable!$B$2:$Y$301, MATCH(ROUND(MIN(300,MAX(1,D935)),0), FactorTable!$A$2:$A$301,0), Skills!M8+1)</f>
        <v/>
      </c>
      <c r="F935">
        <f>IF(Skills!N8=TRUE,(Skills!L8/10)*(E935/1000),Skills!L8/10)+Skills!O8</f>
        <v/>
      </c>
      <c r="G935">
        <f>Calc!G8</f>
        <v/>
      </c>
      <c r="H935">
        <f>Calc!H8</f>
        <v/>
      </c>
      <c r="I935">
        <f>IF(Skills!AA8&lt;&gt;"",1+(Skills!AA8/10)*(U930/1000)/100,1)</f>
        <v/>
      </c>
      <c r="J935">
        <f>(Inputs!$B$5*(1+Inputs!$B$6/100))*(F935/100)</f>
        <v/>
      </c>
      <c r="K935">
        <f>J935*(1+((Inputs!$B$11*(1+Inputs!$B$12/100))*0.01+Inputs!$B$13*0.0025)/100)*(1+Inputs!$B$14/100)*(1+IF(Inputs!$B$4="pvp",0,(1-Summary!$B$55)*(Inputs!$B$19+((C954=TRUE)*(F954-Calc!F27))+Skills!P8+B968)+Summary!$B$55*(Inputs!$B$20+Skills!Q8+B968))/100)*(1+Inputs!$B$15/100)*(5000/(6000+Inputs!$B$7*(1-Inputs!$B$18/100)))*(1+(Inputs!$B$23+((C957=TRUE)*(F957-Calc!F30)))/100)*(1+Skills!R8/100)*(1+(IF(Skills!A8="SHOWDOWN",Inputs!$B$16+((C950=TRUE)*(F950-Calc!F23)),Inputs!$B$17+((C956=TRUE)*(F956-Calc!F29))))/100)*(((1+(((C948=TRUE)*F948*IF(AND(Inputs!$B$4&lt;&gt;"pvp",Inputs!$B$35&gt;0),(((S948-1)*(Skills!Y21*(1+Inputs!$B$33/100))+MIN((Skills!Y21*(1+Inputs!$B$33/100)),MAX(0,Inputs!$B$35-((S948-1)*Skills!D21))))/Inputs!$B$35),IF(Inputs!$B$4="pvp",MIN((Skills!Y21*(1+Inputs!$B$33/100)),15)/15,(Skills!Y21*(1+Inputs!$B$33/100))/Skills!D21)))+((C955=TRUE)*(F955-Calc!F28))+((C945=TRUE)*(F945-Calc!F18)))/100)*(1+((C942=TRUE)*F942*IF(AND(Inputs!$B$4&lt;&gt;"pvp",Inputs!$B$35&gt;0),(((S942-1)*(Skills!Y15*(1+Inputs!$B$33/100))+MIN((Skills!Y15*(1+Inputs!$B$33/100)),MAX(0,Inputs!$B$35-((S942-1)*Skills!D15))))/Inputs!$B$35),IF(Inputs!$B$4="pvp",MIN((Skills!Y15*(1+Inputs!$B$33/100)),15)/15,(Skills!Y15*(1+Inputs!$B$33/100))/Skills!D15)))/100)*(1+((C933=TRUE)*F933*B961)/100))*B969*I935)</f>
        <v/>
      </c>
      <c r="L935">
        <f>K935*(MIN(Inputs!$B$21+((C951=TRUE)*(F951-Calc!F24)),Inputs!$B$22)/100+Inputs!$B$22/100)/2</f>
        <v/>
      </c>
      <c r="M935">
        <f>L935*(1+(Inputs!$B$9+((C953=TRUE)*(F953-Calc!F26))+B970)/100)</f>
        <v/>
      </c>
      <c r="N935">
        <f>L935*(1-MIN((Inputs!$B$8+((C952=TRUE)*(F952-Calc!F25))+B967),100)/100)+M935*(MIN((Inputs!$B$8+((C952=TRUE)*(F952-Calc!F25))+B967),100)/100)</f>
        <v/>
      </c>
      <c r="O935">
        <f>IF(C935,H935*N935*IF(AND(Inputs!$B$4&lt;&gt;"pvp",Inputs!$B$35&gt;0),((Skills!G8*((R935-1)*IF(Skills!H8&gt;0,Skills!I8/Skills!H8,1)+IF(Skills!H8&gt;0,MIN(Skills!I8,MAX(0,Inputs!$B$35-((R935-1)*IF(Inputs!$B$4="pvp",15,MAX(0.1,Skills!D8-IF(Skills!E8=TRUE,Inputs!$B$31,0))))))/Skills!H8,1)))/Inputs!$B$35),G935*Q935)*IF(Inputs!$B$4="pvp",1,(1-Summary!$B$55)*(1)+Summary!$B$55*(MIN(Skills!W8,Inputs!$B$37))),0)</f>
        <v/>
      </c>
      <c r="P935">
        <f>IF(B971=0,0,O935/B971)</f>
        <v/>
      </c>
      <c r="Q935">
        <f>IFERROR(1/IF(Inputs!$B$4="pvp",15,MAX(0.1,Skills!D8-IF(Skills!E8=TRUE,Inputs!$B$31,0))),0)</f>
        <v/>
      </c>
      <c r="R935">
        <f>IF(AND(Inputs!$B$4&lt;&gt;"pvp",Inputs!$B$35&gt;0),(INT(Inputs!$B$35/IF(Inputs!$B$4="pvp",15,MAX(0.1,Skills!D8-IF(Skills!E8=TRUE,Inputs!$B$31,0))))+1),0)</f>
        <v/>
      </c>
      <c r="S935">
        <f>IFERROR(O935/N935,0)</f>
        <v/>
      </c>
    </row>
    <row r="936">
      <c r="A936">
        <f>Skills!A9</f>
        <v/>
      </c>
      <c r="B936">
        <f>Skills!B9</f>
        <v/>
      </c>
      <c r="C936">
        <f>Inputs!$B$3&gt;=72</f>
        <v/>
      </c>
      <c r="D936">
        <f>IF(Skills!C9=1,60+Inputs!$B$24+Inputs!$B$28,IF(Skills!C9=2,90+Inputs!$B$25+Inputs!$B$28,IF(Skills!C9=3,120+Inputs!$B$26+Inputs!$B$28,MAX(0,(Inputs!$B$3-100)*3)+(Inputs!$B$27+1)+Inputs!$B$28)))</f>
        <v/>
      </c>
      <c r="E936">
        <f>INDEX(FactorTable!$B$2:$Y$301, MATCH(ROUND(MIN(300,MAX(1,D936)),0), FactorTable!$A$2:$A$301,0), Skills!M9+1)</f>
        <v/>
      </c>
      <c r="F936">
        <f>IF(Skills!N9=TRUE,(Skills!L9/10)*(E936/1000),Skills!L9/10)+Skills!O9</f>
        <v/>
      </c>
      <c r="G936">
        <f>Calc!G9</f>
        <v/>
      </c>
      <c r="H936">
        <f>Calc!H9</f>
        <v/>
      </c>
      <c r="I936">
        <f>IF(Skills!AA9&lt;&gt;"",1+(Skills!AA9/10)*(U930/1000)/100,1)</f>
        <v/>
      </c>
      <c r="J936">
        <f>(Inputs!$B$5*(1+Inputs!$B$6/100))*(F936/100)</f>
        <v/>
      </c>
      <c r="K936">
        <f>J936*(1+((Inputs!$B$11*(1+Inputs!$B$12/100))*0.01+Inputs!$B$13*0.0025)/100)*(1+Inputs!$B$14/100)*(1+IF(Inputs!$B$4="pvp",0,(1-Summary!$B$55)*(Inputs!$B$19+((C954=TRUE)*(F954-Calc!F27))+Skills!P9+B968)+Summary!$B$55*(Inputs!$B$20+Skills!Q9+B968))/100)*(1+Inputs!$B$15/100)*(5000/(6000+Inputs!$B$7*(1-Inputs!$B$18/100)))*(1+(Inputs!$B$23+((C957=TRUE)*(F957-Calc!F30)))/100)*(1+Skills!R9/100)*(1+(IF(Skills!A9="SHOWDOWN",Inputs!$B$16+((C950=TRUE)*(F950-Calc!F23)),Inputs!$B$17+((C956=TRUE)*(F956-Calc!F29))))/100)*(((1+(((C948=TRUE)*F948*IF(AND(Inputs!$B$4&lt;&gt;"pvp",Inputs!$B$35&gt;0),(((S948-1)*(Skills!Y21*(1+Inputs!$B$33/100))+MIN((Skills!Y21*(1+Inputs!$B$33/100)),MAX(0,Inputs!$B$35-((S948-1)*Skills!D21))))/Inputs!$B$35),IF(Inputs!$B$4="pvp",MIN((Skills!Y21*(1+Inputs!$B$33/100)),15)/15,(Skills!Y21*(1+Inputs!$B$33/100))/Skills!D21)))+((C955=TRUE)*(F955-Calc!F28))+((C945=TRUE)*(F945-Calc!F18)))/100)*(1+((C942=TRUE)*F942*IF(AND(Inputs!$B$4&lt;&gt;"pvp",Inputs!$B$35&gt;0),(((S942-1)*(Skills!Y15*(1+Inputs!$B$33/100))+MIN((Skills!Y15*(1+Inputs!$B$33/100)),MAX(0,Inputs!$B$35-((S942-1)*Skills!D15))))/Inputs!$B$35),IF(Inputs!$B$4="pvp",MIN((Skills!Y15*(1+Inputs!$B$33/100)),15)/15,(Skills!Y15*(1+Inputs!$B$33/100))/Skills!D15)))/100)*(1+((C933=TRUE)*F933*B961)/100))*B969*I936)</f>
        <v/>
      </c>
      <c r="L936">
        <f>K936*(MIN(Inputs!$B$21+((C951=TRUE)*(F951-Calc!F24)),Inputs!$B$22)/100+Inputs!$B$22/100)/2</f>
        <v/>
      </c>
      <c r="M936">
        <f>L936*(1+(Inputs!$B$9+((C953=TRUE)*(F953-Calc!F26))+B970)/100)</f>
        <v/>
      </c>
      <c r="N936">
        <f>L936*(1-MIN((Inputs!$B$8+((C952=TRUE)*(F952-Calc!F25))+B967),100)/100)+M936*(MIN((Inputs!$B$8+((C952=TRUE)*(F952-Calc!F25))+B967),100)/100)</f>
        <v/>
      </c>
      <c r="O936">
        <f>IF(C936,H936*N936*IF(AND(Inputs!$B$4&lt;&gt;"pvp",Inputs!$B$35&gt;0),((Skills!G9*((R936-1)*IF(Skills!H9&gt;0,Skills!I9/Skills!H9,1)+IF(Skills!H9&gt;0,MIN(Skills!I9,MAX(0,Inputs!$B$35-((R936-1)*IF(Inputs!$B$4="pvp",15,MAX(0.1,Skills!D9-IF(Skills!E9=TRUE,Inputs!$B$31,0))))))/Skills!H9,1)))/Inputs!$B$35),G936*Q936)*IF(Inputs!$B$4="pvp",1,(1-Summary!$B$55)*(1)+Summary!$B$55*(MIN(Skills!W9,Inputs!$B$37))),0)</f>
        <v/>
      </c>
      <c r="P936">
        <f>IF(B971=0,0,O936/B971)</f>
        <v/>
      </c>
      <c r="Q936">
        <f>IFERROR(1/IF(Inputs!$B$4="pvp",15,MAX(0.1,Skills!D9-IF(Skills!E9=TRUE,Inputs!$B$31,0))),0)</f>
        <v/>
      </c>
      <c r="R936">
        <f>IF(AND(Inputs!$B$4&lt;&gt;"pvp",Inputs!$B$35&gt;0),(INT(Inputs!$B$35/IF(Inputs!$B$4="pvp",15,MAX(0.1,Skills!D9-IF(Skills!E9=TRUE,Inputs!$B$31,0))))+1),0)</f>
        <v/>
      </c>
      <c r="S936">
        <f>IFERROR(O936/N936,0)</f>
        <v/>
      </c>
    </row>
    <row r="937">
      <c r="A937">
        <f>Skills!A10</f>
        <v/>
      </c>
      <c r="B937">
        <f>Skills!B10</f>
        <v/>
      </c>
      <c r="C937">
        <f>Inputs!$B$3&gt;=117</f>
        <v/>
      </c>
      <c r="D937">
        <f>IF(Skills!C10=1,60+Inputs!$B$24+Inputs!$B$28,IF(Skills!C10=2,90+Inputs!$B$25+Inputs!$B$28,IF(Skills!C10=3,120+Inputs!$B$26+Inputs!$B$28,MAX(0,(Inputs!$B$3-100)*3)+(Inputs!$B$27+1)+Inputs!$B$28)))</f>
        <v/>
      </c>
      <c r="E937">
        <f>INDEX(FactorTable!$B$2:$Y$301, MATCH(ROUND(MIN(300,MAX(1,D937)),0), FactorTable!$A$2:$A$301,0), Skills!M10+1)</f>
        <v/>
      </c>
      <c r="F937">
        <f>IF(Skills!N10=TRUE,(Skills!L10/10)*(E937/1000),Skills!L10/10)+Skills!O10</f>
        <v/>
      </c>
      <c r="G937">
        <f>Calc!G10</f>
        <v/>
      </c>
      <c r="H937">
        <f>Calc!H10</f>
        <v/>
      </c>
      <c r="I937">
        <f>IF(Skills!AA10&lt;&gt;"",1+(Skills!AA10/10)*(U930/1000)/100,1)</f>
        <v/>
      </c>
      <c r="J937">
        <f>(Inputs!$B$5*(1+Inputs!$B$6/100))*(F937/100)</f>
        <v/>
      </c>
      <c r="K937">
        <f>J937*(1+((Inputs!$B$11*(1+Inputs!$B$12/100))*0.01+Inputs!$B$13*0.0025)/100)*(1+Inputs!$B$14/100)*(1+IF(Inputs!$B$4="pvp",0,(1-Summary!$B$55)*(Inputs!$B$19+((C954=TRUE)*(F954-Calc!F27))+Skills!P10+B968)+Summary!$B$55*(Inputs!$B$20+Skills!Q10+B968))/100)*(1+Inputs!$B$15/100)*(5000/(6000+Inputs!$B$7*(1-Inputs!$B$18/100)))*(1+(Inputs!$B$23+((C957=TRUE)*(F957-Calc!F30)))/100)*(1+Skills!R10/100)*(1+(IF(Skills!A10="SHOWDOWN",Inputs!$B$16+((C950=TRUE)*(F950-Calc!F23)),Inputs!$B$17+((C956=TRUE)*(F956-Calc!F29))))/100)*(((1+(((C948=TRUE)*F948*IF(AND(Inputs!$B$4&lt;&gt;"pvp",Inputs!$B$35&gt;0),(((S948-1)*(Skills!Y21*(1+Inputs!$B$33/100))+MIN((Skills!Y21*(1+Inputs!$B$33/100)),MAX(0,Inputs!$B$35-((S948-1)*Skills!D21))))/Inputs!$B$35),IF(Inputs!$B$4="pvp",MIN((Skills!Y21*(1+Inputs!$B$33/100)),15)/15,(Skills!Y21*(1+Inputs!$B$33/100))/Skills!D21)))+((C955=TRUE)*(F955-Calc!F28))+((C945=TRUE)*(F945-Calc!F18)))/100)*(1+((C942=TRUE)*F942*IF(AND(Inputs!$B$4&lt;&gt;"pvp",Inputs!$B$35&gt;0),(((S942-1)*(Skills!Y15*(1+Inputs!$B$33/100))+MIN((Skills!Y15*(1+Inputs!$B$33/100)),MAX(0,Inputs!$B$35-((S942-1)*Skills!D15))))/Inputs!$B$35),IF(Inputs!$B$4="pvp",MIN((Skills!Y15*(1+Inputs!$B$33/100)),15)/15,(Skills!Y15*(1+Inputs!$B$33/100))/Skills!D15)))/100)*(1+((C933=TRUE)*F933*B961)/100))*B969*I937)</f>
        <v/>
      </c>
      <c r="L937">
        <f>K937*(MIN(Inputs!$B$21+((C951=TRUE)*(F951-Calc!F24)),Inputs!$B$22)/100+Inputs!$B$22/100)/2</f>
        <v/>
      </c>
      <c r="M937">
        <f>L937*(1+(Inputs!$B$9+((C953=TRUE)*(F953-Calc!F26))+B970)/100)</f>
        <v/>
      </c>
      <c r="N937">
        <f>L937*(1-MIN((Inputs!$B$8+((C952=TRUE)*(F952-Calc!F25))+B967),100)/100)+M937*(MIN((Inputs!$B$8+((C952=TRUE)*(F952-Calc!F25))+B967),100)/100)</f>
        <v/>
      </c>
      <c r="O937">
        <f>IF(C937,0.2*SUMPRODUCT((Skills!Z2:Z31=TRUE)*(C929:C958=TRUE)*S929:S958)*N937,0)</f>
        <v/>
      </c>
      <c r="P937">
        <f>IF(B971=0,0,O937/B971)</f>
        <v/>
      </c>
      <c r="Q937" t="n">
        <v>0</v>
      </c>
      <c r="R937" t="n">
        <v>0</v>
      </c>
      <c r="S937" t="n">
        <v>0</v>
      </c>
    </row>
    <row r="938">
      <c r="A938">
        <f>Skills!A11</f>
        <v/>
      </c>
      <c r="B938">
        <f>Skills!B11</f>
        <v/>
      </c>
      <c r="C938">
        <f>Inputs!$B$3&gt;=60</f>
        <v/>
      </c>
      <c r="D938">
        <f>IF(Skills!C11=1,60+Inputs!$B$24+Inputs!$B$28,IF(Skills!C11=2,90+Inputs!$B$25+Inputs!$B$28,IF(Skills!C11=3,120+Inputs!$B$26+Inputs!$B$28,MAX(0,(Inputs!$B$3-100)*3)+(Inputs!$B$27+1)+Inputs!$B$28)))</f>
        <v/>
      </c>
      <c r="E938">
        <f>INDEX(FactorTable!$B$2:$Y$301, MATCH(ROUND(MIN(300,MAX(1,D938)),0), FactorTable!$A$2:$A$301,0), Skills!M11+1)</f>
        <v/>
      </c>
      <c r="F938">
        <f>IF(Skills!N11=TRUE,(Skills!L11/10)*(E938/1000),Skills!L11/10)+Skills!O11</f>
        <v/>
      </c>
      <c r="G938">
        <f>Calc!G11</f>
        <v/>
      </c>
      <c r="H938">
        <f>Calc!H11</f>
        <v/>
      </c>
      <c r="I938">
        <f>IF(Skills!AA11&lt;&gt;"",1+(Skills!AA11/10)*(U930/1000)/100,1)</f>
        <v/>
      </c>
      <c r="J938" t="inlineStr"/>
      <c r="K938" t="inlineStr"/>
      <c r="L938" t="inlineStr"/>
      <c r="M938" t="inlineStr"/>
      <c r="N938" t="inlineStr"/>
      <c r="O938" t="n">
        <v>0</v>
      </c>
      <c r="P938">
        <f>IF(B971=0,0,O938/B971)</f>
        <v/>
      </c>
      <c r="Q938" t="n">
        <v>0</v>
      </c>
      <c r="R938" t="n">
        <v>0</v>
      </c>
      <c r="S938">
        <f>IFERROR(O938/N938,0)</f>
        <v/>
      </c>
    </row>
    <row r="939">
      <c r="A939">
        <f>Skills!A12</f>
        <v/>
      </c>
      <c r="B939">
        <f>Skills!B12</f>
        <v/>
      </c>
      <c r="C939">
        <f>Inputs!$B$3&gt;=103</f>
        <v/>
      </c>
      <c r="D939">
        <f>IF(Skills!C12=1,60+Inputs!$B$24+Inputs!$B$28,IF(Skills!C12=2,90+Inputs!$B$25+Inputs!$B$28,IF(Skills!C12=3,120+Inputs!$B$26+Inputs!$B$28,MAX(0,(Inputs!$B$3-100)*3)+(Inputs!$B$27+1)+Inputs!$B$28)))</f>
        <v/>
      </c>
      <c r="E939">
        <f>INDEX(FactorTable!$B$2:$Y$301, MATCH(ROUND(MIN(300,MAX(1,D939)),0), FactorTable!$A$2:$A$301,0), Skills!M12+1)</f>
        <v/>
      </c>
      <c r="F939">
        <f>IF(Skills!N12=TRUE,(Skills!L12/10)*(E939/1000),Skills!L12/10)+Skills!O12</f>
        <v/>
      </c>
      <c r="G939">
        <f>Calc!G12</f>
        <v/>
      </c>
      <c r="H939">
        <f>Calc!H12</f>
        <v/>
      </c>
      <c r="I939">
        <f>IF(Skills!AA12&lt;&gt;"",1+(Skills!AA12/10)*(U930/1000)/100,1)</f>
        <v/>
      </c>
      <c r="J939">
        <f>(Inputs!$B$5*(1+Inputs!$B$6/100))*(F939/100)</f>
        <v/>
      </c>
      <c r="K939">
        <f>J939*(1+((Inputs!$B$11*(1+Inputs!$B$12/100))*0.01+Inputs!$B$13*0.0025)/100)*(1+Inputs!$B$14/100)*(1+IF(Inputs!$B$4="pvp",0,(1-Summary!$B$55)*(Inputs!$B$19+((C954=TRUE)*(F954-Calc!F27))+Skills!P12+B968)+Summary!$B$55*(Inputs!$B$20+Skills!Q12+B968))/100)*(1+Inputs!$B$15/100)*(5000/(6000+Inputs!$B$7*(1-Inputs!$B$18/100)))*(1+(Inputs!$B$23+((C957=TRUE)*(F957-Calc!F30)))/100)*(1+Skills!R12/100)*(1+(IF(Skills!A12="SHOWDOWN",Inputs!$B$16+((C950=TRUE)*(F950-Calc!F23)),Inputs!$B$17+((C956=TRUE)*(F956-Calc!F29))))/100)*(((1+(((C948=TRUE)*F948*IF(AND(Inputs!$B$4&lt;&gt;"pvp",Inputs!$B$35&gt;0),(((S948-1)*(Skills!Y21*(1+Inputs!$B$33/100))+MIN((Skills!Y21*(1+Inputs!$B$33/100)),MAX(0,Inputs!$B$35-((S948-1)*Skills!D21))))/Inputs!$B$35),IF(Inputs!$B$4="pvp",MIN((Skills!Y21*(1+Inputs!$B$33/100)),15)/15,(Skills!Y21*(1+Inputs!$B$33/100))/Skills!D21)))+((C955=TRUE)*(F955-Calc!F28))+((C945=TRUE)*(F945-Calc!F18)))/100)*(1+((C942=TRUE)*F942*IF(AND(Inputs!$B$4&lt;&gt;"pvp",Inputs!$B$35&gt;0),(((S942-1)*(Skills!Y15*(1+Inputs!$B$33/100))+MIN((Skills!Y15*(1+Inputs!$B$33/100)),MAX(0,Inputs!$B$35-((S942-1)*Skills!D15))))/Inputs!$B$35),IF(Inputs!$B$4="pvp",MIN((Skills!Y15*(1+Inputs!$B$33/100)),15)/15,(Skills!Y15*(1+Inputs!$B$33/100))/Skills!D15)))/100)*(1+((C933=TRUE)*F933*B961)/100))*B969*I939)</f>
        <v/>
      </c>
      <c r="L939">
        <f>K939*(MIN(Inputs!$B$21+((C951=TRUE)*(F951-Calc!F24)),Inputs!$B$22)/100+Inputs!$B$22/100)/2</f>
        <v/>
      </c>
      <c r="M939">
        <f>L939*(1+(Inputs!$B$9+((C953=TRUE)*(F953-Calc!F26))+B970)/100)</f>
        <v/>
      </c>
      <c r="N939">
        <f>L939*(1-MIN((Inputs!$B$8+((C952=TRUE)*(F952-Calc!F25))+B967),100)/100)+M939*(MIN((Inputs!$B$8+((C952=TRUE)*(F952-Calc!F25))+B967),100)/100)</f>
        <v/>
      </c>
      <c r="O939">
        <f>IF(C939,H939*N939*IF(AND(Inputs!$B$4&lt;&gt;"pvp",Inputs!$B$35&gt;0),((Skills!G12*((R939-1)*IF(Skills!H12&gt;0,Skills!I12/Skills!H12,1)+IF(Skills!H12&gt;0,MIN(Skills!I12,MAX(0,Inputs!$B$35-((R939-1)*IF(Inputs!$B$4="pvp",15,MAX(0.1,Skills!D12-IF(Skills!E12=TRUE,Inputs!$B$31,0))))))/Skills!H12,1)))/Inputs!$B$35),G939*Q939)*IF(Inputs!$B$4="pvp",1,(1-Summary!$B$55)*(1)+Summary!$B$55*(MIN(Skills!W12,Inputs!$B$37))),0)</f>
        <v/>
      </c>
      <c r="P939">
        <f>IF(B971=0,0,O939/B971)</f>
        <v/>
      </c>
      <c r="Q939">
        <f>IFERROR(1/IF(Inputs!$B$4="pvp",15,MAX(0.1,Skills!D12-IF(Skills!E12=TRUE,Inputs!$B$31,0))),0)</f>
        <v/>
      </c>
      <c r="R939">
        <f>IF(AND(Inputs!$B$4&lt;&gt;"pvp",Inputs!$B$35&gt;0),(INT(Inputs!$B$35/IF(Inputs!$B$4="pvp",15,MAX(0.1,Skills!D12-IF(Skills!E12=TRUE,Inputs!$B$31,0))))+1),0)</f>
        <v/>
      </c>
      <c r="S939">
        <f>IFERROR(O939/N939,0)</f>
        <v/>
      </c>
    </row>
    <row r="940">
      <c r="A940">
        <f>Skills!A13</f>
        <v/>
      </c>
      <c r="B940">
        <f>Skills!B13</f>
        <v/>
      </c>
      <c r="C940">
        <f>Inputs!$B$3&gt;=105</f>
        <v/>
      </c>
      <c r="D940">
        <f>IF(Skills!C13=1,60+Inputs!$B$24+Inputs!$B$28,IF(Skills!C13=2,90+Inputs!$B$25+Inputs!$B$28,IF(Skills!C13=3,120+Inputs!$B$26+Inputs!$B$28,MAX(0,(Inputs!$B$3-100)*3)+(Inputs!$B$27+1)+Inputs!$B$28)))</f>
        <v/>
      </c>
      <c r="E940">
        <f>INDEX(FactorTable!$B$2:$Y$301, MATCH(ROUND(MIN(300,MAX(1,D940)),0), FactorTable!$A$2:$A$301,0), Skills!M13+1)</f>
        <v/>
      </c>
      <c r="F940">
        <f>IF(Skills!N13=TRUE,(Skills!L13/10)*(E940/1000),Skills!L13/10)+Skills!O13</f>
        <v/>
      </c>
      <c r="G940">
        <f>Calc!G13</f>
        <v/>
      </c>
      <c r="H940">
        <f>Calc!H13</f>
        <v/>
      </c>
      <c r="I940">
        <f>IF(Skills!AA13&lt;&gt;"",1+(Skills!AA13/10)*(U930/1000)/100,1)</f>
        <v/>
      </c>
      <c r="J940">
        <f>(Inputs!$B$5*(1+Inputs!$B$6/100))*(F940/100)</f>
        <v/>
      </c>
      <c r="K940">
        <f>J940*(1+((Inputs!$B$11*(1+Inputs!$B$12/100))*0.01+Inputs!$B$13*0.0025)/100)*(1+Inputs!$B$14/100)*(1+IF(Inputs!$B$4="pvp",0,(1-Summary!$B$55)*(Inputs!$B$19+((C954=TRUE)*(F954-Calc!F27))+Skills!P13+B968)+Summary!$B$55*(Inputs!$B$20+Skills!Q13+B968))/100)*(1+Inputs!$B$15/100)*(5000/(6000+Inputs!$B$7*(1-Inputs!$B$18/100)))*(1+(Inputs!$B$23+((C957=TRUE)*(F957-Calc!F30)))/100)*(1+Skills!R13/100)*(1+(IF(Skills!A13="SHOWDOWN",Inputs!$B$16+((C950=TRUE)*(F950-Calc!F23)),Inputs!$B$17+((C956=TRUE)*(F956-Calc!F29))))/100)*(((1+(((C948=TRUE)*F948*IF(AND(Inputs!$B$4&lt;&gt;"pvp",Inputs!$B$35&gt;0),(((S948-1)*(Skills!Y21*(1+Inputs!$B$33/100))+MIN((Skills!Y21*(1+Inputs!$B$33/100)),MAX(0,Inputs!$B$35-((S948-1)*Skills!D21))))/Inputs!$B$35),IF(Inputs!$B$4="pvp",MIN((Skills!Y21*(1+Inputs!$B$33/100)),15)/15,(Skills!Y21*(1+Inputs!$B$33/100))/Skills!D21)))+((C955=TRUE)*(F955-Calc!F28))+((C945=TRUE)*(F945-Calc!F18)))/100)*(1+((C942=TRUE)*F942*IF(AND(Inputs!$B$4&lt;&gt;"pvp",Inputs!$B$35&gt;0),(((S942-1)*(Skills!Y15*(1+Inputs!$B$33/100))+MIN((Skills!Y15*(1+Inputs!$B$33/100)),MAX(0,Inputs!$B$35-((S942-1)*Skills!D15))))/Inputs!$B$35),IF(Inputs!$B$4="pvp",MIN((Skills!Y15*(1+Inputs!$B$33/100)),15)/15,(Skills!Y15*(1+Inputs!$B$33/100))/Skills!D15)))/100)*(1+((C933=TRUE)*F933*B961)/100))*B969*I940)</f>
        <v/>
      </c>
      <c r="L940">
        <f>K940*(MIN(Inputs!$B$21+((C951=TRUE)*(F951-Calc!F24)),Inputs!$B$22)/100+Inputs!$B$22/100)/2</f>
        <v/>
      </c>
      <c r="M940">
        <f>L940*(1+(Inputs!$B$9+((C953=TRUE)*(F953-Calc!F26))+B970)/100)</f>
        <v/>
      </c>
      <c r="N940">
        <f>L940*(1-MIN((Inputs!$B$8+((C952=TRUE)*(F952-Calc!F25))+B967),100)/100)+M940*(MIN((Inputs!$B$8+((C952=TRUE)*(F952-Calc!F25))+B967),100)/100)</f>
        <v/>
      </c>
      <c r="O940">
        <f>IF(C940,H940*N940*IF(AND(Inputs!$B$4&lt;&gt;"pvp",Inputs!$B$35&gt;0),((Skills!G13*((R940-1)*IF(Skills!H13&gt;0,Skills!I13/Skills!H13,1)+IF(Skills!H13&gt;0,MIN(Skills!I13,MAX(0,Inputs!$B$35-((R940-1)*IF(Inputs!$B$4="pvp",15,MAX(0.1,Skills!D13-IF(Skills!E13=TRUE,Inputs!$B$31,0))))))/Skills!H13,1)))/Inputs!$B$35),G940*Q940)*IF(Inputs!$B$4="pvp",1,(1-Summary!$B$55)*(1)+Summary!$B$55*(MIN(Skills!W13,Inputs!$B$37))),0)</f>
        <v/>
      </c>
      <c r="P940">
        <f>IF(B971=0,0,O940/B971)</f>
        <v/>
      </c>
      <c r="Q940">
        <f>IFERROR(1/IF(Inputs!$B$4="pvp",15,MAX(0.1,Skills!D13-IF(Skills!E13=TRUE,Inputs!$B$31,0))),0)</f>
        <v/>
      </c>
      <c r="R940">
        <f>IF(AND(Inputs!$B$4&lt;&gt;"pvp",Inputs!$B$35&gt;0),(INT(Inputs!$B$35/IF(Inputs!$B$4="pvp",15,MAX(0.1,Skills!D13-IF(Skills!E13=TRUE,Inputs!$B$31,0))))+1),0)</f>
        <v/>
      </c>
      <c r="S940">
        <f>IFERROR(O940/N940,0)</f>
        <v/>
      </c>
    </row>
    <row r="941">
      <c r="A941">
        <f>Skills!A14</f>
        <v/>
      </c>
      <c r="B941">
        <f>Skills!B14</f>
        <v/>
      </c>
      <c r="C941">
        <f>Inputs!$B$3&gt;=105</f>
        <v/>
      </c>
      <c r="D941">
        <f>IF(Skills!C14=1,60+Inputs!$B$24+Inputs!$B$28,IF(Skills!C14=2,90+Inputs!$B$25+Inputs!$B$28,IF(Skills!C14=3,120+Inputs!$B$26+Inputs!$B$28,MAX(0,(Inputs!$B$3-100)*3)+(Inputs!$B$27+1)+Inputs!$B$28)))</f>
        <v/>
      </c>
      <c r="E941">
        <f>INDEX(FactorTable!$B$2:$Y$301, MATCH(ROUND(MIN(300,MAX(1,D941)),0), FactorTable!$A$2:$A$301,0), Skills!M14+1)</f>
        <v/>
      </c>
      <c r="F941">
        <f>IF(Skills!N14=TRUE,(Skills!L14/10)*(E941/1000),Skills!L14/10)+Skills!O14</f>
        <v/>
      </c>
      <c r="G941">
        <f>Calc!G14</f>
        <v/>
      </c>
      <c r="H941">
        <f>Calc!H14</f>
        <v/>
      </c>
      <c r="I941">
        <f>IF(Skills!AA14&lt;&gt;"",1+(Skills!AA14/10)*(U930/1000)/100,1)</f>
        <v/>
      </c>
      <c r="J941">
        <f>(Inputs!$B$5*(1+Inputs!$B$6/100))*(F941/100)</f>
        <v/>
      </c>
      <c r="K941">
        <f>J941*(1+((Inputs!$B$11*(1+Inputs!$B$12/100))*0.01+Inputs!$B$13*0.0025)/100)*(1+Inputs!$B$14/100)*(1+IF(Inputs!$B$4="pvp",0,(1-Summary!$B$55)*(Inputs!$B$19+((C954=TRUE)*(F954-Calc!F27))+Skills!P14+B968)+Summary!$B$55*(Inputs!$B$20+Skills!Q14+B968))/100)*(1+Inputs!$B$15/100)*(5000/(6000+Inputs!$B$7*(1-Inputs!$B$18/100)))*(1+(Inputs!$B$23+((C957=TRUE)*(F957-Calc!F30)))/100)*(1+Skills!R14/100)*(1+(IF(Skills!A14="SHOWDOWN",Inputs!$B$16+((C950=TRUE)*(F950-Calc!F23)),Inputs!$B$17+((C956=TRUE)*(F956-Calc!F29))))/100)*(((1+(((C948=TRUE)*F948*IF(AND(Inputs!$B$4&lt;&gt;"pvp",Inputs!$B$35&gt;0),(((S948-1)*(Skills!Y21*(1+Inputs!$B$33/100))+MIN((Skills!Y21*(1+Inputs!$B$33/100)),MAX(0,Inputs!$B$35-((S948-1)*Skills!D21))))/Inputs!$B$35),IF(Inputs!$B$4="pvp",MIN((Skills!Y21*(1+Inputs!$B$33/100)),15)/15,(Skills!Y21*(1+Inputs!$B$33/100))/Skills!D21)))+((C955=TRUE)*(F955-Calc!F28))+((C945=TRUE)*(F945-Calc!F18)))/100)*(1+((C942=TRUE)*F942*IF(AND(Inputs!$B$4&lt;&gt;"pvp",Inputs!$B$35&gt;0),(((S942-1)*(Skills!Y15*(1+Inputs!$B$33/100))+MIN((Skills!Y15*(1+Inputs!$B$33/100)),MAX(0,Inputs!$B$35-((S942-1)*Skills!D15))))/Inputs!$B$35),IF(Inputs!$B$4="pvp",MIN((Skills!Y15*(1+Inputs!$B$33/100)),15)/15,(Skills!Y15*(1+Inputs!$B$33/100))/Skills!D15)))/100)*(1+((C933=TRUE)*F933*B961)/100))*B969*I941)</f>
        <v/>
      </c>
      <c r="L941">
        <f>K941*(MIN(Inputs!$B$21+((C951=TRUE)*(F951-Calc!F24)),Inputs!$B$22)/100+Inputs!$B$22/100)/2</f>
        <v/>
      </c>
      <c r="M941">
        <f>L941*(1+(Inputs!$B$9+((C953=TRUE)*(F953-Calc!F26))+B970)/100)</f>
        <v/>
      </c>
      <c r="N941">
        <f>L941*(1-MIN((Inputs!$B$8+((C952=TRUE)*(F952-Calc!F25))+B967),100)/100)+M941*(MIN((Inputs!$B$8+((C952=TRUE)*(F952-Calc!F25))+B967),100)/100)</f>
        <v/>
      </c>
      <c r="O941">
        <f>IF(C941,H941*N941*IF(AND(Inputs!$B$4&lt;&gt;"pvp",Inputs!$B$35&gt;0),((Skills!G14*((R941-1)*IF(Skills!H14&gt;0,Skills!I14/Skills!H14,1)+IF(Skills!H14&gt;0,MIN(Skills!I14,MAX(0,Inputs!$B$35-((R941-1)*IF(Inputs!$B$4="pvp",15,MAX(0.1,Skills!D14-IF(Skills!E14=TRUE,Inputs!$B$31,0))))))/Skills!H14,1)))/Inputs!$B$35),G941*Q941)*IF(Inputs!$B$4="pvp",1,(1-Summary!$B$55)*(1)+Summary!$B$55*(MIN(Skills!W14,Inputs!$B$37))),0)</f>
        <v/>
      </c>
      <c r="P941">
        <f>IF(B971=0,0,O941/B971)</f>
        <v/>
      </c>
      <c r="Q941">
        <f>IFERROR(1/IF(Inputs!$B$4="pvp",15,MAX(0.1,Skills!D14-IF(Skills!E14=TRUE,Inputs!$B$31,0))),0)</f>
        <v/>
      </c>
      <c r="R941">
        <f>IF(AND(Inputs!$B$4&lt;&gt;"pvp",Inputs!$B$35&gt;0),(INT(Inputs!$B$35/IF(Inputs!$B$4="pvp",15,MAX(0.1,Skills!D14-IF(Skills!E14=TRUE,Inputs!$B$31,0))))+1),0)</f>
        <v/>
      </c>
      <c r="S941">
        <f>IFERROR(O941/N941,0)</f>
        <v/>
      </c>
    </row>
    <row r="942">
      <c r="A942">
        <f>Skills!A15</f>
        <v/>
      </c>
      <c r="B942">
        <f>Skills!B15</f>
        <v/>
      </c>
      <c r="C942">
        <f>Inputs!$B$3&gt;=110</f>
        <v/>
      </c>
      <c r="D942">
        <f>IF(Skills!C15=1,60+Inputs!$B$24+Inputs!$B$28,IF(Skills!C15=2,90+Inputs!$B$25+Inputs!$B$28,IF(Skills!C15=3,120+Inputs!$B$26+Inputs!$B$28,MAX(0,(Inputs!$B$3-100)*3)+(Inputs!$B$27+1)+Inputs!$B$28)))</f>
        <v/>
      </c>
      <c r="E942">
        <f>INDEX(FactorTable!$B$2:$Y$301, MATCH(ROUND(MIN(300,MAX(1,D942)),0), FactorTable!$A$2:$A$301,0), Skills!M15+1)</f>
        <v/>
      </c>
      <c r="F942">
        <f>IF(Skills!N15=TRUE,(Skills!L15/10)*(E942/1000),Skills!L15/10)+Skills!O15</f>
        <v/>
      </c>
      <c r="G942">
        <f>Calc!G15</f>
        <v/>
      </c>
      <c r="H942">
        <f>Calc!H15</f>
        <v/>
      </c>
      <c r="I942">
        <f>IF(Skills!AA15&lt;&gt;"",1+(Skills!AA15/10)*(U930/1000)/100,1)</f>
        <v/>
      </c>
      <c r="J942" t="inlineStr"/>
      <c r="K942" t="inlineStr"/>
      <c r="L942" t="inlineStr"/>
      <c r="M942" t="inlineStr"/>
      <c r="N942" t="inlineStr"/>
      <c r="O942" t="n">
        <v>0</v>
      </c>
      <c r="P942">
        <f>IF(B971=0,0,O942/B971)</f>
        <v/>
      </c>
      <c r="Q942">
        <f>IFERROR(1/IF(Inputs!$B$4="pvp",15,MAX(0.1,Skills!D15-IF(Skills!E15=TRUE,Inputs!$B$31,0))),0)</f>
        <v/>
      </c>
      <c r="R942">
        <f>IF(AND(Inputs!$B$4&lt;&gt;"pvp",Inputs!$B$35&gt;0),(INT(Inputs!$B$35/IF(Inputs!$B$4="pvp",15,MAX(0.1,Skills!D15-IF(Skills!E15=TRUE,Inputs!$B$31,0))))+1),0)</f>
        <v/>
      </c>
      <c r="S942">
        <f>IFERROR(O942/N942,0)</f>
        <v/>
      </c>
    </row>
    <row r="943">
      <c r="A943">
        <f>Skills!A16</f>
        <v/>
      </c>
      <c r="B943">
        <f>Skills!B16</f>
        <v/>
      </c>
      <c r="C943">
        <f>Inputs!$B$3&gt;=110</f>
        <v/>
      </c>
      <c r="D943">
        <f>IF(Skills!C16=1,60+Inputs!$B$24+Inputs!$B$28,IF(Skills!C16=2,90+Inputs!$B$25+Inputs!$B$28,IF(Skills!C16=3,120+Inputs!$B$26+Inputs!$B$28,MAX(0,(Inputs!$B$3-100)*3)+(Inputs!$B$27+1)+Inputs!$B$28)))</f>
        <v/>
      </c>
      <c r="E943">
        <f>INDEX(FactorTable!$B$2:$Y$301, MATCH(ROUND(MIN(300,MAX(1,D943)),0), FactorTable!$A$2:$A$301,0), Skills!M16+1)</f>
        <v/>
      </c>
      <c r="F943">
        <f>IF(Skills!N16=TRUE,(Skills!L16/10)*(E943/1000),Skills!L16/10)+Skills!O16</f>
        <v/>
      </c>
      <c r="G943">
        <f>Calc!G16</f>
        <v/>
      </c>
      <c r="H943">
        <f>Calc!H16</f>
        <v/>
      </c>
      <c r="I943">
        <f>IF(Skills!AA16&lt;&gt;"",1+(Skills!AA16/10)*(U930/1000)/100,1)</f>
        <v/>
      </c>
      <c r="J943" t="inlineStr"/>
      <c r="K943" t="inlineStr"/>
      <c r="L943" t="inlineStr"/>
      <c r="M943" t="inlineStr"/>
      <c r="N943" t="inlineStr"/>
      <c r="O943" t="n">
        <v>0</v>
      </c>
      <c r="P943">
        <f>IF(B971=0,0,O943/B971)</f>
        <v/>
      </c>
      <c r="Q943">
        <f>IFERROR(1/IF(Inputs!$B$4="pvp",15,MAX(0.1,Skills!D16-IF(Skills!E16=TRUE,Inputs!$B$31,0))),0)</f>
        <v/>
      </c>
      <c r="R943">
        <f>IF(AND(Inputs!$B$4&lt;&gt;"pvp",Inputs!$B$35&gt;0),(INT(Inputs!$B$35/IF(Inputs!$B$4="pvp",15,MAX(0.1,Skills!D16-IF(Skills!E16=TRUE,Inputs!$B$31,0))))+1),0)</f>
        <v/>
      </c>
      <c r="S943">
        <f>IFERROR(O943/N943,0)</f>
        <v/>
      </c>
    </row>
    <row r="944">
      <c r="A944">
        <f>Skills!A17</f>
        <v/>
      </c>
      <c r="B944">
        <f>Skills!B17</f>
        <v/>
      </c>
      <c r="C944">
        <f>Inputs!$B$3&gt;=115</f>
        <v/>
      </c>
      <c r="D944">
        <f>IF(Skills!C17=1,60+Inputs!$B$24+Inputs!$B$28,IF(Skills!C17=2,90+Inputs!$B$25+Inputs!$B$28,IF(Skills!C17=3,120+Inputs!$B$26+Inputs!$B$28,MAX(0,(Inputs!$B$3-100)*3)+(Inputs!$B$27+1)+Inputs!$B$28)))</f>
        <v/>
      </c>
      <c r="E944">
        <f>INDEX(FactorTable!$B$2:$Y$301, MATCH(ROUND(MIN(300,MAX(1,D944)),0), FactorTable!$A$2:$A$301,0), Skills!M17+1)</f>
        <v/>
      </c>
      <c r="F944">
        <f>IF(Skills!N17=TRUE,(Skills!L17/10)*(E944/1000),Skills!L17/10)+Skills!O17</f>
        <v/>
      </c>
      <c r="G944">
        <f>Calc!G17</f>
        <v/>
      </c>
      <c r="H944">
        <f>Calc!H17</f>
        <v/>
      </c>
      <c r="I944">
        <f>IF(Skills!AA17&lt;&gt;"",1+(Skills!AA17/10)*(U930/1000)/100,1)</f>
        <v/>
      </c>
      <c r="J944">
        <f>(Inputs!$B$5*(1+Inputs!$B$6/100))*(F944/100)</f>
        <v/>
      </c>
      <c r="K944">
        <f>J944*(1+((Inputs!$B$11*(1+Inputs!$B$12/100))*0.01+Inputs!$B$13*0.0025)/100)*(1+Inputs!$B$14/100)*(1+IF(Inputs!$B$4="pvp",0,(1-Summary!$B$55)*(Inputs!$B$19+((C954=TRUE)*(F954-Calc!F27))+Skills!P17+B968)+Summary!$B$55*(Inputs!$B$20+Skills!Q17+B968))/100)*(1+Inputs!$B$15/100)*(5000/(6000+Inputs!$B$7*(1-Inputs!$B$18/100)))*(1+(Inputs!$B$23+((C957=TRUE)*(F957-Calc!F30)))/100)*(1+Skills!R17/100)*(1+(IF(Skills!A17="SHOWDOWN",Inputs!$B$16+((C950=TRUE)*(F950-Calc!F23)),Inputs!$B$17+((C956=TRUE)*(F956-Calc!F29))))/100)*(((1+(((C948=TRUE)*F948*IF(AND(Inputs!$B$4&lt;&gt;"pvp",Inputs!$B$35&gt;0),(((S948-1)*(Skills!Y21*(1+Inputs!$B$33/100))+MIN((Skills!Y21*(1+Inputs!$B$33/100)),MAX(0,Inputs!$B$35-((S948-1)*Skills!D21))))/Inputs!$B$35),IF(Inputs!$B$4="pvp",MIN((Skills!Y21*(1+Inputs!$B$33/100)),15)/15,(Skills!Y21*(1+Inputs!$B$33/100))/Skills!D21)))+((C955=TRUE)*(F955-Calc!F28))+((C945=TRUE)*(F945-Calc!F18)))/100)*(1+((C942=TRUE)*F942*IF(AND(Inputs!$B$4&lt;&gt;"pvp",Inputs!$B$35&gt;0),(((S942-1)*(Skills!Y15*(1+Inputs!$B$33/100))+MIN((Skills!Y15*(1+Inputs!$B$33/100)),MAX(0,Inputs!$B$35-((S942-1)*Skills!D15))))/Inputs!$B$35),IF(Inputs!$B$4="pvp",MIN((Skills!Y15*(1+Inputs!$B$33/100)),15)/15,(Skills!Y15*(1+Inputs!$B$33/100))/Skills!D15)))/100)*(1+((C933=TRUE)*F933*B961)/100))*B969*I944)</f>
        <v/>
      </c>
      <c r="L944">
        <f>K944*(MIN(Inputs!$B$21+((C951=TRUE)*(F951-Calc!F24)),Inputs!$B$22)/100+Inputs!$B$22/100)/2</f>
        <v/>
      </c>
      <c r="M944">
        <f>L944*(1+(Inputs!$B$9+((C953=TRUE)*(F953-Calc!F26))+B970)/100)</f>
        <v/>
      </c>
      <c r="N944">
        <f>L944*(1-MIN((Inputs!$B$8+((C952=TRUE)*(F952-Calc!F25))+B967),100)/100)+M944*(MIN((Inputs!$B$8+((C952=TRUE)*(F952-Calc!F25))+B967),100)/100)</f>
        <v/>
      </c>
      <c r="O944">
        <f>IF(C944,Inputs!$B$38*0.2*N944,0)</f>
        <v/>
      </c>
      <c r="P944">
        <f>IF(B971=0,0,O944/B971)</f>
        <v/>
      </c>
      <c r="Q944" t="n">
        <v>0</v>
      </c>
      <c r="R944" t="n">
        <v>0</v>
      </c>
      <c r="S944">
        <f>IFERROR(O944/N944,0)</f>
        <v/>
      </c>
    </row>
    <row r="945">
      <c r="A945">
        <f>Skills!A18</f>
        <v/>
      </c>
      <c r="B945">
        <f>Skills!B18</f>
        <v/>
      </c>
      <c r="C945">
        <f>Inputs!$B$3&gt;=115</f>
        <v/>
      </c>
      <c r="D945">
        <f>IF(Skills!C18=1,60+Inputs!$B$24+Inputs!$B$28,IF(Skills!C18=2,90+Inputs!$B$25+Inputs!$B$28,IF(Skills!C18=3,120+Inputs!$B$26+Inputs!$B$28,MAX(0,(Inputs!$B$3-100)*3)+(Inputs!$B$27+1)+Inputs!$B$28)))</f>
        <v/>
      </c>
      <c r="E945">
        <f>INDEX(FactorTable!$B$2:$Y$301, MATCH(ROUND(MIN(300,MAX(1,D945)),0), FactorTable!$A$2:$A$301,0), Skills!M18+1)</f>
        <v/>
      </c>
      <c r="F945">
        <f>IF(Skills!N18=TRUE,(Skills!L18/10)*(E945/1000),Skills!L18/10)+Skills!O18</f>
        <v/>
      </c>
      <c r="G945">
        <f>Calc!G18</f>
        <v/>
      </c>
      <c r="H945">
        <f>Calc!H18</f>
        <v/>
      </c>
      <c r="I945">
        <f>IF(Skills!AA18&lt;&gt;"",1+(Skills!AA18/10)*(U930/1000)/100,1)</f>
        <v/>
      </c>
      <c r="J945" t="inlineStr"/>
      <c r="K945" t="inlineStr"/>
      <c r="L945" t="inlineStr"/>
      <c r="M945" t="inlineStr"/>
      <c r="N945" t="inlineStr"/>
      <c r="O945" t="n">
        <v>0</v>
      </c>
      <c r="P945">
        <f>IF(B971=0,0,O945/B971)</f>
        <v/>
      </c>
      <c r="Q945" t="n">
        <v>0</v>
      </c>
      <c r="R945" t="n">
        <v>0</v>
      </c>
      <c r="S945">
        <f>IFERROR(O945/N945,0)</f>
        <v/>
      </c>
    </row>
    <row r="946">
      <c r="A946">
        <f>Skills!A19</f>
        <v/>
      </c>
      <c r="B946">
        <f>Skills!B19</f>
        <v/>
      </c>
      <c r="C946">
        <f>TRUE</f>
        <v/>
      </c>
      <c r="D946">
        <f>IF(Skills!C19=1,60+Inputs!$B$24+Inputs!$B$28,IF(Skills!C19=2,90+Inputs!$B$25+Inputs!$B$28,IF(Skills!C19=3,120+Inputs!$B$26+Inputs!$B$28,MAX(0,(Inputs!$B$3-100)*3)+(Inputs!$B$27+1)+Inputs!$B$28)))</f>
        <v/>
      </c>
      <c r="E946">
        <f>INDEX(FactorTable!$B$2:$Y$301, MATCH(ROUND(MIN(300,MAX(1,D946)),0), FactorTable!$A$2:$A$301,0), Skills!M19+1)</f>
        <v/>
      </c>
      <c r="F946">
        <f>IF(Skills!N19=TRUE,(Skills!L19/10)*(E946/1000),Skills!L19/10)+Skills!O19</f>
        <v/>
      </c>
      <c r="G946">
        <f>Calc!G19</f>
        <v/>
      </c>
      <c r="H946">
        <f>Calc!H19</f>
        <v/>
      </c>
      <c r="I946">
        <f>IF(Skills!AA19&lt;&gt;"",1+(Skills!AA19/10)*(U930/1000)/100,1)</f>
        <v/>
      </c>
      <c r="J946" t="inlineStr"/>
      <c r="K946" t="inlineStr"/>
      <c r="L946" t="inlineStr"/>
      <c r="M946" t="inlineStr"/>
      <c r="N946" t="inlineStr"/>
      <c r="O946" t="n">
        <v>0</v>
      </c>
      <c r="P946">
        <f>IF(B971=0,0,O946/B971)</f>
        <v/>
      </c>
      <c r="Q946">
        <f>IFERROR(1/IF(Inputs!$B$4="pvp",15,MAX(0.1,Skills!D19-IF(Skills!E19=TRUE,Inputs!$B$31,0))),0)</f>
        <v/>
      </c>
      <c r="R946">
        <f>IF(AND(Inputs!$B$4&lt;&gt;"pvp",Inputs!$B$35&gt;0),(INT(Inputs!$B$35/IF(Inputs!$B$4="pvp",15,MAX(0.1,Skills!D19-IF(Skills!E19=TRUE,Inputs!$B$31,0))))+1),0)</f>
        <v/>
      </c>
      <c r="S946">
        <f>IFERROR(O946/N946,0)</f>
        <v/>
      </c>
    </row>
    <row r="947">
      <c r="A947">
        <f>Skills!A20</f>
        <v/>
      </c>
      <c r="B947">
        <f>Skills!B20</f>
        <v/>
      </c>
      <c r="C947">
        <f>Inputs!$B$3&gt;=15</f>
        <v/>
      </c>
      <c r="D947">
        <f>IF(Skills!C20=1,60+Inputs!$B$24+Inputs!$B$28,IF(Skills!C20=2,90+Inputs!$B$25+Inputs!$B$28,IF(Skills!C20=3,120+Inputs!$B$26+Inputs!$B$28,MAX(0,(Inputs!$B$3-100)*3)+(Inputs!$B$27+1)+Inputs!$B$28)))</f>
        <v/>
      </c>
      <c r="E947">
        <f>INDEX(FactorTable!$B$2:$Y$301, MATCH(ROUND(MIN(300,MAX(1,D947)),0), FactorTable!$A$2:$A$301,0), Skills!M20+1)</f>
        <v/>
      </c>
      <c r="F947">
        <f>IF(Skills!N20=TRUE,(Skills!L20/10)*(E947/1000),Skills!L20/10)+Skills!O20</f>
        <v/>
      </c>
      <c r="G947">
        <f>Calc!G20</f>
        <v/>
      </c>
      <c r="H947">
        <f>Calc!H20</f>
        <v/>
      </c>
      <c r="I947">
        <f>IF(Skills!AA20&lt;&gt;"",1+(Skills!AA20/10)*(U930/1000)/100,1)</f>
        <v/>
      </c>
      <c r="J947" t="inlineStr"/>
      <c r="K947" t="inlineStr"/>
      <c r="L947" t="inlineStr"/>
      <c r="M947" t="inlineStr"/>
      <c r="N947" t="inlineStr"/>
      <c r="O947" t="n">
        <v>0</v>
      </c>
      <c r="P947">
        <f>IF(B971=0,0,O947/B971)</f>
        <v/>
      </c>
      <c r="Q947">
        <f>IFERROR(1/IF(Inputs!$B$4="pvp",15,MAX(0.1,Skills!D20-IF(Skills!E20=TRUE,Inputs!$B$31,0))),0)</f>
        <v/>
      </c>
      <c r="R947">
        <f>IF(AND(Inputs!$B$4&lt;&gt;"pvp",Inputs!$B$35&gt;0),(INT(Inputs!$B$35/IF(Inputs!$B$4="pvp",15,MAX(0.1,Skills!D20-IF(Skills!E20=TRUE,Inputs!$B$31,0))))+1),0)</f>
        <v/>
      </c>
      <c r="S947">
        <f>IFERROR(O947/N947,0)</f>
        <v/>
      </c>
    </row>
    <row r="948">
      <c r="A948">
        <f>Skills!A21</f>
        <v/>
      </c>
      <c r="B948">
        <f>Skills!B21</f>
        <v/>
      </c>
      <c r="C948">
        <f>Inputs!$B$3&gt;=15</f>
        <v/>
      </c>
      <c r="D948">
        <f>IF(Skills!C21=1,60+Inputs!$B$24+Inputs!$B$28,IF(Skills!C21=2,90+Inputs!$B$25+Inputs!$B$28,IF(Skills!C21=3,120+Inputs!$B$26+Inputs!$B$28,MAX(0,(Inputs!$B$3-100)*3)+(Inputs!$B$27+1)+Inputs!$B$28)))</f>
        <v/>
      </c>
      <c r="E948">
        <f>INDEX(FactorTable!$B$2:$Y$301, MATCH(ROUND(MIN(300,MAX(1,D948)),0), FactorTable!$A$2:$A$301,0), Skills!M21+1)</f>
        <v/>
      </c>
      <c r="F948">
        <f>IF(Skills!N21=TRUE,(Skills!L21/10)*(E948/1000),Skills!L21/10)+Skills!O21</f>
        <v/>
      </c>
      <c r="G948">
        <f>Calc!G21</f>
        <v/>
      </c>
      <c r="H948">
        <f>Calc!H21</f>
        <v/>
      </c>
      <c r="I948">
        <f>IF(Skills!AA21&lt;&gt;"",1+(Skills!AA21/10)*(U930/1000)/100,1)</f>
        <v/>
      </c>
      <c r="J948" t="inlineStr"/>
      <c r="K948" t="inlineStr"/>
      <c r="L948" t="inlineStr"/>
      <c r="M948" t="inlineStr"/>
      <c r="N948" t="inlineStr"/>
      <c r="O948" t="n">
        <v>0</v>
      </c>
      <c r="P948">
        <f>IF(B971=0,0,O948/B971)</f>
        <v/>
      </c>
      <c r="Q948">
        <f>IFERROR(1/IF(Inputs!$B$4="pvp",15,MAX(0.1,Skills!D21-IF(Skills!E21=TRUE,Inputs!$B$31,0))),0)</f>
        <v/>
      </c>
      <c r="R948">
        <f>IF(AND(Inputs!$B$4&lt;&gt;"pvp",Inputs!$B$35&gt;0),(INT(Inputs!$B$35/IF(Inputs!$B$4="pvp",15,MAX(0.1,Skills!D21-IF(Skills!E21=TRUE,Inputs!$B$31,0))))+1),0)</f>
        <v/>
      </c>
      <c r="S948">
        <f>IFERROR(O948/N948,0)</f>
        <v/>
      </c>
    </row>
    <row r="949">
      <c r="A949">
        <f>Skills!A22</f>
        <v/>
      </c>
      <c r="B949">
        <f>Skills!B22</f>
        <v/>
      </c>
      <c r="C949">
        <f>Inputs!$B$3&gt;=33</f>
        <v/>
      </c>
      <c r="D949">
        <f>IF(Skills!C22=1,60+Inputs!$B$24+Inputs!$B$28,IF(Skills!C22=2,90+Inputs!$B$25+Inputs!$B$28,IF(Skills!C22=3,120+Inputs!$B$26+Inputs!$B$28,MAX(0,(Inputs!$B$3-100)*3)+(Inputs!$B$27+1)+Inputs!$B$28)))</f>
        <v/>
      </c>
      <c r="E949">
        <f>INDEX(FactorTable!$B$2:$Y$301, MATCH(ROUND(MIN(300,MAX(1,D949)),0), FactorTable!$A$2:$A$301,0), Skills!M22+1)</f>
        <v/>
      </c>
      <c r="F949">
        <f>IF(Skills!N22=TRUE,(Skills!L22/10)*(E949/1000),Skills!L22/10)+Skills!O22</f>
        <v/>
      </c>
      <c r="G949">
        <f>Calc!G22</f>
        <v/>
      </c>
      <c r="H949">
        <f>Calc!H22</f>
        <v/>
      </c>
      <c r="I949">
        <f>IF(Skills!AA22&lt;&gt;"",1+(Skills!AA22/10)*(U930/1000)/100,1)</f>
        <v/>
      </c>
      <c r="J949" t="inlineStr"/>
      <c r="K949" t="inlineStr"/>
      <c r="L949" t="inlineStr"/>
      <c r="M949" t="inlineStr"/>
      <c r="N949" t="inlineStr"/>
      <c r="O949" t="n">
        <v>0</v>
      </c>
      <c r="P949">
        <f>IF(B971=0,0,O949/B971)</f>
        <v/>
      </c>
      <c r="Q949" t="n">
        <v>0</v>
      </c>
      <c r="R949" t="n">
        <v>0</v>
      </c>
      <c r="S949">
        <f>IFERROR(O949/N949,0)</f>
        <v/>
      </c>
    </row>
    <row r="950">
      <c r="A950">
        <f>Skills!A23</f>
        <v/>
      </c>
      <c r="B950">
        <f>Skills!B23</f>
        <v/>
      </c>
      <c r="C950">
        <f>Inputs!$B$3&gt;=38</f>
        <v/>
      </c>
      <c r="D950">
        <f>IF(Skills!C23=1,60+Inputs!$B$24+Inputs!$B$28,IF(Skills!C23=2,90+Inputs!$B$25+Inputs!$B$28,IF(Skills!C23=3,120+Inputs!$B$26+Inputs!$B$28,MAX(0,(Inputs!$B$3-100)*3)+(Inputs!$B$27+1)+Inputs!$B$28)))</f>
        <v/>
      </c>
      <c r="E950">
        <f>INDEX(FactorTable!$B$2:$Y$301, MATCH(ROUND(MIN(300,MAX(1,D950)),0), FactorTable!$A$2:$A$301,0), Skills!M23+1)</f>
        <v/>
      </c>
      <c r="F950">
        <f>IF(Skills!N23=TRUE,(Skills!L23/10)*(E950/1000),Skills!L23/10)+Skills!O23</f>
        <v/>
      </c>
      <c r="G950">
        <f>Calc!G23</f>
        <v/>
      </c>
      <c r="H950">
        <f>Calc!H23</f>
        <v/>
      </c>
      <c r="I950">
        <f>IF(Skills!AA23&lt;&gt;"",1+(Skills!AA23/10)*(U930/1000)/100,1)</f>
        <v/>
      </c>
      <c r="J950" t="inlineStr"/>
      <c r="K950" t="inlineStr"/>
      <c r="L950" t="inlineStr"/>
      <c r="M950" t="inlineStr"/>
      <c r="N950" t="inlineStr"/>
      <c r="O950" t="n">
        <v>0</v>
      </c>
      <c r="P950">
        <f>IF(B971=0,0,O950/B971)</f>
        <v/>
      </c>
      <c r="Q950" t="n">
        <v>0</v>
      </c>
      <c r="R950" t="n">
        <v>0</v>
      </c>
      <c r="S950">
        <f>IFERROR(O950/N950,0)</f>
        <v/>
      </c>
    </row>
    <row r="951">
      <c r="A951">
        <f>Skills!A24</f>
        <v/>
      </c>
      <c r="B951">
        <f>Skills!B24</f>
        <v/>
      </c>
      <c r="C951">
        <f>Inputs!$B$3&gt;=40</f>
        <v/>
      </c>
      <c r="D951">
        <f>IF(Skills!C24=1,60+Inputs!$B$24+Inputs!$B$28,IF(Skills!C24=2,90+Inputs!$B$25+Inputs!$B$28,IF(Skills!C24=3,120+Inputs!$B$26+Inputs!$B$28,MAX(0,(Inputs!$B$3-100)*3)+(Inputs!$B$27+1)+Inputs!$B$28)))</f>
        <v/>
      </c>
      <c r="E951">
        <f>INDEX(FactorTable!$B$2:$Y$301, MATCH(ROUND(MIN(300,MAX(1,D951)),0), FactorTable!$A$2:$A$301,0), Skills!M24+1)</f>
        <v/>
      </c>
      <c r="F951">
        <f>IF(Skills!N24=TRUE,(Skills!L24/10)*(E951/1000),Skills!L24/10)+Skills!O24</f>
        <v/>
      </c>
      <c r="G951">
        <f>Calc!G24</f>
        <v/>
      </c>
      <c r="H951">
        <f>Calc!H24</f>
        <v/>
      </c>
      <c r="I951">
        <f>IF(Skills!AA24&lt;&gt;"",1+(Skills!AA24/10)*(U930/1000)/100,1)</f>
        <v/>
      </c>
      <c r="J951" t="inlineStr"/>
      <c r="K951" t="inlineStr"/>
      <c r="L951" t="inlineStr"/>
      <c r="M951" t="inlineStr"/>
      <c r="N951" t="inlineStr"/>
      <c r="O951" t="n">
        <v>0</v>
      </c>
      <c r="P951">
        <f>IF(B971=0,0,O951/B971)</f>
        <v/>
      </c>
      <c r="Q951" t="n">
        <v>0</v>
      </c>
      <c r="R951" t="n">
        <v>0</v>
      </c>
      <c r="S951">
        <f>IFERROR(O951/N951,0)</f>
        <v/>
      </c>
    </row>
    <row r="952">
      <c r="A952">
        <f>Skills!A25</f>
        <v/>
      </c>
      <c r="B952">
        <f>Skills!B25</f>
        <v/>
      </c>
      <c r="C952">
        <f>Inputs!$B$3&gt;=45</f>
        <v/>
      </c>
      <c r="D952">
        <f>IF(Skills!C25=1,60+Inputs!$B$24+Inputs!$B$28,IF(Skills!C25=2,90+Inputs!$B$25+Inputs!$B$28,IF(Skills!C25=3,120+Inputs!$B$26+Inputs!$B$28,MAX(0,(Inputs!$B$3-100)*3)+(Inputs!$B$27+1)+Inputs!$B$28)))</f>
        <v/>
      </c>
      <c r="E952">
        <f>INDEX(FactorTable!$B$2:$Y$301, MATCH(ROUND(MIN(300,MAX(1,D952)),0), FactorTable!$A$2:$A$301,0), Skills!M25+1)</f>
        <v/>
      </c>
      <c r="F952">
        <f>IF(Skills!N25=TRUE,(Skills!L25/10)*(E952/1000),Skills!L25/10)+Skills!O25</f>
        <v/>
      </c>
      <c r="G952">
        <f>Calc!G25</f>
        <v/>
      </c>
      <c r="H952">
        <f>Calc!H25</f>
        <v/>
      </c>
      <c r="I952">
        <f>IF(Skills!AA25&lt;&gt;"",1+(Skills!AA25/10)*(U930/1000)/100,1)</f>
        <v/>
      </c>
      <c r="J952" t="inlineStr"/>
      <c r="K952" t="inlineStr"/>
      <c r="L952" t="inlineStr"/>
      <c r="M952" t="inlineStr"/>
      <c r="N952" t="inlineStr"/>
      <c r="O952" t="n">
        <v>0</v>
      </c>
      <c r="P952">
        <f>IF(B971=0,0,O952/B971)</f>
        <v/>
      </c>
      <c r="Q952" t="n">
        <v>0</v>
      </c>
      <c r="R952" t="n">
        <v>0</v>
      </c>
      <c r="S952">
        <f>IFERROR(O952/N952,0)</f>
        <v/>
      </c>
    </row>
    <row r="953">
      <c r="A953">
        <f>Skills!A26</f>
        <v/>
      </c>
      <c r="B953">
        <f>Skills!B26</f>
        <v/>
      </c>
      <c r="C953">
        <f>Inputs!$B$3&gt;=45</f>
        <v/>
      </c>
      <c r="D953">
        <f>IF(Skills!C26=1,60+Inputs!$B$24+Inputs!$B$28,IF(Skills!C26=2,90+Inputs!$B$25+Inputs!$B$28,IF(Skills!C26=3,120+Inputs!$B$26+Inputs!$B$28,MAX(0,(Inputs!$B$3-100)*3)+(Inputs!$B$27+1)+Inputs!$B$28)))</f>
        <v/>
      </c>
      <c r="E953">
        <f>INDEX(FactorTable!$B$2:$Y$301, MATCH(ROUND(MIN(300,MAX(1,D953)),0), FactorTable!$A$2:$A$301,0), Skills!M26+1)</f>
        <v/>
      </c>
      <c r="F953">
        <f>IF(Skills!N26=TRUE,(Skills!L26/10)*(E953/1000),Skills!L26/10)+Skills!O26</f>
        <v/>
      </c>
      <c r="G953">
        <f>Calc!G26</f>
        <v/>
      </c>
      <c r="H953">
        <f>Calc!H26</f>
        <v/>
      </c>
      <c r="I953">
        <f>IF(Skills!AA26&lt;&gt;"",1+(Skills!AA26/10)*(U930/1000)/100,1)</f>
        <v/>
      </c>
      <c r="J953" t="inlineStr"/>
      <c r="K953" t="inlineStr"/>
      <c r="L953" t="inlineStr"/>
      <c r="M953" t="inlineStr"/>
      <c r="N953" t="inlineStr"/>
      <c r="O953" t="n">
        <v>0</v>
      </c>
      <c r="P953">
        <f>IF(B971=0,0,O953/B971)</f>
        <v/>
      </c>
      <c r="Q953" t="n">
        <v>0</v>
      </c>
      <c r="R953" t="n">
        <v>0</v>
      </c>
      <c r="S953">
        <f>IFERROR(O953/N953,0)</f>
        <v/>
      </c>
    </row>
    <row r="954">
      <c r="A954">
        <f>Skills!A27</f>
        <v/>
      </c>
      <c r="B954">
        <f>Skills!B27</f>
        <v/>
      </c>
      <c r="C954">
        <f>Inputs!$B$3&gt;=72</f>
        <v/>
      </c>
      <c r="D954">
        <f>IF(Skills!C27=1,60+Inputs!$B$24+Inputs!$B$28,IF(Skills!C27=2,90+Inputs!$B$25+Inputs!$B$28,IF(Skills!C27=3,120+Inputs!$B$26+Inputs!$B$28,MAX(0,(Inputs!$B$3-100)*3)+(Inputs!$B$27+1)+Inputs!$B$28)))</f>
        <v/>
      </c>
      <c r="E954">
        <f>INDEX(FactorTable!$B$2:$Y$301, MATCH(ROUND(MIN(300,MAX(1,D954)),0), FactorTable!$A$2:$A$301,0), Skills!M27+1)</f>
        <v/>
      </c>
      <c r="F954">
        <f>IF(Skills!N27=TRUE,(Skills!L27/10)*(E954/1000),Skills!L27/10)+Skills!O27</f>
        <v/>
      </c>
      <c r="G954">
        <f>Calc!G27</f>
        <v/>
      </c>
      <c r="H954">
        <f>Calc!H27</f>
        <v/>
      </c>
      <c r="I954">
        <f>IF(Skills!AA27&lt;&gt;"",1+(Skills!AA27/10)*(U930/1000)/100,1)</f>
        <v/>
      </c>
      <c r="J954" t="inlineStr"/>
      <c r="K954" t="inlineStr"/>
      <c r="L954" t="inlineStr"/>
      <c r="M954" t="inlineStr"/>
      <c r="N954" t="inlineStr"/>
      <c r="O954" t="n">
        <v>0</v>
      </c>
      <c r="P954">
        <f>IF(B971=0,0,O954/B971)</f>
        <v/>
      </c>
      <c r="Q954" t="n">
        <v>0</v>
      </c>
      <c r="R954" t="n">
        <v>0</v>
      </c>
      <c r="S954">
        <f>IFERROR(O954/N954,0)</f>
        <v/>
      </c>
    </row>
    <row r="955">
      <c r="A955">
        <f>Skills!A28</f>
        <v/>
      </c>
      <c r="B955">
        <f>Skills!B28</f>
        <v/>
      </c>
      <c r="C955">
        <f>Inputs!$B$3&gt;=75</f>
        <v/>
      </c>
      <c r="D955">
        <f>IF(Skills!C28=1,60+Inputs!$B$24+Inputs!$B$28,IF(Skills!C28=2,90+Inputs!$B$25+Inputs!$B$28,IF(Skills!C28=3,120+Inputs!$B$26+Inputs!$B$28,MAX(0,(Inputs!$B$3-100)*3)+(Inputs!$B$27+1)+Inputs!$B$28)))</f>
        <v/>
      </c>
      <c r="E955">
        <f>INDEX(FactorTable!$B$2:$Y$301, MATCH(ROUND(MIN(300,MAX(1,D955)),0), FactorTable!$A$2:$A$301,0), Skills!M28+1)</f>
        <v/>
      </c>
      <c r="F955">
        <f>IF(Skills!N28=TRUE,(Skills!L28/10)*(E955/1000),Skills!L28/10)+Skills!O28</f>
        <v/>
      </c>
      <c r="G955">
        <f>Calc!G28</f>
        <v/>
      </c>
      <c r="H955">
        <f>Calc!H28</f>
        <v/>
      </c>
      <c r="I955">
        <f>IF(Skills!AA28&lt;&gt;"",1+(Skills!AA28/10)*(U930/1000)/100,1)</f>
        <v/>
      </c>
      <c r="J955" t="inlineStr"/>
      <c r="K955" t="inlineStr"/>
      <c r="L955" t="inlineStr"/>
      <c r="M955" t="inlineStr"/>
      <c r="N955" t="inlineStr"/>
      <c r="O955" t="n">
        <v>0</v>
      </c>
      <c r="P955">
        <f>IF(B971=0,0,O955/B971)</f>
        <v/>
      </c>
      <c r="Q955" t="n">
        <v>0</v>
      </c>
      <c r="R955" t="n">
        <v>0</v>
      </c>
      <c r="S955">
        <f>IFERROR(O955/N955,0)</f>
        <v/>
      </c>
    </row>
    <row r="956">
      <c r="A956">
        <f>Skills!A29</f>
        <v/>
      </c>
      <c r="B956">
        <f>Skills!B29</f>
        <v/>
      </c>
      <c r="C956">
        <f>Inputs!$B$3&gt;=120</f>
        <v/>
      </c>
      <c r="D956">
        <f>IF(Skills!C29=1,60+Inputs!$B$24+Inputs!$B$28,IF(Skills!C29=2,90+Inputs!$B$25+Inputs!$B$28,IF(Skills!C29=3,120+Inputs!$B$26+Inputs!$B$28,MAX(0,(Inputs!$B$3-100)*3)+(Inputs!$B$27+1)+Inputs!$B$28)))</f>
        <v/>
      </c>
      <c r="E956">
        <f>INDEX(FactorTable!$B$2:$Y$301, MATCH(ROUND(MIN(300,MAX(1,D956)),0), FactorTable!$A$2:$A$301,0), Skills!M29+1)</f>
        <v/>
      </c>
      <c r="F956">
        <f>IF(Skills!N29=TRUE,(Skills!L29/10)*(E956/1000),Skills!L29/10)+Skills!O29</f>
        <v/>
      </c>
      <c r="G956">
        <f>Calc!G29</f>
        <v/>
      </c>
      <c r="H956">
        <f>Calc!H29</f>
        <v/>
      </c>
      <c r="I956">
        <f>IF(Skills!AA29&lt;&gt;"",1+(Skills!AA29/10)*(U930/1000)/100,1)</f>
        <v/>
      </c>
      <c r="J956" t="inlineStr"/>
      <c r="K956" t="inlineStr"/>
      <c r="L956" t="inlineStr"/>
      <c r="M956" t="inlineStr"/>
      <c r="N956" t="inlineStr"/>
      <c r="O956" t="n">
        <v>0</v>
      </c>
      <c r="P956">
        <f>IF(B971=0,0,O956/B971)</f>
        <v/>
      </c>
      <c r="Q956" t="n">
        <v>0</v>
      </c>
      <c r="R956" t="n">
        <v>0</v>
      </c>
      <c r="S956">
        <f>IFERROR(O956/N956,0)</f>
        <v/>
      </c>
    </row>
    <row r="957">
      <c r="A957">
        <f>Skills!A30</f>
        <v/>
      </c>
      <c r="B957">
        <f>Skills!B30</f>
        <v/>
      </c>
      <c r="C957">
        <f>Inputs!$B$3&gt;=125</f>
        <v/>
      </c>
      <c r="D957">
        <f>IF(Skills!C30=1,60+Inputs!$B$24+Inputs!$B$28,IF(Skills!C30=2,90+Inputs!$B$25+Inputs!$B$28,IF(Skills!C30=3,120+Inputs!$B$26+Inputs!$B$28,MAX(0,(Inputs!$B$3-100)*3)+(Inputs!$B$27+1)+Inputs!$B$28)))</f>
        <v/>
      </c>
      <c r="E957">
        <f>INDEX(FactorTable!$B$2:$Y$301, MATCH(ROUND(MIN(300,MAX(1,D957)),0), FactorTable!$A$2:$A$301,0), Skills!M30+1)</f>
        <v/>
      </c>
      <c r="F957">
        <f>IF(Skills!N30=TRUE,(Skills!L30/10)*(E957/1000),Skills!L30/10)+Skills!O30</f>
        <v/>
      </c>
      <c r="G957">
        <f>Calc!G30</f>
        <v/>
      </c>
      <c r="H957">
        <f>Calc!H30</f>
        <v/>
      </c>
      <c r="I957">
        <f>IF(Skills!AA30&lt;&gt;"",1+(Skills!AA30/10)*(U930/1000)/100,1)</f>
        <v/>
      </c>
      <c r="J957" t="inlineStr"/>
      <c r="K957" t="inlineStr"/>
      <c r="L957" t="inlineStr"/>
      <c r="M957" t="inlineStr"/>
      <c r="N957" t="inlineStr"/>
      <c r="O957" t="n">
        <v>0</v>
      </c>
      <c r="P957">
        <f>IF(B971=0,0,O957/B971)</f>
        <v/>
      </c>
      <c r="Q957" t="n">
        <v>0</v>
      </c>
      <c r="R957" t="n">
        <v>0</v>
      </c>
      <c r="S957">
        <f>IFERROR(O957/N957,0)</f>
        <v/>
      </c>
    </row>
    <row r="958">
      <c r="A958">
        <f>Skills!A31</f>
        <v/>
      </c>
      <c r="B958">
        <f>Skills!B31</f>
        <v/>
      </c>
      <c r="C958">
        <f>Inputs!$B$3&gt;=107</f>
        <v/>
      </c>
      <c r="D958">
        <f>IF(Skills!C31=1,60+Inputs!$B$24+Inputs!$B$28,IF(Skills!C31=2,90+Inputs!$B$25+Inputs!$B$28,IF(Skills!C31=3,120+Inputs!$B$26+Inputs!$B$28,MAX(0,(Inputs!$B$3-100)*3)+(Inputs!$B$27+1)+Inputs!$B$28)))</f>
        <v/>
      </c>
      <c r="E958">
        <f>INDEX(FactorTable!$B$2:$Y$301, MATCH(ROUND(MIN(300,MAX(1,D958)),0), FactorTable!$A$2:$A$301,0), Skills!M31+1)</f>
        <v/>
      </c>
      <c r="F958">
        <f>IF(Skills!N31=TRUE,(Skills!L31/10)*(E958/1000),Skills!L31/10)+Skills!O31</f>
        <v/>
      </c>
      <c r="G958">
        <f>Calc!G31</f>
        <v/>
      </c>
      <c r="H958">
        <f>Calc!H31</f>
        <v/>
      </c>
      <c r="I958">
        <f>IF(Skills!AA31&lt;&gt;"",1+(Skills!AA31/10)*(U930/1000)/100,1)</f>
        <v/>
      </c>
      <c r="J958" t="inlineStr"/>
      <c r="K958" t="inlineStr"/>
      <c r="L958" t="inlineStr"/>
      <c r="M958" t="inlineStr"/>
      <c r="N958" t="inlineStr"/>
      <c r="O958" t="n">
        <v>0</v>
      </c>
      <c r="P958">
        <f>IF(B971=0,0,O958/B971)</f>
        <v/>
      </c>
      <c r="Q958" t="n">
        <v>0</v>
      </c>
      <c r="R958" t="n">
        <v>0</v>
      </c>
      <c r="S958">
        <f>IFERROR(O958/N958,0)</f>
        <v/>
      </c>
    </row>
    <row r="960">
      <c r="A960" t="inlineStr">
        <is>
          <t>Actions Per Second (pre-Adrenalin)</t>
        </is>
      </c>
      <c r="B960">
        <f>1+MIN(150,150*(1-(1-(Inputs!$B$10+((C949=TRUE)*(F949-Calc!F22)))/150)*(1-((C946=TRUE)*F946*IF(AND(Inputs!$B$4&lt;&gt;"pvp",Inputs!$B$35&gt;0),(((S946-1)*(Skills!Y19*(1+Inputs!$B$33/100))+MIN((Skills!Y19*(1+Inputs!$B$33/100)),MAX(0,Inputs!$B$35-((S946-1)*Skills!D19))))/Inputs!$B$35),IF(Inputs!$B$4="pvp",MIN((Skills!Y19*(1+Inputs!$B$33/100)),15)/15,(Skills!Y19*(1+Inputs!$B$33/100))/Skills!D19)))/150)))/100</f>
        <v/>
      </c>
    </row>
    <row r="961">
      <c r="A961" t="inlineStr">
        <is>
          <t>Alchemic Adrenaline Uptime</t>
        </is>
      </c>
      <c r="B961">
        <f>(Skills!Y6*(1+Inputs!$B$33/100))/((Skills!Y6*(1+Inputs!$B$33/100))+(5/B960))</f>
        <v/>
      </c>
    </row>
    <row r="962">
      <c r="A962" t="inlineStr">
        <is>
          <t>Attack Speed Buff Bonus %</t>
        </is>
      </c>
      <c r="B962">
        <f>((C946=TRUE)*F946*IF(AND(Inputs!$B$4&lt;&gt;"pvp",Inputs!$B$35&gt;0),(((S946-1)*(Skills!Y19*(1+Inputs!$B$33/100))+MIN((Skills!Y19*(1+Inputs!$B$33/100)),MAX(0,Inputs!$B$35-((S946-1)*Skills!D19))))/Inputs!$B$35),IF(Inputs!$B$4="pvp",MIN((Skills!Y19*(1+Inputs!$B$33/100)),15)/15,(Skills!Y19*(1+Inputs!$B$33/100))/Skills!D19)))+((C934=TRUE)*F934*B961)</f>
        <v/>
      </c>
    </row>
    <row r="963">
      <c r="A963" t="inlineStr">
        <is>
          <t>Actions Per Second (final)</t>
        </is>
      </c>
      <c r="B963">
        <f>1+MIN(150,150*(1-(1-(Inputs!$B$10+((C949=TRUE)*(F949-Calc!F22)))/150)*(1-B962/150)))/100</f>
        <v/>
      </c>
    </row>
    <row r="964">
      <c r="A964" t="inlineStr">
        <is>
          <t>Skill + Buff Cast Rate</t>
        </is>
      </c>
      <c r="B964">
        <f>IF(AND(Inputs!$B$4&lt;&gt;"pvp",Inputs!$B$35&gt;0),SUMPRODUCT((Skills!E2:E31=TRUE)*(C929:C958=TRUE)*R929:R958*Skills!F2:F31)/Inputs!$B$35,SUMPRODUCT((Skills!E2:E31=TRUE)*(C929:C958=TRUE)*Q929:Q958*Skills!F2:F31))</f>
        <v/>
      </c>
    </row>
    <row r="965">
      <c r="A965" t="inlineStr">
        <is>
          <t>Showdown Casts Per Second</t>
        </is>
      </c>
      <c r="B965">
        <f>MAX(0,B963-B964)</f>
        <v/>
      </c>
    </row>
    <row r="966">
      <c r="A966" t="inlineStr">
        <is>
          <t>Average Buff Multiplier</t>
        </is>
      </c>
      <c r="B966">
        <f>(1+(((C948=TRUE)*F948*IF(AND(Inputs!$B$4&lt;&gt;"pvp",Inputs!$B$35&gt;0),(((S948-1)*(Skills!Y21*(1+Inputs!$B$33/100))+MIN((Skills!Y21*(1+Inputs!$B$33/100)),MAX(0,Inputs!$B$35-((S948-1)*Skills!D21))))/Inputs!$B$35),IF(Inputs!$B$4="pvp",MIN((Skills!Y21*(1+Inputs!$B$33/100)),15)/15,(Skills!Y21*(1+Inputs!$B$33/100))/Skills!D21)))+((C955=TRUE)*(F955-Calc!F28))+((C945=TRUE)*(F945-Calc!F18)))/100)*(1+((C942=TRUE)*F942*IF(AND(Inputs!$B$4&lt;&gt;"pvp",Inputs!$B$35&gt;0),(((S942-1)*(Skills!Y15*(1+Inputs!$B$33/100))+MIN((Skills!Y15*(1+Inputs!$B$33/100)),MAX(0,Inputs!$B$35-((S942-1)*Skills!D15))))/Inputs!$B$35),IF(Inputs!$B$4="pvp",MIN((Skills!Y15*(1+Inputs!$B$33/100)),15)/15,(Skills!Y15*(1+Inputs!$B$33/100))/Skills!D15)))/100)*(1+((C933=TRUE)*F933*B961)/100)</f>
        <v/>
      </c>
    </row>
    <row r="967">
      <c r="A967" t="inlineStr">
        <is>
          <t>Global Crit Rate Bonus %</t>
        </is>
      </c>
      <c r="B967">
        <f>IF(Inputs!$B$3&gt;=47,8,0)+((C947=TRUE)*F947*IF(AND(Inputs!$B$4&lt;&gt;"pvp",Inputs!$B$35&gt;0),(((S947-1)*(Skills!Y20*(1+Inputs!$B$33/100))+MIN((Skills!Y20*(1+Inputs!$B$33/100)),MAX(0,Inputs!$B$35-((S947-1)*Skills!D20))))/Inputs!$B$35),IF(Inputs!$B$4="pvp",MIN((Skills!Y20*(1+Inputs!$B$33/100)),15)/15,(Skills!Y20*(1+Inputs!$B$33/100))/Skills!D20)))</f>
        <v/>
      </c>
    </row>
    <row r="968">
      <c r="A968" t="inlineStr">
        <is>
          <t>Global Monster Damage-Taken Bonus %</t>
        </is>
      </c>
      <c r="B968">
        <f>IF(Inputs!$B$3&gt;=82,15,0)+((C943=TRUE)*F943*IF(AND(Inputs!$B$4&lt;&gt;"pvp",Inputs!$B$35&gt;0),(((S943-1)*(Skills!Y16*(1+Inputs!$B$33/100))+MIN((Skills!Y16*(1+Inputs!$B$33/100)),MAX(0,Inputs!$B$35-((S943-1)*Skills!D16))))/Inputs!$B$35),IF(Inputs!$B$4="pvp",MIN((Skills!Y16*(1+Inputs!$B$33/100)),15)/15,(Skills!Y16*(1+Inputs!$B$33/100))/Skills!D16)))</f>
        <v/>
      </c>
    </row>
    <row r="969">
      <c r="A969" t="inlineStr">
        <is>
          <t>Shadow Partner Average Multiplier</t>
        </is>
      </c>
      <c r="B969">
        <f>1+((C938=TRUE)*F938*I938*Skills!J11/100)/100</f>
        <v/>
      </c>
    </row>
    <row r="970">
      <c r="A970" t="inlineStr">
        <is>
          <t>Global Critical Damage Bonus % (Frailty Curse Mastery Lv.111)</t>
        </is>
      </c>
      <c r="B970">
        <f>IF(Inputs!$B$3&gt;=111,30,0)*IF(AND(Inputs!$B$4&lt;&gt;"pvp",Inputs!$B$35&gt;0),(((S943-1)*(Skills!Y16*(1+Inputs!$B$33/100))+MIN((Skills!Y16*(1+Inputs!$B$33/100)),MAX(0,Inputs!$B$35-((S943-1)*Skills!D16))))/Inputs!$B$35),IF(Inputs!$B$4="pvp",MIN((Skills!Y16*(1+Inputs!$B$33/100)),15)/15,(Skills!Y16*(1+Inputs!$B$33/100))/Skills!D16))</f>
        <v/>
      </c>
    </row>
    <row r="971">
      <c r="A971" s="5" t="inlineStr">
        <is>
          <t>TOTAL DPS</t>
        </is>
      </c>
      <c r="B971" s="5">
        <f>SUM(O929:O958)</f>
        <v/>
      </c>
    </row>
    <row r="974">
      <c r="A974" s="5" t="inlineStr">
        <is>
          <t>Stat: Skill Level Bonus — All Skills</t>
        </is>
      </c>
    </row>
    <row r="975">
      <c r="A975" s="8" t="inlineStr">
        <is>
          <t>Key</t>
        </is>
      </c>
      <c r="B975" s="8" t="inlineStr">
        <is>
          <t>Name</t>
        </is>
      </c>
      <c r="C975" s="8" t="inlineStr">
        <is>
          <t>Unlocked</t>
        </is>
      </c>
      <c r="D975" s="8" t="inlineStr">
        <is>
          <t>InputLevel</t>
        </is>
      </c>
      <c r="E975" s="8" t="inlineStr">
        <is>
          <t>Factor</t>
        </is>
      </c>
      <c r="F975" s="8" t="inlineStr">
        <is>
          <t>CoefficientPercent</t>
        </is>
      </c>
      <c r="G975" s="8" t="inlineStr">
        <is>
          <t>EffectiveHits</t>
        </is>
      </c>
      <c r="H975" s="8" t="inlineStr">
        <is>
          <t>ProcProbability</t>
        </is>
      </c>
      <c r="I975" s="8" t="inlineStr">
        <is>
          <t>MapleHeroMultiplier</t>
        </is>
      </c>
      <c r="J975" s="8" t="inlineStr">
        <is>
          <t>BaseDamage</t>
        </is>
      </c>
      <c r="K975" s="8" t="inlineStr">
        <is>
          <t>BaseHitDamage</t>
        </is>
      </c>
      <c r="L975" s="8" t="inlineStr">
        <is>
          <t>NonCritAvg</t>
        </is>
      </c>
      <c r="M975" s="8" t="inlineStr">
        <is>
          <t>CritAvg</t>
        </is>
      </c>
      <c r="N975" s="8" t="inlineStr">
        <is>
          <t>ExpectedDamage(perHit)</t>
        </is>
      </c>
      <c r="O975" s="8" t="inlineStr">
        <is>
          <t>DPS</t>
        </is>
      </c>
      <c r="P975" s="8" t="inlineStr">
        <is>
          <t>% of Total</t>
        </is>
      </c>
      <c r="Q975" s="8" t="inlineStr">
        <is>
          <t>InvCooldown</t>
        </is>
      </c>
      <c r="R975" s="8" t="inlineStr">
        <is>
          <t>CastsInFight</t>
        </is>
      </c>
      <c r="S975" s="8" t="inlineStr">
        <is>
          <t>HitRate(perSec)</t>
        </is>
      </c>
      <c r="U975" t="inlineStr">
        <is>
          <t>helpers</t>
        </is>
      </c>
    </row>
    <row r="976">
      <c r="A976">
        <f>Skills!A2</f>
        <v/>
      </c>
      <c r="B976">
        <f>Skills!B2</f>
        <v/>
      </c>
      <c r="C976">
        <f>Inputs!$B$3&gt;=100</f>
        <v/>
      </c>
      <c r="D976" t="inlineStr"/>
      <c r="E976" t="inlineStr"/>
      <c r="F976">
        <f>U980+Skills!O2</f>
        <v/>
      </c>
      <c r="G976">
        <f>Calc!G2</f>
        <v/>
      </c>
      <c r="H976">
        <f>Calc!H2</f>
        <v/>
      </c>
      <c r="I976">
        <f>IF(Skills!AA2&lt;&gt;"",1+(Skills!AA2/10)*(U977/1000)/100,1)</f>
        <v/>
      </c>
      <c r="J976">
        <f>(Inputs!$B$5*(1+Inputs!$B$6/100))*(F976/100)</f>
        <v/>
      </c>
      <c r="K976">
        <f>J976*(1+((Inputs!$B$11*(1+Inputs!$B$12/100))*0.01+Inputs!$B$13*0.0025)/100)*(1+Inputs!$B$14/100)*(1+IF(Inputs!$B$4="pvp",0,(1-Summary!$B$55)*(Inputs!$B$19+((C1001=TRUE)*(F1001-Calc!F27))+Skills!P2+B1015)+Summary!$B$55*(Inputs!$B$20+Skills!Q2+B1015))/100)*(1+Inputs!$B$15/100)*(5000/(6000+Inputs!$B$7*(1-Inputs!$B$18/100)))*(1+(Inputs!$B$23+((C1004=TRUE)*(F1004-Calc!F30)))/100)*(1+Skills!R2/100)*(1+(IF(Skills!A2="SHOWDOWN",Inputs!$B$16+((C997=TRUE)*(F997-Calc!F23)),Inputs!$B$17+((C1003=TRUE)*(F1003-Calc!F29))))/100)*(((1+(((C995=TRUE)*F995*IF(AND(Inputs!$B$4&lt;&gt;"pvp",Inputs!$B$35&gt;0),(((S995-1)*(Skills!Y21*(1+Inputs!$B$33/100))+MIN((Skills!Y21*(1+Inputs!$B$33/100)),MAX(0,Inputs!$B$35-((S995-1)*Skills!D21))))/Inputs!$B$35),IF(Inputs!$B$4="pvp",MIN((Skills!Y21*(1+Inputs!$B$33/100)),15)/15,(Skills!Y21*(1+Inputs!$B$33/100))/Skills!D21)))+((C1002=TRUE)*(F1002-Calc!F28))+((C992=TRUE)*(F992-Calc!F18)))/100)*(1+((C989=TRUE)*F989*IF(AND(Inputs!$B$4&lt;&gt;"pvp",Inputs!$B$35&gt;0),(((S989-1)*(Skills!Y15*(1+Inputs!$B$33/100))+MIN((Skills!Y15*(1+Inputs!$B$33/100)),MAX(0,Inputs!$B$35-((S989-1)*Skills!D15))))/Inputs!$B$35),IF(Inputs!$B$4="pvp",MIN((Skills!Y15*(1+Inputs!$B$33/100)),15)/15,(Skills!Y15*(1+Inputs!$B$33/100))/Skills!D15)))/100)*(1+((C980=TRUE)*F980*B1008)/100))*B1016*I976)</f>
        <v/>
      </c>
      <c r="L976">
        <f>K976*(MIN(Inputs!$B$21+((C998=TRUE)*(F998-Calc!F24)),Inputs!$B$22)/100+Inputs!$B$22/100)/2</f>
        <v/>
      </c>
      <c r="M976">
        <f>L976*(1+(Inputs!$B$9+((C1000=TRUE)*(F1000-Calc!F26))+B1017)/100)</f>
        <v/>
      </c>
      <c r="N976">
        <f>L976*(1-MIN((Inputs!$B$8+((C999=TRUE)*(F999-Calc!F25))+B1014),100)/100)+M976*(MIN((Inputs!$B$8+((C999=TRUE)*(F999-Calc!F25))+B1014),100)/100)</f>
        <v/>
      </c>
      <c r="O976">
        <f>IF(C976,Skills!G2*N976*B1012*IF(Inputs!$B$4="pvp",1,(1-Summary!$B$55)*(1)+Summary!$B$55*(MIN((6+Inputs!$B$32),Inputs!$B$37))),0)</f>
        <v/>
      </c>
      <c r="P976">
        <f>IF(B1018=0,0,O976/B1018)</f>
        <v/>
      </c>
      <c r="Q976" t="n">
        <v>0</v>
      </c>
      <c r="R976" t="n">
        <v>0</v>
      </c>
      <c r="S976">
        <f>IFERROR(O976/N976,0)</f>
        <v/>
      </c>
      <c r="U976">
        <f>MAX(0,(Inputs!$B$3-100)*3)+Inputs!$B$27+(Inputs!$B$28+1)</f>
        <v/>
      </c>
    </row>
    <row r="977">
      <c r="A977">
        <f>Skills!A3</f>
        <v/>
      </c>
      <c r="B977">
        <f>Skills!B3</f>
        <v/>
      </c>
      <c r="C977">
        <f>Inputs!$B$3&gt;=35</f>
        <v/>
      </c>
      <c r="D977">
        <f>IF(Skills!C3=1,60+Inputs!$B$24+(Inputs!$B$28+1),IF(Skills!C3=2,90+Inputs!$B$25+(Inputs!$B$28+1),IF(Skills!C3=3,120+Inputs!$B$26+(Inputs!$B$28+1),MAX(0,(Inputs!$B$3-100)*3)+Inputs!$B$27+(Inputs!$B$28+1))))</f>
        <v/>
      </c>
      <c r="E977">
        <f>INDEX(FactorTable!$B$2:$Y$301, MATCH(ROUND(MIN(300,MAX(1,D977)),0), FactorTable!$A$2:$A$301,0), Skills!M3+1)</f>
        <v/>
      </c>
      <c r="F977">
        <f>IF(Skills!N3=TRUE,(Skills!L3/10)*(E977/1000),Skills!L3/10)+Skills!O3</f>
        <v/>
      </c>
      <c r="G977">
        <f>Calc!G3</f>
        <v/>
      </c>
      <c r="H977">
        <f>Calc!H3</f>
        <v/>
      </c>
      <c r="I977">
        <f>IF(Skills!AA3&lt;&gt;"",1+(Skills!AA3/10)*(U977/1000)/100,1)</f>
        <v/>
      </c>
      <c r="J977">
        <f>(Inputs!$B$5*(1+Inputs!$B$6/100))*(F977/100)</f>
        <v/>
      </c>
      <c r="K977">
        <f>J977*(1+((Inputs!$B$11*(1+Inputs!$B$12/100))*0.01+Inputs!$B$13*0.0025)/100)*(1+Inputs!$B$14/100)*(1+IF(Inputs!$B$4="pvp",0,(1-Summary!$B$55)*(Inputs!$B$19+((C1001=TRUE)*(F1001-Calc!F27))+Skills!P3+B1015)+Summary!$B$55*(Inputs!$B$20+Skills!Q3+B1015))/100)*(1+Inputs!$B$15/100)*(5000/(6000+Inputs!$B$7*(1-Inputs!$B$18/100)))*(1+(Inputs!$B$23+((C1004=TRUE)*(F1004-Calc!F30)))/100)*(1+Skills!R3/100)*(1+(IF(Skills!A3="SHOWDOWN",Inputs!$B$16+((C997=TRUE)*(F997-Calc!F23)),Inputs!$B$17+((C1003=TRUE)*(F1003-Calc!F29))))/100)*(((1+(((C995=TRUE)*F995*IF(AND(Inputs!$B$4&lt;&gt;"pvp",Inputs!$B$35&gt;0),(((S995-1)*(Skills!Y21*(1+Inputs!$B$33/100))+MIN((Skills!Y21*(1+Inputs!$B$33/100)),MAX(0,Inputs!$B$35-((S995-1)*Skills!D21))))/Inputs!$B$35),IF(Inputs!$B$4="pvp",MIN((Skills!Y21*(1+Inputs!$B$33/100)),15)/15,(Skills!Y21*(1+Inputs!$B$33/100))/Skills!D21)))+((C1002=TRUE)*(F1002-Calc!F28))+((C992=TRUE)*(F992-Calc!F18)))/100)*(1+((C989=TRUE)*F989*IF(AND(Inputs!$B$4&lt;&gt;"pvp",Inputs!$B$35&gt;0),(((S989-1)*(Skills!Y15*(1+Inputs!$B$33/100))+MIN((Skills!Y15*(1+Inputs!$B$33/100)),MAX(0,Inputs!$B$35-((S989-1)*Skills!D15))))/Inputs!$B$35),IF(Inputs!$B$4="pvp",MIN((Skills!Y15*(1+Inputs!$B$33/100)),15)/15,(Skills!Y15*(1+Inputs!$B$33/100))/Skills!D15)))/100)*(1+((C980=TRUE)*F980*B1008)/100))*B1016*I977)</f>
        <v/>
      </c>
      <c r="L977">
        <f>K977*(MIN(Inputs!$B$21+((C998=TRUE)*(F998-Calc!F24)),Inputs!$B$22)/100+Inputs!$B$22/100)/2</f>
        <v/>
      </c>
      <c r="M977">
        <f>L977*(1+(Inputs!$B$9+((C1000=TRUE)*(F1000-Calc!F26))+B1017)/100)</f>
        <v/>
      </c>
      <c r="N977">
        <f>L977*(1-MIN((Inputs!$B$8+((C999=TRUE)*(F999-Calc!F25))+B1014),100)/100)+M977*(MIN((Inputs!$B$8+((C999=TRUE)*(F999-Calc!F25))+B1014),100)/100)</f>
        <v/>
      </c>
      <c r="O977">
        <f>IF(C977,H977*N977*IF(AND(Inputs!$B$4&lt;&gt;"pvp",Inputs!$B$35&gt;0),((Skills!G3*((R977-1)*IF(Skills!H3&gt;0,Skills!I3/Skills!H3,1)+IF(Skills!H3&gt;0,MIN(Skills!I3,MAX(0,Inputs!$B$35-((R977-1)*IF(Inputs!$B$4="pvp",15,MAX(0.1,Skills!D3-IF(Skills!E3=TRUE,Inputs!$B$31,0))))))/Skills!H3,1)))/Inputs!$B$35),G977*Q977)*IF(Inputs!$B$4="pvp",1,(1-Summary!$B$55)*(1)+Summary!$B$55*(MIN(Skills!W3,Inputs!$B$37))),0)</f>
        <v/>
      </c>
      <c r="P977">
        <f>IF(B1018=0,0,O977/B1018)</f>
        <v/>
      </c>
      <c r="Q977">
        <f>IFERROR(1/IF(Inputs!$B$4="pvp",15,MAX(0.1,Skills!D3-IF(Skills!E3=TRUE,Inputs!$B$31,0))),0)</f>
        <v/>
      </c>
      <c r="R977">
        <f>IF(AND(Inputs!$B$4&lt;&gt;"pvp",Inputs!$B$35&gt;0),(INT(Inputs!$B$35/IF(Inputs!$B$4="pvp",15,MAX(0.1,Skills!D3-IF(Skills!E3=TRUE,Inputs!$B$31,0))))+1),0)</f>
        <v/>
      </c>
      <c r="S977">
        <f>IFERROR(O977/N977,0)</f>
        <v/>
      </c>
      <c r="U977">
        <f>INDEX(FactorTable!$B$2:$Y$301, MATCH(ROUND(MIN(300,MAX(1,U976)),0), FactorTable!$A$2:$A$301,0), 24)</f>
        <v/>
      </c>
    </row>
    <row r="978">
      <c r="A978">
        <f>Skills!A4</f>
        <v/>
      </c>
      <c r="B978">
        <f>Skills!B4</f>
        <v/>
      </c>
      <c r="C978">
        <f>Inputs!$B$3&gt;=40</f>
        <v/>
      </c>
      <c r="D978">
        <f>IF(Skills!C4=1,60+Inputs!$B$24+(Inputs!$B$28+1),IF(Skills!C4=2,90+Inputs!$B$25+(Inputs!$B$28+1),IF(Skills!C4=3,120+Inputs!$B$26+(Inputs!$B$28+1),MAX(0,(Inputs!$B$3-100)*3)+Inputs!$B$27+(Inputs!$B$28+1))))</f>
        <v/>
      </c>
      <c r="E978">
        <f>INDEX(FactorTable!$B$2:$Y$301, MATCH(ROUND(MIN(300,MAX(1,D978)),0), FactorTable!$A$2:$A$301,0), Skills!M4+1)</f>
        <v/>
      </c>
      <c r="F978">
        <f>IF(Skills!N4=TRUE,(Skills!L4/10)*(E978/1000),Skills!L4/10)+Skills!O4</f>
        <v/>
      </c>
      <c r="G978">
        <f>Calc!G4</f>
        <v/>
      </c>
      <c r="H978">
        <f>Calc!H4</f>
        <v/>
      </c>
      <c r="I978">
        <f>IF(Skills!AA4&lt;&gt;"",1+(Skills!AA4/10)*(U977/1000)/100,1)</f>
        <v/>
      </c>
      <c r="J978">
        <f>(Inputs!$B$5*(1+Inputs!$B$6/100))*(F978/100)</f>
        <v/>
      </c>
      <c r="K978">
        <f>J978*(1+((Inputs!$B$11*(1+Inputs!$B$12/100))*0.01+Inputs!$B$13*0.0025)/100)*(1+Inputs!$B$14/100)*(1+IF(Inputs!$B$4="pvp",0,(1-Summary!$B$55)*(Inputs!$B$19+((C1001=TRUE)*(F1001-Calc!F27))+Skills!P4+B1015)+Summary!$B$55*(Inputs!$B$20+Skills!Q4+B1015))/100)*(1+Inputs!$B$15/100)*(5000/(6000+Inputs!$B$7*(1-Inputs!$B$18/100)))*(1+(Inputs!$B$23+((C1004=TRUE)*(F1004-Calc!F30)))/100)*(1+Skills!R4/100)*(1+(IF(Skills!A4="SHOWDOWN",Inputs!$B$16+((C997=TRUE)*(F997-Calc!F23)),Inputs!$B$17+((C1003=TRUE)*(F1003-Calc!F29))))/100)*(((1+(((C995=TRUE)*F995*IF(AND(Inputs!$B$4&lt;&gt;"pvp",Inputs!$B$35&gt;0),(((S995-1)*(Skills!Y21*(1+Inputs!$B$33/100))+MIN((Skills!Y21*(1+Inputs!$B$33/100)),MAX(0,Inputs!$B$35-((S995-1)*Skills!D21))))/Inputs!$B$35),IF(Inputs!$B$4="pvp",MIN((Skills!Y21*(1+Inputs!$B$33/100)),15)/15,(Skills!Y21*(1+Inputs!$B$33/100))/Skills!D21)))+((C1002=TRUE)*(F1002-Calc!F28))+((C992=TRUE)*(F992-Calc!F18)))/100)*(1+((C989=TRUE)*F989*IF(AND(Inputs!$B$4&lt;&gt;"pvp",Inputs!$B$35&gt;0),(((S989-1)*(Skills!Y15*(1+Inputs!$B$33/100))+MIN((Skills!Y15*(1+Inputs!$B$33/100)),MAX(0,Inputs!$B$35-((S989-1)*Skills!D15))))/Inputs!$B$35),IF(Inputs!$B$4="pvp",MIN((Skills!Y15*(1+Inputs!$B$33/100)),15)/15,(Skills!Y15*(1+Inputs!$B$33/100))/Skills!D15)))/100)*(1+((C980=TRUE)*F980*B1008)/100))*B1016*I978)</f>
        <v/>
      </c>
      <c r="L978">
        <f>K978*(MIN(Inputs!$B$21+((C998=TRUE)*(F998-Calc!F24)),Inputs!$B$22)/100+Inputs!$B$22/100)/2</f>
        <v/>
      </c>
      <c r="M978">
        <f>L978*(1+(Inputs!$B$9+((C1000=TRUE)*(F1000-Calc!F26))+B1017)/100)</f>
        <v/>
      </c>
      <c r="N978">
        <f>L978*(1-MIN((Inputs!$B$8+((C999=TRUE)*(F999-Calc!F25))+B1014),100)/100)+M978*(MIN((Inputs!$B$8+((C999=TRUE)*(F999-Calc!F25))+B1014),100)/100)</f>
        <v/>
      </c>
      <c r="O978">
        <f>IF(C978,H978*N978*IF(AND(Inputs!$B$4&lt;&gt;"pvp",Inputs!$B$35&gt;0),((Skills!G4*((R978-1)*IF(Skills!H4&gt;0,Skills!I4/Skills!H4,1)+IF(Skills!H4&gt;0,MIN(Skills!I4,MAX(0,Inputs!$B$35-((R978-1)*IF(Inputs!$B$4="pvp",15,MAX(0.1,Skills!D4-IF(Skills!E4=TRUE,Inputs!$B$31,0))))))/Skills!H4,1)))/Inputs!$B$35),G978*Q978)*IF(Inputs!$B$4="pvp",1,(1-Summary!$B$55)*(1)+Summary!$B$55*(MIN(Skills!W4,Inputs!$B$37))),0)</f>
        <v/>
      </c>
      <c r="P978">
        <f>IF(B1018=0,0,O978/B1018)</f>
        <v/>
      </c>
      <c r="Q978">
        <f>IFERROR(1/IF(Inputs!$B$4="pvp",15,MAX(0.1,Skills!D4-IF(Skills!E4=TRUE,Inputs!$B$31,0))),0)</f>
        <v/>
      </c>
      <c r="R978">
        <f>IF(AND(Inputs!$B$4&lt;&gt;"pvp",Inputs!$B$35&gt;0),(INT(Inputs!$B$35/IF(Inputs!$B$4="pvp",15,MAX(0.1,Skills!D4-IF(Skills!E4=TRUE,Inputs!$B$31,0))))+1),0)</f>
        <v/>
      </c>
      <c r="S978">
        <f>IFERROR(O978/N978,0)</f>
        <v/>
      </c>
      <c r="U978">
        <f>MAX(0,(Inputs!$B$3-100)*3)+Inputs!$B$27+(Inputs!$B$28+1)</f>
        <v/>
      </c>
    </row>
    <row r="979">
      <c r="A979">
        <f>Skills!A5</f>
        <v/>
      </c>
      <c r="B979">
        <f>Skills!B5</f>
        <v/>
      </c>
      <c r="C979">
        <f>Inputs!$B$3&gt;=63</f>
        <v/>
      </c>
      <c r="D979">
        <f>IF(Skills!C5=1,60+Inputs!$B$24+(Inputs!$B$28+1),IF(Skills!C5=2,90+Inputs!$B$25+(Inputs!$B$28+1),IF(Skills!C5=3,120+Inputs!$B$26+(Inputs!$B$28+1),MAX(0,(Inputs!$B$3-100)*3)+Inputs!$B$27+(Inputs!$B$28+1))))</f>
        <v/>
      </c>
      <c r="E979">
        <f>INDEX(FactorTable!$B$2:$Y$301, MATCH(ROUND(MIN(300,MAX(1,D979)),0), FactorTable!$A$2:$A$301,0), Skills!M5+1)</f>
        <v/>
      </c>
      <c r="F979">
        <f>IF(Skills!N5=TRUE,(Skills!L5/10)*(E979/1000),Skills!L5/10)+Skills!O5</f>
        <v/>
      </c>
      <c r="G979">
        <f>Calc!G5</f>
        <v/>
      </c>
      <c r="H979">
        <f>Calc!H5</f>
        <v/>
      </c>
      <c r="I979">
        <f>IF(Skills!AA5&lt;&gt;"",1+(Skills!AA5/10)*(U977/1000)/100,1)</f>
        <v/>
      </c>
      <c r="J979">
        <f>(Inputs!$B$5*(1+Inputs!$B$6/100))*(F979/100)</f>
        <v/>
      </c>
      <c r="K979">
        <f>J979*(1+((Inputs!$B$11*(1+Inputs!$B$12/100))*0.01+Inputs!$B$13*0.0025)/100)*(1+Inputs!$B$14/100)*(1+IF(Inputs!$B$4="pvp",0,(1-Summary!$B$55)*(Inputs!$B$19+((C1001=TRUE)*(F1001-Calc!F27))+Skills!P5+B1015)+Summary!$B$55*(Inputs!$B$20+Skills!Q5+B1015))/100)*(1+Inputs!$B$15/100)*(5000/(6000+Inputs!$B$7*(1-Inputs!$B$18/100)))*(1+(Inputs!$B$23+((C1004=TRUE)*(F1004-Calc!F30)))/100)*(1+Skills!R5/100)*(1+(IF(Skills!A5="SHOWDOWN",Inputs!$B$16+((C997=TRUE)*(F997-Calc!F23)),Inputs!$B$17+((C1003=TRUE)*(F1003-Calc!F29))))/100)*(((1+(((C995=TRUE)*F995*IF(AND(Inputs!$B$4&lt;&gt;"pvp",Inputs!$B$35&gt;0),(((S995-1)*(Skills!Y21*(1+Inputs!$B$33/100))+MIN((Skills!Y21*(1+Inputs!$B$33/100)),MAX(0,Inputs!$B$35-((S995-1)*Skills!D21))))/Inputs!$B$35),IF(Inputs!$B$4="pvp",MIN((Skills!Y21*(1+Inputs!$B$33/100)),15)/15,(Skills!Y21*(1+Inputs!$B$33/100))/Skills!D21)))+((C1002=TRUE)*(F1002-Calc!F28))+((C992=TRUE)*(F992-Calc!F18)))/100)*(1+((C989=TRUE)*F989*IF(AND(Inputs!$B$4&lt;&gt;"pvp",Inputs!$B$35&gt;0),(((S989-1)*(Skills!Y15*(1+Inputs!$B$33/100))+MIN((Skills!Y15*(1+Inputs!$B$33/100)),MAX(0,Inputs!$B$35-((S989-1)*Skills!D15))))/Inputs!$B$35),IF(Inputs!$B$4="pvp",MIN((Skills!Y15*(1+Inputs!$B$33/100)),15)/15,(Skills!Y15*(1+Inputs!$B$33/100))/Skills!D15)))/100)*(1+((C980=TRUE)*F980*B1008)/100))*B1016*I979)</f>
        <v/>
      </c>
      <c r="L979">
        <f>K979*(MIN(Inputs!$B$21+((C998=TRUE)*(F998-Calc!F24)),Inputs!$B$22)/100+Inputs!$B$22/100)/2</f>
        <v/>
      </c>
      <c r="M979">
        <f>L979*(1+(Inputs!$B$9+((C1000=TRUE)*(F1000-Calc!F26))+B1017)/100)</f>
        <v/>
      </c>
      <c r="N979">
        <f>L979*(1-MIN((Inputs!$B$8+((C999=TRUE)*(F999-Calc!F25))+B1014),100)/100)+M979*(MIN((Inputs!$B$8+((C999=TRUE)*(F999-Calc!F25))+B1014),100)/100)</f>
        <v/>
      </c>
      <c r="O979">
        <f>IF(C979,H979*N979*IF(AND(Inputs!$B$4&lt;&gt;"pvp",Inputs!$B$35&gt;0),((Skills!G5*((R979-1)*IF(Skills!H5&gt;0,Skills!I5/Skills!H5,1)+IF(Skills!H5&gt;0,MIN(Skills!I5,MAX(0,Inputs!$B$35-((R979-1)*IF(Inputs!$B$4="pvp",15,MAX(0.1,Skills!D5-IF(Skills!E5=TRUE,Inputs!$B$31,0))))))/Skills!H5,1)))/Inputs!$B$35),G979*Q979)*IF(Inputs!$B$4="pvp",1,(1-Summary!$B$55)*(1)+Summary!$B$55*(MIN(Skills!W5,Inputs!$B$37))),0)</f>
        <v/>
      </c>
      <c r="P979">
        <f>IF(B1018=0,0,O979/B1018)</f>
        <v/>
      </c>
      <c r="Q979">
        <f>IFERROR(1/IF(Inputs!$B$4="pvp",15,MAX(0.1,Skills!D5-IF(Skills!E5=TRUE,Inputs!$B$31,0))),0)</f>
        <v/>
      </c>
      <c r="R979">
        <f>IF(AND(Inputs!$B$4&lt;&gt;"pvp",Inputs!$B$35&gt;0),(INT(Inputs!$B$35/IF(Inputs!$B$4="pvp",15,MAX(0.1,Skills!D5-IF(Skills!E5=TRUE,Inputs!$B$31,0))))+1),0)</f>
        <v/>
      </c>
      <c r="S979">
        <f>IFERROR(O979/N979,0)</f>
        <v/>
      </c>
      <c r="U979">
        <f>INDEX(FactorTable!$B$2:$Y$301, MATCH(ROUND(MIN(300,MAX(1,U978)),0), FactorTable!$A$2:$A$301,0), 22)</f>
        <v/>
      </c>
    </row>
    <row r="980">
      <c r="A980">
        <f>Skills!A6</f>
        <v/>
      </c>
      <c r="B980">
        <f>Skills!B6</f>
        <v/>
      </c>
      <c r="C980">
        <f>Inputs!$B$3&gt;=66</f>
        <v/>
      </c>
      <c r="D980">
        <f>IF(Skills!C6=1,60+Inputs!$B$24+(Inputs!$B$28+1),IF(Skills!C6=2,90+Inputs!$B$25+(Inputs!$B$28+1),IF(Skills!C6=3,120+Inputs!$B$26+(Inputs!$B$28+1),MAX(0,(Inputs!$B$3-100)*3)+Inputs!$B$27+(Inputs!$B$28+1))))</f>
        <v/>
      </c>
      <c r="E980">
        <f>INDEX(FactorTable!$B$2:$Y$301, MATCH(ROUND(MIN(300,MAX(1,D980)),0), FactorTable!$A$2:$A$301,0), Skills!M6+1)</f>
        <v/>
      </c>
      <c r="F980">
        <f>IF(Skills!N6=TRUE,(Skills!L6/10)*(E980/1000),Skills!L6/10)+Skills!O6</f>
        <v/>
      </c>
      <c r="G980">
        <f>Calc!G6</f>
        <v/>
      </c>
      <c r="H980">
        <f>Calc!H6</f>
        <v/>
      </c>
      <c r="I980">
        <f>IF(Skills!AA6&lt;&gt;"",1+(Skills!AA6/10)*(U977/1000)/100,1)</f>
        <v/>
      </c>
      <c r="J980" t="inlineStr"/>
      <c r="K980" t="inlineStr"/>
      <c r="L980" t="inlineStr"/>
      <c r="M980" t="inlineStr"/>
      <c r="N980" t="inlineStr"/>
      <c r="O980" t="n">
        <v>0</v>
      </c>
      <c r="P980">
        <f>IF(B1018=0,0,O980/B1018)</f>
        <v/>
      </c>
      <c r="Q980" t="n">
        <v>0</v>
      </c>
      <c r="R980" t="n">
        <v>0</v>
      </c>
      <c r="S980">
        <f>IFERROR(O980/N980,0)</f>
        <v/>
      </c>
      <c r="U980">
        <f>290*U979/1000</f>
        <v/>
      </c>
    </row>
    <row r="981">
      <c r="A981">
        <f>Skills!A7</f>
        <v/>
      </c>
      <c r="B981">
        <f>Skills!B7</f>
        <v/>
      </c>
      <c r="C981">
        <f>Inputs!$B$3&gt;=66</f>
        <v/>
      </c>
      <c r="D981">
        <f>IF(Skills!C7=1,60+Inputs!$B$24+(Inputs!$B$28+1),IF(Skills!C7=2,90+Inputs!$B$25+(Inputs!$B$28+1),IF(Skills!C7=3,120+Inputs!$B$26+(Inputs!$B$28+1),MAX(0,(Inputs!$B$3-100)*3)+Inputs!$B$27+(Inputs!$B$28+1))))</f>
        <v/>
      </c>
      <c r="E981">
        <f>INDEX(FactorTable!$B$2:$Y$301, MATCH(ROUND(MIN(300,MAX(1,D981)),0), FactorTable!$A$2:$A$301,0), Skills!M7+1)</f>
        <v/>
      </c>
      <c r="F981">
        <f>IF(Skills!N7=TRUE,(Skills!L7/10)*(E981/1000),Skills!L7/10)+Skills!O7</f>
        <v/>
      </c>
      <c r="G981">
        <f>Calc!G7</f>
        <v/>
      </c>
      <c r="H981">
        <f>Calc!H7</f>
        <v/>
      </c>
      <c r="I981">
        <f>IF(Skills!AA7&lt;&gt;"",1+(Skills!AA7/10)*(U977/1000)/100,1)</f>
        <v/>
      </c>
      <c r="J981" t="inlineStr"/>
      <c r="K981" t="inlineStr"/>
      <c r="L981" t="inlineStr"/>
      <c r="M981" t="inlineStr"/>
      <c r="N981" t="inlineStr"/>
      <c r="O981" t="n">
        <v>0</v>
      </c>
      <c r="P981">
        <f>IF(B1018=0,0,O981/B1018)</f>
        <v/>
      </c>
      <c r="Q981" t="n">
        <v>0</v>
      </c>
      <c r="R981" t="n">
        <v>0</v>
      </c>
      <c r="S981">
        <f>IFERROR(O981/N981,0)</f>
        <v/>
      </c>
    </row>
    <row r="982">
      <c r="A982">
        <f>Skills!A8</f>
        <v/>
      </c>
      <c r="B982">
        <f>Skills!B8</f>
        <v/>
      </c>
      <c r="C982">
        <f>Inputs!$B$3&gt;=69</f>
        <v/>
      </c>
      <c r="D982">
        <f>IF(Skills!C8=1,60+Inputs!$B$24+(Inputs!$B$28+1),IF(Skills!C8=2,90+Inputs!$B$25+(Inputs!$B$28+1),IF(Skills!C8=3,120+Inputs!$B$26+(Inputs!$B$28+1),MAX(0,(Inputs!$B$3-100)*3)+Inputs!$B$27+(Inputs!$B$28+1))))</f>
        <v/>
      </c>
      <c r="E982">
        <f>INDEX(FactorTable!$B$2:$Y$301, MATCH(ROUND(MIN(300,MAX(1,D982)),0), FactorTable!$A$2:$A$301,0), Skills!M8+1)</f>
        <v/>
      </c>
      <c r="F982">
        <f>IF(Skills!N8=TRUE,(Skills!L8/10)*(E982/1000),Skills!L8/10)+Skills!O8</f>
        <v/>
      </c>
      <c r="G982">
        <f>Calc!G8</f>
        <v/>
      </c>
      <c r="H982">
        <f>Calc!H8</f>
        <v/>
      </c>
      <c r="I982">
        <f>IF(Skills!AA8&lt;&gt;"",1+(Skills!AA8/10)*(U977/1000)/100,1)</f>
        <v/>
      </c>
      <c r="J982">
        <f>(Inputs!$B$5*(1+Inputs!$B$6/100))*(F982/100)</f>
        <v/>
      </c>
      <c r="K982">
        <f>J982*(1+((Inputs!$B$11*(1+Inputs!$B$12/100))*0.01+Inputs!$B$13*0.0025)/100)*(1+Inputs!$B$14/100)*(1+IF(Inputs!$B$4="pvp",0,(1-Summary!$B$55)*(Inputs!$B$19+((C1001=TRUE)*(F1001-Calc!F27))+Skills!P8+B1015)+Summary!$B$55*(Inputs!$B$20+Skills!Q8+B1015))/100)*(1+Inputs!$B$15/100)*(5000/(6000+Inputs!$B$7*(1-Inputs!$B$18/100)))*(1+(Inputs!$B$23+((C1004=TRUE)*(F1004-Calc!F30)))/100)*(1+Skills!R8/100)*(1+(IF(Skills!A8="SHOWDOWN",Inputs!$B$16+((C997=TRUE)*(F997-Calc!F23)),Inputs!$B$17+((C1003=TRUE)*(F1003-Calc!F29))))/100)*(((1+(((C995=TRUE)*F995*IF(AND(Inputs!$B$4&lt;&gt;"pvp",Inputs!$B$35&gt;0),(((S995-1)*(Skills!Y21*(1+Inputs!$B$33/100))+MIN((Skills!Y21*(1+Inputs!$B$33/100)),MAX(0,Inputs!$B$35-((S995-1)*Skills!D21))))/Inputs!$B$35),IF(Inputs!$B$4="pvp",MIN((Skills!Y21*(1+Inputs!$B$33/100)),15)/15,(Skills!Y21*(1+Inputs!$B$33/100))/Skills!D21)))+((C1002=TRUE)*(F1002-Calc!F28))+((C992=TRUE)*(F992-Calc!F18)))/100)*(1+((C989=TRUE)*F989*IF(AND(Inputs!$B$4&lt;&gt;"pvp",Inputs!$B$35&gt;0),(((S989-1)*(Skills!Y15*(1+Inputs!$B$33/100))+MIN((Skills!Y15*(1+Inputs!$B$33/100)),MAX(0,Inputs!$B$35-((S989-1)*Skills!D15))))/Inputs!$B$35),IF(Inputs!$B$4="pvp",MIN((Skills!Y15*(1+Inputs!$B$33/100)),15)/15,(Skills!Y15*(1+Inputs!$B$33/100))/Skills!D15)))/100)*(1+((C980=TRUE)*F980*B1008)/100))*B1016*I982)</f>
        <v/>
      </c>
      <c r="L982">
        <f>K982*(MIN(Inputs!$B$21+((C998=TRUE)*(F998-Calc!F24)),Inputs!$B$22)/100+Inputs!$B$22/100)/2</f>
        <v/>
      </c>
      <c r="M982">
        <f>L982*(1+(Inputs!$B$9+((C1000=TRUE)*(F1000-Calc!F26))+B1017)/100)</f>
        <v/>
      </c>
      <c r="N982">
        <f>L982*(1-MIN((Inputs!$B$8+((C999=TRUE)*(F999-Calc!F25))+B1014),100)/100)+M982*(MIN((Inputs!$B$8+((C999=TRUE)*(F999-Calc!F25))+B1014),100)/100)</f>
        <v/>
      </c>
      <c r="O982">
        <f>IF(C982,H982*N982*IF(AND(Inputs!$B$4&lt;&gt;"pvp",Inputs!$B$35&gt;0),((Skills!G8*((R982-1)*IF(Skills!H8&gt;0,Skills!I8/Skills!H8,1)+IF(Skills!H8&gt;0,MIN(Skills!I8,MAX(0,Inputs!$B$35-((R982-1)*IF(Inputs!$B$4="pvp",15,MAX(0.1,Skills!D8-IF(Skills!E8=TRUE,Inputs!$B$31,0))))))/Skills!H8,1)))/Inputs!$B$35),G982*Q982)*IF(Inputs!$B$4="pvp",1,(1-Summary!$B$55)*(1)+Summary!$B$55*(MIN(Skills!W8,Inputs!$B$37))),0)</f>
        <v/>
      </c>
      <c r="P982">
        <f>IF(B1018=0,0,O982/B1018)</f>
        <v/>
      </c>
      <c r="Q982">
        <f>IFERROR(1/IF(Inputs!$B$4="pvp",15,MAX(0.1,Skills!D8-IF(Skills!E8=TRUE,Inputs!$B$31,0))),0)</f>
        <v/>
      </c>
      <c r="R982">
        <f>IF(AND(Inputs!$B$4&lt;&gt;"pvp",Inputs!$B$35&gt;0),(INT(Inputs!$B$35/IF(Inputs!$B$4="pvp",15,MAX(0.1,Skills!D8-IF(Skills!E8=TRUE,Inputs!$B$31,0))))+1),0)</f>
        <v/>
      </c>
      <c r="S982">
        <f>IFERROR(O982/N982,0)</f>
        <v/>
      </c>
    </row>
    <row r="983">
      <c r="A983">
        <f>Skills!A9</f>
        <v/>
      </c>
      <c r="B983">
        <f>Skills!B9</f>
        <v/>
      </c>
      <c r="C983">
        <f>Inputs!$B$3&gt;=72</f>
        <v/>
      </c>
      <c r="D983">
        <f>IF(Skills!C9=1,60+Inputs!$B$24+(Inputs!$B$28+1),IF(Skills!C9=2,90+Inputs!$B$25+(Inputs!$B$28+1),IF(Skills!C9=3,120+Inputs!$B$26+(Inputs!$B$28+1),MAX(0,(Inputs!$B$3-100)*3)+Inputs!$B$27+(Inputs!$B$28+1))))</f>
        <v/>
      </c>
      <c r="E983">
        <f>INDEX(FactorTable!$B$2:$Y$301, MATCH(ROUND(MIN(300,MAX(1,D983)),0), FactorTable!$A$2:$A$301,0), Skills!M9+1)</f>
        <v/>
      </c>
      <c r="F983">
        <f>IF(Skills!N9=TRUE,(Skills!L9/10)*(E983/1000),Skills!L9/10)+Skills!O9</f>
        <v/>
      </c>
      <c r="G983">
        <f>Calc!G9</f>
        <v/>
      </c>
      <c r="H983">
        <f>Calc!H9</f>
        <v/>
      </c>
      <c r="I983">
        <f>IF(Skills!AA9&lt;&gt;"",1+(Skills!AA9/10)*(U977/1000)/100,1)</f>
        <v/>
      </c>
      <c r="J983">
        <f>(Inputs!$B$5*(1+Inputs!$B$6/100))*(F983/100)</f>
        <v/>
      </c>
      <c r="K983">
        <f>J983*(1+((Inputs!$B$11*(1+Inputs!$B$12/100))*0.01+Inputs!$B$13*0.0025)/100)*(1+Inputs!$B$14/100)*(1+IF(Inputs!$B$4="pvp",0,(1-Summary!$B$55)*(Inputs!$B$19+((C1001=TRUE)*(F1001-Calc!F27))+Skills!P9+B1015)+Summary!$B$55*(Inputs!$B$20+Skills!Q9+B1015))/100)*(1+Inputs!$B$15/100)*(5000/(6000+Inputs!$B$7*(1-Inputs!$B$18/100)))*(1+(Inputs!$B$23+((C1004=TRUE)*(F1004-Calc!F30)))/100)*(1+Skills!R9/100)*(1+(IF(Skills!A9="SHOWDOWN",Inputs!$B$16+((C997=TRUE)*(F997-Calc!F23)),Inputs!$B$17+((C1003=TRUE)*(F1003-Calc!F29))))/100)*(((1+(((C995=TRUE)*F995*IF(AND(Inputs!$B$4&lt;&gt;"pvp",Inputs!$B$35&gt;0),(((S995-1)*(Skills!Y21*(1+Inputs!$B$33/100))+MIN((Skills!Y21*(1+Inputs!$B$33/100)),MAX(0,Inputs!$B$35-((S995-1)*Skills!D21))))/Inputs!$B$35),IF(Inputs!$B$4="pvp",MIN((Skills!Y21*(1+Inputs!$B$33/100)),15)/15,(Skills!Y21*(1+Inputs!$B$33/100))/Skills!D21)))+((C1002=TRUE)*(F1002-Calc!F28))+((C992=TRUE)*(F992-Calc!F18)))/100)*(1+((C989=TRUE)*F989*IF(AND(Inputs!$B$4&lt;&gt;"pvp",Inputs!$B$35&gt;0),(((S989-1)*(Skills!Y15*(1+Inputs!$B$33/100))+MIN((Skills!Y15*(1+Inputs!$B$33/100)),MAX(0,Inputs!$B$35-((S989-1)*Skills!D15))))/Inputs!$B$35),IF(Inputs!$B$4="pvp",MIN((Skills!Y15*(1+Inputs!$B$33/100)),15)/15,(Skills!Y15*(1+Inputs!$B$33/100))/Skills!D15)))/100)*(1+((C980=TRUE)*F980*B1008)/100))*B1016*I983)</f>
        <v/>
      </c>
      <c r="L983">
        <f>K983*(MIN(Inputs!$B$21+((C998=TRUE)*(F998-Calc!F24)),Inputs!$B$22)/100+Inputs!$B$22/100)/2</f>
        <v/>
      </c>
      <c r="M983">
        <f>L983*(1+(Inputs!$B$9+((C1000=TRUE)*(F1000-Calc!F26))+B1017)/100)</f>
        <v/>
      </c>
      <c r="N983">
        <f>L983*(1-MIN((Inputs!$B$8+((C999=TRUE)*(F999-Calc!F25))+B1014),100)/100)+M983*(MIN((Inputs!$B$8+((C999=TRUE)*(F999-Calc!F25))+B1014),100)/100)</f>
        <v/>
      </c>
      <c r="O983">
        <f>IF(C983,H983*N983*IF(AND(Inputs!$B$4&lt;&gt;"pvp",Inputs!$B$35&gt;0),((Skills!G9*((R983-1)*IF(Skills!H9&gt;0,Skills!I9/Skills!H9,1)+IF(Skills!H9&gt;0,MIN(Skills!I9,MAX(0,Inputs!$B$35-((R983-1)*IF(Inputs!$B$4="pvp",15,MAX(0.1,Skills!D9-IF(Skills!E9=TRUE,Inputs!$B$31,0))))))/Skills!H9,1)))/Inputs!$B$35),G983*Q983)*IF(Inputs!$B$4="pvp",1,(1-Summary!$B$55)*(1)+Summary!$B$55*(MIN(Skills!W9,Inputs!$B$37))),0)</f>
        <v/>
      </c>
      <c r="P983">
        <f>IF(B1018=0,0,O983/B1018)</f>
        <v/>
      </c>
      <c r="Q983">
        <f>IFERROR(1/IF(Inputs!$B$4="pvp",15,MAX(0.1,Skills!D9-IF(Skills!E9=TRUE,Inputs!$B$31,0))),0)</f>
        <v/>
      </c>
      <c r="R983">
        <f>IF(AND(Inputs!$B$4&lt;&gt;"pvp",Inputs!$B$35&gt;0),(INT(Inputs!$B$35/IF(Inputs!$B$4="pvp",15,MAX(0.1,Skills!D9-IF(Skills!E9=TRUE,Inputs!$B$31,0))))+1),0)</f>
        <v/>
      </c>
      <c r="S983">
        <f>IFERROR(O983/N983,0)</f>
        <v/>
      </c>
    </row>
    <row r="984">
      <c r="A984">
        <f>Skills!A10</f>
        <v/>
      </c>
      <c r="B984">
        <f>Skills!B10</f>
        <v/>
      </c>
      <c r="C984">
        <f>Inputs!$B$3&gt;=117</f>
        <v/>
      </c>
      <c r="D984">
        <f>IF(Skills!C10=1,60+Inputs!$B$24+(Inputs!$B$28+1),IF(Skills!C10=2,90+Inputs!$B$25+(Inputs!$B$28+1),IF(Skills!C10=3,120+Inputs!$B$26+(Inputs!$B$28+1),MAX(0,(Inputs!$B$3-100)*3)+Inputs!$B$27+(Inputs!$B$28+1))))</f>
        <v/>
      </c>
      <c r="E984">
        <f>INDEX(FactorTable!$B$2:$Y$301, MATCH(ROUND(MIN(300,MAX(1,D984)),0), FactorTable!$A$2:$A$301,0), Skills!M10+1)</f>
        <v/>
      </c>
      <c r="F984">
        <f>IF(Skills!N10=TRUE,(Skills!L10/10)*(E984/1000),Skills!L10/10)+Skills!O10</f>
        <v/>
      </c>
      <c r="G984">
        <f>Calc!G10</f>
        <v/>
      </c>
      <c r="H984">
        <f>Calc!H10</f>
        <v/>
      </c>
      <c r="I984">
        <f>IF(Skills!AA10&lt;&gt;"",1+(Skills!AA10/10)*(U977/1000)/100,1)</f>
        <v/>
      </c>
      <c r="J984">
        <f>(Inputs!$B$5*(1+Inputs!$B$6/100))*(F984/100)</f>
        <v/>
      </c>
      <c r="K984">
        <f>J984*(1+((Inputs!$B$11*(1+Inputs!$B$12/100))*0.01+Inputs!$B$13*0.0025)/100)*(1+Inputs!$B$14/100)*(1+IF(Inputs!$B$4="pvp",0,(1-Summary!$B$55)*(Inputs!$B$19+((C1001=TRUE)*(F1001-Calc!F27))+Skills!P10+B1015)+Summary!$B$55*(Inputs!$B$20+Skills!Q10+B1015))/100)*(1+Inputs!$B$15/100)*(5000/(6000+Inputs!$B$7*(1-Inputs!$B$18/100)))*(1+(Inputs!$B$23+((C1004=TRUE)*(F1004-Calc!F30)))/100)*(1+Skills!R10/100)*(1+(IF(Skills!A10="SHOWDOWN",Inputs!$B$16+((C997=TRUE)*(F997-Calc!F23)),Inputs!$B$17+((C1003=TRUE)*(F1003-Calc!F29))))/100)*(((1+(((C995=TRUE)*F995*IF(AND(Inputs!$B$4&lt;&gt;"pvp",Inputs!$B$35&gt;0),(((S995-1)*(Skills!Y21*(1+Inputs!$B$33/100))+MIN((Skills!Y21*(1+Inputs!$B$33/100)),MAX(0,Inputs!$B$35-((S995-1)*Skills!D21))))/Inputs!$B$35),IF(Inputs!$B$4="pvp",MIN((Skills!Y21*(1+Inputs!$B$33/100)),15)/15,(Skills!Y21*(1+Inputs!$B$33/100))/Skills!D21)))+((C1002=TRUE)*(F1002-Calc!F28))+((C992=TRUE)*(F992-Calc!F18)))/100)*(1+((C989=TRUE)*F989*IF(AND(Inputs!$B$4&lt;&gt;"pvp",Inputs!$B$35&gt;0),(((S989-1)*(Skills!Y15*(1+Inputs!$B$33/100))+MIN((Skills!Y15*(1+Inputs!$B$33/100)),MAX(0,Inputs!$B$35-((S989-1)*Skills!D15))))/Inputs!$B$35),IF(Inputs!$B$4="pvp",MIN((Skills!Y15*(1+Inputs!$B$33/100)),15)/15,(Skills!Y15*(1+Inputs!$B$33/100))/Skills!D15)))/100)*(1+((C980=TRUE)*F980*B1008)/100))*B1016*I984)</f>
        <v/>
      </c>
      <c r="L984">
        <f>K984*(MIN(Inputs!$B$21+((C998=TRUE)*(F998-Calc!F24)),Inputs!$B$22)/100+Inputs!$B$22/100)/2</f>
        <v/>
      </c>
      <c r="M984">
        <f>L984*(1+(Inputs!$B$9+((C1000=TRUE)*(F1000-Calc!F26))+B1017)/100)</f>
        <v/>
      </c>
      <c r="N984">
        <f>L984*(1-MIN((Inputs!$B$8+((C999=TRUE)*(F999-Calc!F25))+B1014),100)/100)+M984*(MIN((Inputs!$B$8+((C999=TRUE)*(F999-Calc!F25))+B1014),100)/100)</f>
        <v/>
      </c>
      <c r="O984">
        <f>IF(C984,0.2*SUMPRODUCT((Skills!Z2:Z31=TRUE)*(C976:C1005=TRUE)*S976:S1005)*N984,0)</f>
        <v/>
      </c>
      <c r="P984">
        <f>IF(B1018=0,0,O984/B1018)</f>
        <v/>
      </c>
      <c r="Q984" t="n">
        <v>0</v>
      </c>
      <c r="R984" t="n">
        <v>0</v>
      </c>
      <c r="S984" t="n">
        <v>0</v>
      </c>
    </row>
    <row r="985">
      <c r="A985">
        <f>Skills!A11</f>
        <v/>
      </c>
      <c r="B985">
        <f>Skills!B11</f>
        <v/>
      </c>
      <c r="C985">
        <f>Inputs!$B$3&gt;=60</f>
        <v/>
      </c>
      <c r="D985">
        <f>IF(Skills!C11=1,60+Inputs!$B$24+(Inputs!$B$28+1),IF(Skills!C11=2,90+Inputs!$B$25+(Inputs!$B$28+1),IF(Skills!C11=3,120+Inputs!$B$26+(Inputs!$B$28+1),MAX(0,(Inputs!$B$3-100)*3)+Inputs!$B$27+(Inputs!$B$28+1))))</f>
        <v/>
      </c>
      <c r="E985">
        <f>INDEX(FactorTable!$B$2:$Y$301, MATCH(ROUND(MIN(300,MAX(1,D985)),0), FactorTable!$A$2:$A$301,0), Skills!M11+1)</f>
        <v/>
      </c>
      <c r="F985">
        <f>IF(Skills!N11=TRUE,(Skills!L11/10)*(E985/1000),Skills!L11/10)+Skills!O11</f>
        <v/>
      </c>
      <c r="G985">
        <f>Calc!G11</f>
        <v/>
      </c>
      <c r="H985">
        <f>Calc!H11</f>
        <v/>
      </c>
      <c r="I985">
        <f>IF(Skills!AA11&lt;&gt;"",1+(Skills!AA11/10)*(U977/1000)/100,1)</f>
        <v/>
      </c>
      <c r="J985" t="inlineStr"/>
      <c r="K985" t="inlineStr"/>
      <c r="L985" t="inlineStr"/>
      <c r="M985" t="inlineStr"/>
      <c r="N985" t="inlineStr"/>
      <c r="O985" t="n">
        <v>0</v>
      </c>
      <c r="P985">
        <f>IF(B1018=0,0,O985/B1018)</f>
        <v/>
      </c>
      <c r="Q985" t="n">
        <v>0</v>
      </c>
      <c r="R985" t="n">
        <v>0</v>
      </c>
      <c r="S985">
        <f>IFERROR(O985/N985,0)</f>
        <v/>
      </c>
    </row>
    <row r="986">
      <c r="A986">
        <f>Skills!A12</f>
        <v/>
      </c>
      <c r="B986">
        <f>Skills!B12</f>
        <v/>
      </c>
      <c r="C986">
        <f>Inputs!$B$3&gt;=103</f>
        <v/>
      </c>
      <c r="D986">
        <f>IF(Skills!C12=1,60+Inputs!$B$24+(Inputs!$B$28+1),IF(Skills!C12=2,90+Inputs!$B$25+(Inputs!$B$28+1),IF(Skills!C12=3,120+Inputs!$B$26+(Inputs!$B$28+1),MAX(0,(Inputs!$B$3-100)*3)+Inputs!$B$27+(Inputs!$B$28+1))))</f>
        <v/>
      </c>
      <c r="E986">
        <f>INDEX(FactorTable!$B$2:$Y$301, MATCH(ROUND(MIN(300,MAX(1,D986)),0), FactorTable!$A$2:$A$301,0), Skills!M12+1)</f>
        <v/>
      </c>
      <c r="F986">
        <f>IF(Skills!N12=TRUE,(Skills!L12/10)*(E986/1000),Skills!L12/10)+Skills!O12</f>
        <v/>
      </c>
      <c r="G986">
        <f>Calc!G12</f>
        <v/>
      </c>
      <c r="H986">
        <f>Calc!H12</f>
        <v/>
      </c>
      <c r="I986">
        <f>IF(Skills!AA12&lt;&gt;"",1+(Skills!AA12/10)*(U977/1000)/100,1)</f>
        <v/>
      </c>
      <c r="J986">
        <f>(Inputs!$B$5*(1+Inputs!$B$6/100))*(F986/100)</f>
        <v/>
      </c>
      <c r="K986">
        <f>J986*(1+((Inputs!$B$11*(1+Inputs!$B$12/100))*0.01+Inputs!$B$13*0.0025)/100)*(1+Inputs!$B$14/100)*(1+IF(Inputs!$B$4="pvp",0,(1-Summary!$B$55)*(Inputs!$B$19+((C1001=TRUE)*(F1001-Calc!F27))+Skills!P12+B1015)+Summary!$B$55*(Inputs!$B$20+Skills!Q12+B1015))/100)*(1+Inputs!$B$15/100)*(5000/(6000+Inputs!$B$7*(1-Inputs!$B$18/100)))*(1+(Inputs!$B$23+((C1004=TRUE)*(F1004-Calc!F30)))/100)*(1+Skills!R12/100)*(1+(IF(Skills!A12="SHOWDOWN",Inputs!$B$16+((C997=TRUE)*(F997-Calc!F23)),Inputs!$B$17+((C1003=TRUE)*(F1003-Calc!F29))))/100)*(((1+(((C995=TRUE)*F995*IF(AND(Inputs!$B$4&lt;&gt;"pvp",Inputs!$B$35&gt;0),(((S995-1)*(Skills!Y21*(1+Inputs!$B$33/100))+MIN((Skills!Y21*(1+Inputs!$B$33/100)),MAX(0,Inputs!$B$35-((S995-1)*Skills!D21))))/Inputs!$B$35),IF(Inputs!$B$4="pvp",MIN((Skills!Y21*(1+Inputs!$B$33/100)),15)/15,(Skills!Y21*(1+Inputs!$B$33/100))/Skills!D21)))+((C1002=TRUE)*(F1002-Calc!F28))+((C992=TRUE)*(F992-Calc!F18)))/100)*(1+((C989=TRUE)*F989*IF(AND(Inputs!$B$4&lt;&gt;"pvp",Inputs!$B$35&gt;0),(((S989-1)*(Skills!Y15*(1+Inputs!$B$33/100))+MIN((Skills!Y15*(1+Inputs!$B$33/100)),MAX(0,Inputs!$B$35-((S989-1)*Skills!D15))))/Inputs!$B$35),IF(Inputs!$B$4="pvp",MIN((Skills!Y15*(1+Inputs!$B$33/100)),15)/15,(Skills!Y15*(1+Inputs!$B$33/100))/Skills!D15)))/100)*(1+((C980=TRUE)*F980*B1008)/100))*B1016*I986)</f>
        <v/>
      </c>
      <c r="L986">
        <f>K986*(MIN(Inputs!$B$21+((C998=TRUE)*(F998-Calc!F24)),Inputs!$B$22)/100+Inputs!$B$22/100)/2</f>
        <v/>
      </c>
      <c r="M986">
        <f>L986*(1+(Inputs!$B$9+((C1000=TRUE)*(F1000-Calc!F26))+B1017)/100)</f>
        <v/>
      </c>
      <c r="N986">
        <f>L986*(1-MIN((Inputs!$B$8+((C999=TRUE)*(F999-Calc!F25))+B1014),100)/100)+M986*(MIN((Inputs!$B$8+((C999=TRUE)*(F999-Calc!F25))+B1014),100)/100)</f>
        <v/>
      </c>
      <c r="O986">
        <f>IF(C986,H986*N986*IF(AND(Inputs!$B$4&lt;&gt;"pvp",Inputs!$B$35&gt;0),((Skills!G12*((R986-1)*IF(Skills!H12&gt;0,Skills!I12/Skills!H12,1)+IF(Skills!H12&gt;0,MIN(Skills!I12,MAX(0,Inputs!$B$35-((R986-1)*IF(Inputs!$B$4="pvp",15,MAX(0.1,Skills!D12-IF(Skills!E12=TRUE,Inputs!$B$31,0))))))/Skills!H12,1)))/Inputs!$B$35),G986*Q986)*IF(Inputs!$B$4="pvp",1,(1-Summary!$B$55)*(1)+Summary!$B$55*(MIN(Skills!W12,Inputs!$B$37))),0)</f>
        <v/>
      </c>
      <c r="P986">
        <f>IF(B1018=0,0,O986/B1018)</f>
        <v/>
      </c>
      <c r="Q986">
        <f>IFERROR(1/IF(Inputs!$B$4="pvp",15,MAX(0.1,Skills!D12-IF(Skills!E12=TRUE,Inputs!$B$31,0))),0)</f>
        <v/>
      </c>
      <c r="R986">
        <f>IF(AND(Inputs!$B$4&lt;&gt;"pvp",Inputs!$B$35&gt;0),(INT(Inputs!$B$35/IF(Inputs!$B$4="pvp",15,MAX(0.1,Skills!D12-IF(Skills!E12=TRUE,Inputs!$B$31,0))))+1),0)</f>
        <v/>
      </c>
      <c r="S986">
        <f>IFERROR(O986/N986,0)</f>
        <v/>
      </c>
    </row>
    <row r="987">
      <c r="A987">
        <f>Skills!A13</f>
        <v/>
      </c>
      <c r="B987">
        <f>Skills!B13</f>
        <v/>
      </c>
      <c r="C987">
        <f>Inputs!$B$3&gt;=105</f>
        <v/>
      </c>
      <c r="D987">
        <f>IF(Skills!C13=1,60+Inputs!$B$24+(Inputs!$B$28+1),IF(Skills!C13=2,90+Inputs!$B$25+(Inputs!$B$28+1),IF(Skills!C13=3,120+Inputs!$B$26+(Inputs!$B$28+1),MAX(0,(Inputs!$B$3-100)*3)+Inputs!$B$27+(Inputs!$B$28+1))))</f>
        <v/>
      </c>
      <c r="E987">
        <f>INDEX(FactorTable!$B$2:$Y$301, MATCH(ROUND(MIN(300,MAX(1,D987)),0), FactorTable!$A$2:$A$301,0), Skills!M13+1)</f>
        <v/>
      </c>
      <c r="F987">
        <f>IF(Skills!N13=TRUE,(Skills!L13/10)*(E987/1000),Skills!L13/10)+Skills!O13</f>
        <v/>
      </c>
      <c r="G987">
        <f>Calc!G13</f>
        <v/>
      </c>
      <c r="H987">
        <f>Calc!H13</f>
        <v/>
      </c>
      <c r="I987">
        <f>IF(Skills!AA13&lt;&gt;"",1+(Skills!AA13/10)*(U977/1000)/100,1)</f>
        <v/>
      </c>
      <c r="J987">
        <f>(Inputs!$B$5*(1+Inputs!$B$6/100))*(F987/100)</f>
        <v/>
      </c>
      <c r="K987">
        <f>J987*(1+((Inputs!$B$11*(1+Inputs!$B$12/100))*0.01+Inputs!$B$13*0.0025)/100)*(1+Inputs!$B$14/100)*(1+IF(Inputs!$B$4="pvp",0,(1-Summary!$B$55)*(Inputs!$B$19+((C1001=TRUE)*(F1001-Calc!F27))+Skills!P13+B1015)+Summary!$B$55*(Inputs!$B$20+Skills!Q13+B1015))/100)*(1+Inputs!$B$15/100)*(5000/(6000+Inputs!$B$7*(1-Inputs!$B$18/100)))*(1+(Inputs!$B$23+((C1004=TRUE)*(F1004-Calc!F30)))/100)*(1+Skills!R13/100)*(1+(IF(Skills!A13="SHOWDOWN",Inputs!$B$16+((C997=TRUE)*(F997-Calc!F23)),Inputs!$B$17+((C1003=TRUE)*(F1003-Calc!F29))))/100)*(((1+(((C995=TRUE)*F995*IF(AND(Inputs!$B$4&lt;&gt;"pvp",Inputs!$B$35&gt;0),(((S995-1)*(Skills!Y21*(1+Inputs!$B$33/100))+MIN((Skills!Y21*(1+Inputs!$B$33/100)),MAX(0,Inputs!$B$35-((S995-1)*Skills!D21))))/Inputs!$B$35),IF(Inputs!$B$4="pvp",MIN((Skills!Y21*(1+Inputs!$B$33/100)),15)/15,(Skills!Y21*(1+Inputs!$B$33/100))/Skills!D21)))+((C1002=TRUE)*(F1002-Calc!F28))+((C992=TRUE)*(F992-Calc!F18)))/100)*(1+((C989=TRUE)*F989*IF(AND(Inputs!$B$4&lt;&gt;"pvp",Inputs!$B$35&gt;0),(((S989-1)*(Skills!Y15*(1+Inputs!$B$33/100))+MIN((Skills!Y15*(1+Inputs!$B$33/100)),MAX(0,Inputs!$B$35-((S989-1)*Skills!D15))))/Inputs!$B$35),IF(Inputs!$B$4="pvp",MIN((Skills!Y15*(1+Inputs!$B$33/100)),15)/15,(Skills!Y15*(1+Inputs!$B$33/100))/Skills!D15)))/100)*(1+((C980=TRUE)*F980*B1008)/100))*B1016*I987)</f>
        <v/>
      </c>
      <c r="L987">
        <f>K987*(MIN(Inputs!$B$21+((C998=TRUE)*(F998-Calc!F24)),Inputs!$B$22)/100+Inputs!$B$22/100)/2</f>
        <v/>
      </c>
      <c r="M987">
        <f>L987*(1+(Inputs!$B$9+((C1000=TRUE)*(F1000-Calc!F26))+B1017)/100)</f>
        <v/>
      </c>
      <c r="N987">
        <f>L987*(1-MIN((Inputs!$B$8+((C999=TRUE)*(F999-Calc!F25))+B1014),100)/100)+M987*(MIN((Inputs!$B$8+((C999=TRUE)*(F999-Calc!F25))+B1014),100)/100)</f>
        <v/>
      </c>
      <c r="O987">
        <f>IF(C987,H987*N987*IF(AND(Inputs!$B$4&lt;&gt;"pvp",Inputs!$B$35&gt;0),((Skills!G13*((R987-1)*IF(Skills!H13&gt;0,Skills!I13/Skills!H13,1)+IF(Skills!H13&gt;0,MIN(Skills!I13,MAX(0,Inputs!$B$35-((R987-1)*IF(Inputs!$B$4="pvp",15,MAX(0.1,Skills!D13-IF(Skills!E13=TRUE,Inputs!$B$31,0))))))/Skills!H13,1)))/Inputs!$B$35),G987*Q987)*IF(Inputs!$B$4="pvp",1,(1-Summary!$B$55)*(1)+Summary!$B$55*(MIN(Skills!W13,Inputs!$B$37))),0)</f>
        <v/>
      </c>
      <c r="P987">
        <f>IF(B1018=0,0,O987/B1018)</f>
        <v/>
      </c>
      <c r="Q987">
        <f>IFERROR(1/IF(Inputs!$B$4="pvp",15,MAX(0.1,Skills!D13-IF(Skills!E13=TRUE,Inputs!$B$31,0))),0)</f>
        <v/>
      </c>
      <c r="R987">
        <f>IF(AND(Inputs!$B$4&lt;&gt;"pvp",Inputs!$B$35&gt;0),(INT(Inputs!$B$35/IF(Inputs!$B$4="pvp",15,MAX(0.1,Skills!D13-IF(Skills!E13=TRUE,Inputs!$B$31,0))))+1),0)</f>
        <v/>
      </c>
      <c r="S987">
        <f>IFERROR(O987/N987,0)</f>
        <v/>
      </c>
    </row>
    <row r="988">
      <c r="A988">
        <f>Skills!A14</f>
        <v/>
      </c>
      <c r="B988">
        <f>Skills!B14</f>
        <v/>
      </c>
      <c r="C988">
        <f>Inputs!$B$3&gt;=105</f>
        <v/>
      </c>
      <c r="D988">
        <f>IF(Skills!C14=1,60+Inputs!$B$24+(Inputs!$B$28+1),IF(Skills!C14=2,90+Inputs!$B$25+(Inputs!$B$28+1),IF(Skills!C14=3,120+Inputs!$B$26+(Inputs!$B$28+1),MAX(0,(Inputs!$B$3-100)*3)+Inputs!$B$27+(Inputs!$B$28+1))))</f>
        <v/>
      </c>
      <c r="E988">
        <f>INDEX(FactorTable!$B$2:$Y$301, MATCH(ROUND(MIN(300,MAX(1,D988)),0), FactorTable!$A$2:$A$301,0), Skills!M14+1)</f>
        <v/>
      </c>
      <c r="F988">
        <f>IF(Skills!N14=TRUE,(Skills!L14/10)*(E988/1000),Skills!L14/10)+Skills!O14</f>
        <v/>
      </c>
      <c r="G988">
        <f>Calc!G14</f>
        <v/>
      </c>
      <c r="H988">
        <f>Calc!H14</f>
        <v/>
      </c>
      <c r="I988">
        <f>IF(Skills!AA14&lt;&gt;"",1+(Skills!AA14/10)*(U977/1000)/100,1)</f>
        <v/>
      </c>
      <c r="J988">
        <f>(Inputs!$B$5*(1+Inputs!$B$6/100))*(F988/100)</f>
        <v/>
      </c>
      <c r="K988">
        <f>J988*(1+((Inputs!$B$11*(1+Inputs!$B$12/100))*0.01+Inputs!$B$13*0.0025)/100)*(1+Inputs!$B$14/100)*(1+IF(Inputs!$B$4="pvp",0,(1-Summary!$B$55)*(Inputs!$B$19+((C1001=TRUE)*(F1001-Calc!F27))+Skills!P14+B1015)+Summary!$B$55*(Inputs!$B$20+Skills!Q14+B1015))/100)*(1+Inputs!$B$15/100)*(5000/(6000+Inputs!$B$7*(1-Inputs!$B$18/100)))*(1+(Inputs!$B$23+((C1004=TRUE)*(F1004-Calc!F30)))/100)*(1+Skills!R14/100)*(1+(IF(Skills!A14="SHOWDOWN",Inputs!$B$16+((C997=TRUE)*(F997-Calc!F23)),Inputs!$B$17+((C1003=TRUE)*(F1003-Calc!F29))))/100)*(((1+(((C995=TRUE)*F995*IF(AND(Inputs!$B$4&lt;&gt;"pvp",Inputs!$B$35&gt;0),(((S995-1)*(Skills!Y21*(1+Inputs!$B$33/100))+MIN((Skills!Y21*(1+Inputs!$B$33/100)),MAX(0,Inputs!$B$35-((S995-1)*Skills!D21))))/Inputs!$B$35),IF(Inputs!$B$4="pvp",MIN((Skills!Y21*(1+Inputs!$B$33/100)),15)/15,(Skills!Y21*(1+Inputs!$B$33/100))/Skills!D21)))+((C1002=TRUE)*(F1002-Calc!F28))+((C992=TRUE)*(F992-Calc!F18)))/100)*(1+((C989=TRUE)*F989*IF(AND(Inputs!$B$4&lt;&gt;"pvp",Inputs!$B$35&gt;0),(((S989-1)*(Skills!Y15*(1+Inputs!$B$33/100))+MIN((Skills!Y15*(1+Inputs!$B$33/100)),MAX(0,Inputs!$B$35-((S989-1)*Skills!D15))))/Inputs!$B$35),IF(Inputs!$B$4="pvp",MIN((Skills!Y15*(1+Inputs!$B$33/100)),15)/15,(Skills!Y15*(1+Inputs!$B$33/100))/Skills!D15)))/100)*(1+((C980=TRUE)*F980*B1008)/100))*B1016*I988)</f>
        <v/>
      </c>
      <c r="L988">
        <f>K988*(MIN(Inputs!$B$21+((C998=TRUE)*(F998-Calc!F24)),Inputs!$B$22)/100+Inputs!$B$22/100)/2</f>
        <v/>
      </c>
      <c r="M988">
        <f>L988*(1+(Inputs!$B$9+((C1000=TRUE)*(F1000-Calc!F26))+B1017)/100)</f>
        <v/>
      </c>
      <c r="N988">
        <f>L988*(1-MIN((Inputs!$B$8+((C999=TRUE)*(F999-Calc!F25))+B1014),100)/100)+M988*(MIN((Inputs!$B$8+((C999=TRUE)*(F999-Calc!F25))+B1014),100)/100)</f>
        <v/>
      </c>
      <c r="O988">
        <f>IF(C988,H988*N988*IF(AND(Inputs!$B$4&lt;&gt;"pvp",Inputs!$B$35&gt;0),((Skills!G14*((R988-1)*IF(Skills!H14&gt;0,Skills!I14/Skills!H14,1)+IF(Skills!H14&gt;0,MIN(Skills!I14,MAX(0,Inputs!$B$35-((R988-1)*IF(Inputs!$B$4="pvp",15,MAX(0.1,Skills!D14-IF(Skills!E14=TRUE,Inputs!$B$31,0))))))/Skills!H14,1)))/Inputs!$B$35),G988*Q988)*IF(Inputs!$B$4="pvp",1,(1-Summary!$B$55)*(1)+Summary!$B$55*(MIN(Skills!W14,Inputs!$B$37))),0)</f>
        <v/>
      </c>
      <c r="P988">
        <f>IF(B1018=0,0,O988/B1018)</f>
        <v/>
      </c>
      <c r="Q988">
        <f>IFERROR(1/IF(Inputs!$B$4="pvp",15,MAX(0.1,Skills!D14-IF(Skills!E14=TRUE,Inputs!$B$31,0))),0)</f>
        <v/>
      </c>
      <c r="R988">
        <f>IF(AND(Inputs!$B$4&lt;&gt;"pvp",Inputs!$B$35&gt;0),(INT(Inputs!$B$35/IF(Inputs!$B$4="pvp",15,MAX(0.1,Skills!D14-IF(Skills!E14=TRUE,Inputs!$B$31,0))))+1),0)</f>
        <v/>
      </c>
      <c r="S988">
        <f>IFERROR(O988/N988,0)</f>
        <v/>
      </c>
    </row>
    <row r="989">
      <c r="A989">
        <f>Skills!A15</f>
        <v/>
      </c>
      <c r="B989">
        <f>Skills!B15</f>
        <v/>
      </c>
      <c r="C989">
        <f>Inputs!$B$3&gt;=110</f>
        <v/>
      </c>
      <c r="D989">
        <f>IF(Skills!C15=1,60+Inputs!$B$24+(Inputs!$B$28+1),IF(Skills!C15=2,90+Inputs!$B$25+(Inputs!$B$28+1),IF(Skills!C15=3,120+Inputs!$B$26+(Inputs!$B$28+1),MAX(0,(Inputs!$B$3-100)*3)+Inputs!$B$27+(Inputs!$B$28+1))))</f>
        <v/>
      </c>
      <c r="E989">
        <f>INDEX(FactorTable!$B$2:$Y$301, MATCH(ROUND(MIN(300,MAX(1,D989)),0), FactorTable!$A$2:$A$301,0), Skills!M15+1)</f>
        <v/>
      </c>
      <c r="F989">
        <f>IF(Skills!N15=TRUE,(Skills!L15/10)*(E989/1000),Skills!L15/10)+Skills!O15</f>
        <v/>
      </c>
      <c r="G989">
        <f>Calc!G15</f>
        <v/>
      </c>
      <c r="H989">
        <f>Calc!H15</f>
        <v/>
      </c>
      <c r="I989">
        <f>IF(Skills!AA15&lt;&gt;"",1+(Skills!AA15/10)*(U977/1000)/100,1)</f>
        <v/>
      </c>
      <c r="J989" t="inlineStr"/>
      <c r="K989" t="inlineStr"/>
      <c r="L989" t="inlineStr"/>
      <c r="M989" t="inlineStr"/>
      <c r="N989" t="inlineStr"/>
      <c r="O989" t="n">
        <v>0</v>
      </c>
      <c r="P989">
        <f>IF(B1018=0,0,O989/B1018)</f>
        <v/>
      </c>
      <c r="Q989">
        <f>IFERROR(1/IF(Inputs!$B$4="pvp",15,MAX(0.1,Skills!D15-IF(Skills!E15=TRUE,Inputs!$B$31,0))),0)</f>
        <v/>
      </c>
      <c r="R989">
        <f>IF(AND(Inputs!$B$4&lt;&gt;"pvp",Inputs!$B$35&gt;0),(INT(Inputs!$B$35/IF(Inputs!$B$4="pvp",15,MAX(0.1,Skills!D15-IF(Skills!E15=TRUE,Inputs!$B$31,0))))+1),0)</f>
        <v/>
      </c>
      <c r="S989">
        <f>IFERROR(O989/N989,0)</f>
        <v/>
      </c>
    </row>
    <row r="990">
      <c r="A990">
        <f>Skills!A16</f>
        <v/>
      </c>
      <c r="B990">
        <f>Skills!B16</f>
        <v/>
      </c>
      <c r="C990">
        <f>Inputs!$B$3&gt;=110</f>
        <v/>
      </c>
      <c r="D990">
        <f>IF(Skills!C16=1,60+Inputs!$B$24+(Inputs!$B$28+1),IF(Skills!C16=2,90+Inputs!$B$25+(Inputs!$B$28+1),IF(Skills!C16=3,120+Inputs!$B$26+(Inputs!$B$28+1),MAX(0,(Inputs!$B$3-100)*3)+Inputs!$B$27+(Inputs!$B$28+1))))</f>
        <v/>
      </c>
      <c r="E990">
        <f>INDEX(FactorTable!$B$2:$Y$301, MATCH(ROUND(MIN(300,MAX(1,D990)),0), FactorTable!$A$2:$A$301,0), Skills!M16+1)</f>
        <v/>
      </c>
      <c r="F990">
        <f>IF(Skills!N16=TRUE,(Skills!L16/10)*(E990/1000),Skills!L16/10)+Skills!O16</f>
        <v/>
      </c>
      <c r="G990">
        <f>Calc!G16</f>
        <v/>
      </c>
      <c r="H990">
        <f>Calc!H16</f>
        <v/>
      </c>
      <c r="I990">
        <f>IF(Skills!AA16&lt;&gt;"",1+(Skills!AA16/10)*(U977/1000)/100,1)</f>
        <v/>
      </c>
      <c r="J990" t="inlineStr"/>
      <c r="K990" t="inlineStr"/>
      <c r="L990" t="inlineStr"/>
      <c r="M990" t="inlineStr"/>
      <c r="N990" t="inlineStr"/>
      <c r="O990" t="n">
        <v>0</v>
      </c>
      <c r="P990">
        <f>IF(B1018=0,0,O990/B1018)</f>
        <v/>
      </c>
      <c r="Q990">
        <f>IFERROR(1/IF(Inputs!$B$4="pvp",15,MAX(0.1,Skills!D16-IF(Skills!E16=TRUE,Inputs!$B$31,0))),0)</f>
        <v/>
      </c>
      <c r="R990">
        <f>IF(AND(Inputs!$B$4&lt;&gt;"pvp",Inputs!$B$35&gt;0),(INT(Inputs!$B$35/IF(Inputs!$B$4="pvp",15,MAX(0.1,Skills!D16-IF(Skills!E16=TRUE,Inputs!$B$31,0))))+1),0)</f>
        <v/>
      </c>
      <c r="S990">
        <f>IFERROR(O990/N990,0)</f>
        <v/>
      </c>
    </row>
    <row r="991">
      <c r="A991">
        <f>Skills!A17</f>
        <v/>
      </c>
      <c r="B991">
        <f>Skills!B17</f>
        <v/>
      </c>
      <c r="C991">
        <f>Inputs!$B$3&gt;=115</f>
        <v/>
      </c>
      <c r="D991">
        <f>IF(Skills!C17=1,60+Inputs!$B$24+(Inputs!$B$28+1),IF(Skills!C17=2,90+Inputs!$B$25+(Inputs!$B$28+1),IF(Skills!C17=3,120+Inputs!$B$26+(Inputs!$B$28+1),MAX(0,(Inputs!$B$3-100)*3)+Inputs!$B$27+(Inputs!$B$28+1))))</f>
        <v/>
      </c>
      <c r="E991">
        <f>INDEX(FactorTable!$B$2:$Y$301, MATCH(ROUND(MIN(300,MAX(1,D991)),0), FactorTable!$A$2:$A$301,0), Skills!M17+1)</f>
        <v/>
      </c>
      <c r="F991">
        <f>IF(Skills!N17=TRUE,(Skills!L17/10)*(E991/1000),Skills!L17/10)+Skills!O17</f>
        <v/>
      </c>
      <c r="G991">
        <f>Calc!G17</f>
        <v/>
      </c>
      <c r="H991">
        <f>Calc!H17</f>
        <v/>
      </c>
      <c r="I991">
        <f>IF(Skills!AA17&lt;&gt;"",1+(Skills!AA17/10)*(U977/1000)/100,1)</f>
        <v/>
      </c>
      <c r="J991">
        <f>(Inputs!$B$5*(1+Inputs!$B$6/100))*(F991/100)</f>
        <v/>
      </c>
      <c r="K991">
        <f>J991*(1+((Inputs!$B$11*(1+Inputs!$B$12/100))*0.01+Inputs!$B$13*0.0025)/100)*(1+Inputs!$B$14/100)*(1+IF(Inputs!$B$4="pvp",0,(1-Summary!$B$55)*(Inputs!$B$19+((C1001=TRUE)*(F1001-Calc!F27))+Skills!P17+B1015)+Summary!$B$55*(Inputs!$B$20+Skills!Q17+B1015))/100)*(1+Inputs!$B$15/100)*(5000/(6000+Inputs!$B$7*(1-Inputs!$B$18/100)))*(1+(Inputs!$B$23+((C1004=TRUE)*(F1004-Calc!F30)))/100)*(1+Skills!R17/100)*(1+(IF(Skills!A17="SHOWDOWN",Inputs!$B$16+((C997=TRUE)*(F997-Calc!F23)),Inputs!$B$17+((C1003=TRUE)*(F1003-Calc!F29))))/100)*(((1+(((C995=TRUE)*F995*IF(AND(Inputs!$B$4&lt;&gt;"pvp",Inputs!$B$35&gt;0),(((S995-1)*(Skills!Y21*(1+Inputs!$B$33/100))+MIN((Skills!Y21*(1+Inputs!$B$33/100)),MAX(0,Inputs!$B$35-((S995-1)*Skills!D21))))/Inputs!$B$35),IF(Inputs!$B$4="pvp",MIN((Skills!Y21*(1+Inputs!$B$33/100)),15)/15,(Skills!Y21*(1+Inputs!$B$33/100))/Skills!D21)))+((C1002=TRUE)*(F1002-Calc!F28))+((C992=TRUE)*(F992-Calc!F18)))/100)*(1+((C989=TRUE)*F989*IF(AND(Inputs!$B$4&lt;&gt;"pvp",Inputs!$B$35&gt;0),(((S989-1)*(Skills!Y15*(1+Inputs!$B$33/100))+MIN((Skills!Y15*(1+Inputs!$B$33/100)),MAX(0,Inputs!$B$35-((S989-1)*Skills!D15))))/Inputs!$B$35),IF(Inputs!$B$4="pvp",MIN((Skills!Y15*(1+Inputs!$B$33/100)),15)/15,(Skills!Y15*(1+Inputs!$B$33/100))/Skills!D15)))/100)*(1+((C980=TRUE)*F980*B1008)/100))*B1016*I991)</f>
        <v/>
      </c>
      <c r="L991">
        <f>K991*(MIN(Inputs!$B$21+((C998=TRUE)*(F998-Calc!F24)),Inputs!$B$22)/100+Inputs!$B$22/100)/2</f>
        <v/>
      </c>
      <c r="M991">
        <f>L991*(1+(Inputs!$B$9+((C1000=TRUE)*(F1000-Calc!F26))+B1017)/100)</f>
        <v/>
      </c>
      <c r="N991">
        <f>L991*(1-MIN((Inputs!$B$8+((C999=TRUE)*(F999-Calc!F25))+B1014),100)/100)+M991*(MIN((Inputs!$B$8+((C999=TRUE)*(F999-Calc!F25))+B1014),100)/100)</f>
        <v/>
      </c>
      <c r="O991">
        <f>IF(C991,Inputs!$B$38*0.2*N991,0)</f>
        <v/>
      </c>
      <c r="P991">
        <f>IF(B1018=0,0,O991/B1018)</f>
        <v/>
      </c>
      <c r="Q991" t="n">
        <v>0</v>
      </c>
      <c r="R991" t="n">
        <v>0</v>
      </c>
      <c r="S991">
        <f>IFERROR(O991/N991,0)</f>
        <v/>
      </c>
    </row>
    <row r="992">
      <c r="A992">
        <f>Skills!A18</f>
        <v/>
      </c>
      <c r="B992">
        <f>Skills!B18</f>
        <v/>
      </c>
      <c r="C992">
        <f>Inputs!$B$3&gt;=115</f>
        <v/>
      </c>
      <c r="D992">
        <f>IF(Skills!C18=1,60+Inputs!$B$24+(Inputs!$B$28+1),IF(Skills!C18=2,90+Inputs!$B$25+(Inputs!$B$28+1),IF(Skills!C18=3,120+Inputs!$B$26+(Inputs!$B$28+1),MAX(0,(Inputs!$B$3-100)*3)+Inputs!$B$27+(Inputs!$B$28+1))))</f>
        <v/>
      </c>
      <c r="E992">
        <f>INDEX(FactorTable!$B$2:$Y$301, MATCH(ROUND(MIN(300,MAX(1,D992)),0), FactorTable!$A$2:$A$301,0), Skills!M18+1)</f>
        <v/>
      </c>
      <c r="F992">
        <f>IF(Skills!N18=TRUE,(Skills!L18/10)*(E992/1000),Skills!L18/10)+Skills!O18</f>
        <v/>
      </c>
      <c r="G992">
        <f>Calc!G18</f>
        <v/>
      </c>
      <c r="H992">
        <f>Calc!H18</f>
        <v/>
      </c>
      <c r="I992">
        <f>IF(Skills!AA18&lt;&gt;"",1+(Skills!AA18/10)*(U977/1000)/100,1)</f>
        <v/>
      </c>
      <c r="J992" t="inlineStr"/>
      <c r="K992" t="inlineStr"/>
      <c r="L992" t="inlineStr"/>
      <c r="M992" t="inlineStr"/>
      <c r="N992" t="inlineStr"/>
      <c r="O992" t="n">
        <v>0</v>
      </c>
      <c r="P992">
        <f>IF(B1018=0,0,O992/B1018)</f>
        <v/>
      </c>
      <c r="Q992" t="n">
        <v>0</v>
      </c>
      <c r="R992" t="n">
        <v>0</v>
      </c>
      <c r="S992">
        <f>IFERROR(O992/N992,0)</f>
        <v/>
      </c>
    </row>
    <row r="993">
      <c r="A993">
        <f>Skills!A19</f>
        <v/>
      </c>
      <c r="B993">
        <f>Skills!B19</f>
        <v/>
      </c>
      <c r="C993">
        <f>TRUE</f>
        <v/>
      </c>
      <c r="D993">
        <f>IF(Skills!C19=1,60+Inputs!$B$24+(Inputs!$B$28+1),IF(Skills!C19=2,90+Inputs!$B$25+(Inputs!$B$28+1),IF(Skills!C19=3,120+Inputs!$B$26+(Inputs!$B$28+1),MAX(0,(Inputs!$B$3-100)*3)+Inputs!$B$27+(Inputs!$B$28+1))))</f>
        <v/>
      </c>
      <c r="E993">
        <f>INDEX(FactorTable!$B$2:$Y$301, MATCH(ROUND(MIN(300,MAX(1,D993)),0), FactorTable!$A$2:$A$301,0), Skills!M19+1)</f>
        <v/>
      </c>
      <c r="F993">
        <f>IF(Skills!N19=TRUE,(Skills!L19/10)*(E993/1000),Skills!L19/10)+Skills!O19</f>
        <v/>
      </c>
      <c r="G993">
        <f>Calc!G19</f>
        <v/>
      </c>
      <c r="H993">
        <f>Calc!H19</f>
        <v/>
      </c>
      <c r="I993">
        <f>IF(Skills!AA19&lt;&gt;"",1+(Skills!AA19/10)*(U977/1000)/100,1)</f>
        <v/>
      </c>
      <c r="J993" t="inlineStr"/>
      <c r="K993" t="inlineStr"/>
      <c r="L993" t="inlineStr"/>
      <c r="M993" t="inlineStr"/>
      <c r="N993" t="inlineStr"/>
      <c r="O993" t="n">
        <v>0</v>
      </c>
      <c r="P993">
        <f>IF(B1018=0,0,O993/B1018)</f>
        <v/>
      </c>
      <c r="Q993">
        <f>IFERROR(1/IF(Inputs!$B$4="pvp",15,MAX(0.1,Skills!D19-IF(Skills!E19=TRUE,Inputs!$B$31,0))),0)</f>
        <v/>
      </c>
      <c r="R993">
        <f>IF(AND(Inputs!$B$4&lt;&gt;"pvp",Inputs!$B$35&gt;0),(INT(Inputs!$B$35/IF(Inputs!$B$4="pvp",15,MAX(0.1,Skills!D19-IF(Skills!E19=TRUE,Inputs!$B$31,0))))+1),0)</f>
        <v/>
      </c>
      <c r="S993">
        <f>IFERROR(O993/N993,0)</f>
        <v/>
      </c>
    </row>
    <row r="994">
      <c r="A994">
        <f>Skills!A20</f>
        <v/>
      </c>
      <c r="B994">
        <f>Skills!B20</f>
        <v/>
      </c>
      <c r="C994">
        <f>Inputs!$B$3&gt;=15</f>
        <v/>
      </c>
      <c r="D994">
        <f>IF(Skills!C20=1,60+Inputs!$B$24+(Inputs!$B$28+1),IF(Skills!C20=2,90+Inputs!$B$25+(Inputs!$B$28+1),IF(Skills!C20=3,120+Inputs!$B$26+(Inputs!$B$28+1),MAX(0,(Inputs!$B$3-100)*3)+Inputs!$B$27+(Inputs!$B$28+1))))</f>
        <v/>
      </c>
      <c r="E994">
        <f>INDEX(FactorTable!$B$2:$Y$301, MATCH(ROUND(MIN(300,MAX(1,D994)),0), FactorTable!$A$2:$A$301,0), Skills!M20+1)</f>
        <v/>
      </c>
      <c r="F994">
        <f>IF(Skills!N20=TRUE,(Skills!L20/10)*(E994/1000),Skills!L20/10)+Skills!O20</f>
        <v/>
      </c>
      <c r="G994">
        <f>Calc!G20</f>
        <v/>
      </c>
      <c r="H994">
        <f>Calc!H20</f>
        <v/>
      </c>
      <c r="I994">
        <f>IF(Skills!AA20&lt;&gt;"",1+(Skills!AA20/10)*(U977/1000)/100,1)</f>
        <v/>
      </c>
      <c r="J994" t="inlineStr"/>
      <c r="K994" t="inlineStr"/>
      <c r="L994" t="inlineStr"/>
      <c r="M994" t="inlineStr"/>
      <c r="N994" t="inlineStr"/>
      <c r="O994" t="n">
        <v>0</v>
      </c>
      <c r="P994">
        <f>IF(B1018=0,0,O994/B1018)</f>
        <v/>
      </c>
      <c r="Q994">
        <f>IFERROR(1/IF(Inputs!$B$4="pvp",15,MAX(0.1,Skills!D20-IF(Skills!E20=TRUE,Inputs!$B$31,0))),0)</f>
        <v/>
      </c>
      <c r="R994">
        <f>IF(AND(Inputs!$B$4&lt;&gt;"pvp",Inputs!$B$35&gt;0),(INT(Inputs!$B$35/IF(Inputs!$B$4="pvp",15,MAX(0.1,Skills!D20-IF(Skills!E20=TRUE,Inputs!$B$31,0))))+1),0)</f>
        <v/>
      </c>
      <c r="S994">
        <f>IFERROR(O994/N994,0)</f>
        <v/>
      </c>
    </row>
    <row r="995">
      <c r="A995">
        <f>Skills!A21</f>
        <v/>
      </c>
      <c r="B995">
        <f>Skills!B21</f>
        <v/>
      </c>
      <c r="C995">
        <f>Inputs!$B$3&gt;=15</f>
        <v/>
      </c>
      <c r="D995">
        <f>IF(Skills!C21=1,60+Inputs!$B$24+(Inputs!$B$28+1),IF(Skills!C21=2,90+Inputs!$B$25+(Inputs!$B$28+1),IF(Skills!C21=3,120+Inputs!$B$26+(Inputs!$B$28+1),MAX(0,(Inputs!$B$3-100)*3)+Inputs!$B$27+(Inputs!$B$28+1))))</f>
        <v/>
      </c>
      <c r="E995">
        <f>INDEX(FactorTable!$B$2:$Y$301, MATCH(ROUND(MIN(300,MAX(1,D995)),0), FactorTable!$A$2:$A$301,0), Skills!M21+1)</f>
        <v/>
      </c>
      <c r="F995">
        <f>IF(Skills!N21=TRUE,(Skills!L21/10)*(E995/1000),Skills!L21/10)+Skills!O21</f>
        <v/>
      </c>
      <c r="G995">
        <f>Calc!G21</f>
        <v/>
      </c>
      <c r="H995">
        <f>Calc!H21</f>
        <v/>
      </c>
      <c r="I995">
        <f>IF(Skills!AA21&lt;&gt;"",1+(Skills!AA21/10)*(U977/1000)/100,1)</f>
        <v/>
      </c>
      <c r="J995" t="inlineStr"/>
      <c r="K995" t="inlineStr"/>
      <c r="L995" t="inlineStr"/>
      <c r="M995" t="inlineStr"/>
      <c r="N995" t="inlineStr"/>
      <c r="O995" t="n">
        <v>0</v>
      </c>
      <c r="P995">
        <f>IF(B1018=0,0,O995/B1018)</f>
        <v/>
      </c>
      <c r="Q995">
        <f>IFERROR(1/IF(Inputs!$B$4="pvp",15,MAX(0.1,Skills!D21-IF(Skills!E21=TRUE,Inputs!$B$31,0))),0)</f>
        <v/>
      </c>
      <c r="R995">
        <f>IF(AND(Inputs!$B$4&lt;&gt;"pvp",Inputs!$B$35&gt;0),(INT(Inputs!$B$35/IF(Inputs!$B$4="pvp",15,MAX(0.1,Skills!D21-IF(Skills!E21=TRUE,Inputs!$B$31,0))))+1),0)</f>
        <v/>
      </c>
      <c r="S995">
        <f>IFERROR(O995/N995,0)</f>
        <v/>
      </c>
    </row>
    <row r="996">
      <c r="A996">
        <f>Skills!A22</f>
        <v/>
      </c>
      <c r="B996">
        <f>Skills!B22</f>
        <v/>
      </c>
      <c r="C996">
        <f>Inputs!$B$3&gt;=33</f>
        <v/>
      </c>
      <c r="D996">
        <f>IF(Skills!C22=1,60+Inputs!$B$24+(Inputs!$B$28+1),IF(Skills!C22=2,90+Inputs!$B$25+(Inputs!$B$28+1),IF(Skills!C22=3,120+Inputs!$B$26+(Inputs!$B$28+1),MAX(0,(Inputs!$B$3-100)*3)+Inputs!$B$27+(Inputs!$B$28+1))))</f>
        <v/>
      </c>
      <c r="E996">
        <f>INDEX(FactorTable!$B$2:$Y$301, MATCH(ROUND(MIN(300,MAX(1,D996)),0), FactorTable!$A$2:$A$301,0), Skills!M22+1)</f>
        <v/>
      </c>
      <c r="F996">
        <f>IF(Skills!N22=TRUE,(Skills!L22/10)*(E996/1000),Skills!L22/10)+Skills!O22</f>
        <v/>
      </c>
      <c r="G996">
        <f>Calc!G22</f>
        <v/>
      </c>
      <c r="H996">
        <f>Calc!H22</f>
        <v/>
      </c>
      <c r="I996">
        <f>IF(Skills!AA22&lt;&gt;"",1+(Skills!AA22/10)*(U977/1000)/100,1)</f>
        <v/>
      </c>
      <c r="J996" t="inlineStr"/>
      <c r="K996" t="inlineStr"/>
      <c r="L996" t="inlineStr"/>
      <c r="M996" t="inlineStr"/>
      <c r="N996" t="inlineStr"/>
      <c r="O996" t="n">
        <v>0</v>
      </c>
      <c r="P996">
        <f>IF(B1018=0,0,O996/B1018)</f>
        <v/>
      </c>
      <c r="Q996" t="n">
        <v>0</v>
      </c>
      <c r="R996" t="n">
        <v>0</v>
      </c>
      <c r="S996">
        <f>IFERROR(O996/N996,0)</f>
        <v/>
      </c>
    </row>
    <row r="997">
      <c r="A997">
        <f>Skills!A23</f>
        <v/>
      </c>
      <c r="B997">
        <f>Skills!B23</f>
        <v/>
      </c>
      <c r="C997">
        <f>Inputs!$B$3&gt;=38</f>
        <v/>
      </c>
      <c r="D997">
        <f>IF(Skills!C23=1,60+Inputs!$B$24+(Inputs!$B$28+1),IF(Skills!C23=2,90+Inputs!$B$25+(Inputs!$B$28+1),IF(Skills!C23=3,120+Inputs!$B$26+(Inputs!$B$28+1),MAX(0,(Inputs!$B$3-100)*3)+Inputs!$B$27+(Inputs!$B$28+1))))</f>
        <v/>
      </c>
      <c r="E997">
        <f>INDEX(FactorTable!$B$2:$Y$301, MATCH(ROUND(MIN(300,MAX(1,D997)),0), FactorTable!$A$2:$A$301,0), Skills!M23+1)</f>
        <v/>
      </c>
      <c r="F997">
        <f>IF(Skills!N23=TRUE,(Skills!L23/10)*(E997/1000),Skills!L23/10)+Skills!O23</f>
        <v/>
      </c>
      <c r="G997">
        <f>Calc!G23</f>
        <v/>
      </c>
      <c r="H997">
        <f>Calc!H23</f>
        <v/>
      </c>
      <c r="I997">
        <f>IF(Skills!AA23&lt;&gt;"",1+(Skills!AA23/10)*(U977/1000)/100,1)</f>
        <v/>
      </c>
      <c r="J997" t="inlineStr"/>
      <c r="K997" t="inlineStr"/>
      <c r="L997" t="inlineStr"/>
      <c r="M997" t="inlineStr"/>
      <c r="N997" t="inlineStr"/>
      <c r="O997" t="n">
        <v>0</v>
      </c>
      <c r="P997">
        <f>IF(B1018=0,0,O997/B1018)</f>
        <v/>
      </c>
      <c r="Q997" t="n">
        <v>0</v>
      </c>
      <c r="R997" t="n">
        <v>0</v>
      </c>
      <c r="S997">
        <f>IFERROR(O997/N997,0)</f>
        <v/>
      </c>
    </row>
    <row r="998">
      <c r="A998">
        <f>Skills!A24</f>
        <v/>
      </c>
      <c r="B998">
        <f>Skills!B24</f>
        <v/>
      </c>
      <c r="C998">
        <f>Inputs!$B$3&gt;=40</f>
        <v/>
      </c>
      <c r="D998">
        <f>IF(Skills!C24=1,60+Inputs!$B$24+(Inputs!$B$28+1),IF(Skills!C24=2,90+Inputs!$B$25+(Inputs!$B$28+1),IF(Skills!C24=3,120+Inputs!$B$26+(Inputs!$B$28+1),MAX(0,(Inputs!$B$3-100)*3)+Inputs!$B$27+(Inputs!$B$28+1))))</f>
        <v/>
      </c>
      <c r="E998">
        <f>INDEX(FactorTable!$B$2:$Y$301, MATCH(ROUND(MIN(300,MAX(1,D998)),0), FactorTable!$A$2:$A$301,0), Skills!M24+1)</f>
        <v/>
      </c>
      <c r="F998">
        <f>IF(Skills!N24=TRUE,(Skills!L24/10)*(E998/1000),Skills!L24/10)+Skills!O24</f>
        <v/>
      </c>
      <c r="G998">
        <f>Calc!G24</f>
        <v/>
      </c>
      <c r="H998">
        <f>Calc!H24</f>
        <v/>
      </c>
      <c r="I998">
        <f>IF(Skills!AA24&lt;&gt;"",1+(Skills!AA24/10)*(U977/1000)/100,1)</f>
        <v/>
      </c>
      <c r="J998" t="inlineStr"/>
      <c r="K998" t="inlineStr"/>
      <c r="L998" t="inlineStr"/>
      <c r="M998" t="inlineStr"/>
      <c r="N998" t="inlineStr"/>
      <c r="O998" t="n">
        <v>0</v>
      </c>
      <c r="P998">
        <f>IF(B1018=0,0,O998/B1018)</f>
        <v/>
      </c>
      <c r="Q998" t="n">
        <v>0</v>
      </c>
      <c r="R998" t="n">
        <v>0</v>
      </c>
      <c r="S998">
        <f>IFERROR(O998/N998,0)</f>
        <v/>
      </c>
    </row>
    <row r="999">
      <c r="A999">
        <f>Skills!A25</f>
        <v/>
      </c>
      <c r="B999">
        <f>Skills!B25</f>
        <v/>
      </c>
      <c r="C999">
        <f>Inputs!$B$3&gt;=45</f>
        <v/>
      </c>
      <c r="D999">
        <f>IF(Skills!C25=1,60+Inputs!$B$24+(Inputs!$B$28+1),IF(Skills!C25=2,90+Inputs!$B$25+(Inputs!$B$28+1),IF(Skills!C25=3,120+Inputs!$B$26+(Inputs!$B$28+1),MAX(0,(Inputs!$B$3-100)*3)+Inputs!$B$27+(Inputs!$B$28+1))))</f>
        <v/>
      </c>
      <c r="E999">
        <f>INDEX(FactorTable!$B$2:$Y$301, MATCH(ROUND(MIN(300,MAX(1,D999)),0), FactorTable!$A$2:$A$301,0), Skills!M25+1)</f>
        <v/>
      </c>
      <c r="F999">
        <f>IF(Skills!N25=TRUE,(Skills!L25/10)*(E999/1000),Skills!L25/10)+Skills!O25</f>
        <v/>
      </c>
      <c r="G999">
        <f>Calc!G25</f>
        <v/>
      </c>
      <c r="H999">
        <f>Calc!H25</f>
        <v/>
      </c>
      <c r="I999">
        <f>IF(Skills!AA25&lt;&gt;"",1+(Skills!AA25/10)*(U977/1000)/100,1)</f>
        <v/>
      </c>
      <c r="J999" t="inlineStr"/>
      <c r="K999" t="inlineStr"/>
      <c r="L999" t="inlineStr"/>
      <c r="M999" t="inlineStr"/>
      <c r="N999" t="inlineStr"/>
      <c r="O999" t="n">
        <v>0</v>
      </c>
      <c r="P999">
        <f>IF(B1018=0,0,O999/B1018)</f>
        <v/>
      </c>
      <c r="Q999" t="n">
        <v>0</v>
      </c>
      <c r="R999" t="n">
        <v>0</v>
      </c>
      <c r="S999">
        <f>IFERROR(O999/N999,0)</f>
        <v/>
      </c>
    </row>
    <row r="1000">
      <c r="A1000">
        <f>Skills!A26</f>
        <v/>
      </c>
      <c r="B1000">
        <f>Skills!B26</f>
        <v/>
      </c>
      <c r="C1000">
        <f>Inputs!$B$3&gt;=45</f>
        <v/>
      </c>
      <c r="D1000">
        <f>IF(Skills!C26=1,60+Inputs!$B$24+(Inputs!$B$28+1),IF(Skills!C26=2,90+Inputs!$B$25+(Inputs!$B$28+1),IF(Skills!C26=3,120+Inputs!$B$26+(Inputs!$B$28+1),MAX(0,(Inputs!$B$3-100)*3)+Inputs!$B$27+(Inputs!$B$28+1))))</f>
        <v/>
      </c>
      <c r="E1000">
        <f>INDEX(FactorTable!$B$2:$Y$301, MATCH(ROUND(MIN(300,MAX(1,D1000)),0), FactorTable!$A$2:$A$301,0), Skills!M26+1)</f>
        <v/>
      </c>
      <c r="F1000">
        <f>IF(Skills!N26=TRUE,(Skills!L26/10)*(E1000/1000),Skills!L26/10)+Skills!O26</f>
        <v/>
      </c>
      <c r="G1000">
        <f>Calc!G26</f>
        <v/>
      </c>
      <c r="H1000">
        <f>Calc!H26</f>
        <v/>
      </c>
      <c r="I1000">
        <f>IF(Skills!AA26&lt;&gt;"",1+(Skills!AA26/10)*(U977/1000)/100,1)</f>
        <v/>
      </c>
      <c r="J1000" t="inlineStr"/>
      <c r="K1000" t="inlineStr"/>
      <c r="L1000" t="inlineStr"/>
      <c r="M1000" t="inlineStr"/>
      <c r="N1000" t="inlineStr"/>
      <c r="O1000" t="n">
        <v>0</v>
      </c>
      <c r="P1000">
        <f>IF(B1018=0,0,O1000/B1018)</f>
        <v/>
      </c>
      <c r="Q1000" t="n">
        <v>0</v>
      </c>
      <c r="R1000" t="n">
        <v>0</v>
      </c>
      <c r="S1000">
        <f>IFERROR(O1000/N1000,0)</f>
        <v/>
      </c>
    </row>
    <row r="1001">
      <c r="A1001">
        <f>Skills!A27</f>
        <v/>
      </c>
      <c r="B1001">
        <f>Skills!B27</f>
        <v/>
      </c>
      <c r="C1001">
        <f>Inputs!$B$3&gt;=72</f>
        <v/>
      </c>
      <c r="D1001">
        <f>IF(Skills!C27=1,60+Inputs!$B$24+(Inputs!$B$28+1),IF(Skills!C27=2,90+Inputs!$B$25+(Inputs!$B$28+1),IF(Skills!C27=3,120+Inputs!$B$26+(Inputs!$B$28+1),MAX(0,(Inputs!$B$3-100)*3)+Inputs!$B$27+(Inputs!$B$28+1))))</f>
        <v/>
      </c>
      <c r="E1001">
        <f>INDEX(FactorTable!$B$2:$Y$301, MATCH(ROUND(MIN(300,MAX(1,D1001)),0), FactorTable!$A$2:$A$301,0), Skills!M27+1)</f>
        <v/>
      </c>
      <c r="F1001">
        <f>IF(Skills!N27=TRUE,(Skills!L27/10)*(E1001/1000),Skills!L27/10)+Skills!O27</f>
        <v/>
      </c>
      <c r="G1001">
        <f>Calc!G27</f>
        <v/>
      </c>
      <c r="H1001">
        <f>Calc!H27</f>
        <v/>
      </c>
      <c r="I1001">
        <f>IF(Skills!AA27&lt;&gt;"",1+(Skills!AA27/10)*(U977/1000)/100,1)</f>
        <v/>
      </c>
      <c r="J1001" t="inlineStr"/>
      <c r="K1001" t="inlineStr"/>
      <c r="L1001" t="inlineStr"/>
      <c r="M1001" t="inlineStr"/>
      <c r="N1001" t="inlineStr"/>
      <c r="O1001" t="n">
        <v>0</v>
      </c>
      <c r="P1001">
        <f>IF(B1018=0,0,O1001/B1018)</f>
        <v/>
      </c>
      <c r="Q1001" t="n">
        <v>0</v>
      </c>
      <c r="R1001" t="n">
        <v>0</v>
      </c>
      <c r="S1001">
        <f>IFERROR(O1001/N1001,0)</f>
        <v/>
      </c>
    </row>
    <row r="1002">
      <c r="A1002">
        <f>Skills!A28</f>
        <v/>
      </c>
      <c r="B1002">
        <f>Skills!B28</f>
        <v/>
      </c>
      <c r="C1002">
        <f>Inputs!$B$3&gt;=75</f>
        <v/>
      </c>
      <c r="D1002">
        <f>IF(Skills!C28=1,60+Inputs!$B$24+(Inputs!$B$28+1),IF(Skills!C28=2,90+Inputs!$B$25+(Inputs!$B$28+1),IF(Skills!C28=3,120+Inputs!$B$26+(Inputs!$B$28+1),MAX(0,(Inputs!$B$3-100)*3)+Inputs!$B$27+(Inputs!$B$28+1))))</f>
        <v/>
      </c>
      <c r="E1002">
        <f>INDEX(FactorTable!$B$2:$Y$301, MATCH(ROUND(MIN(300,MAX(1,D1002)),0), FactorTable!$A$2:$A$301,0), Skills!M28+1)</f>
        <v/>
      </c>
      <c r="F1002">
        <f>IF(Skills!N28=TRUE,(Skills!L28/10)*(E1002/1000),Skills!L28/10)+Skills!O28</f>
        <v/>
      </c>
      <c r="G1002">
        <f>Calc!G28</f>
        <v/>
      </c>
      <c r="H1002">
        <f>Calc!H28</f>
        <v/>
      </c>
      <c r="I1002">
        <f>IF(Skills!AA28&lt;&gt;"",1+(Skills!AA28/10)*(U977/1000)/100,1)</f>
        <v/>
      </c>
      <c r="J1002" t="inlineStr"/>
      <c r="K1002" t="inlineStr"/>
      <c r="L1002" t="inlineStr"/>
      <c r="M1002" t="inlineStr"/>
      <c r="N1002" t="inlineStr"/>
      <c r="O1002" t="n">
        <v>0</v>
      </c>
      <c r="P1002">
        <f>IF(B1018=0,0,O1002/B1018)</f>
        <v/>
      </c>
      <c r="Q1002" t="n">
        <v>0</v>
      </c>
      <c r="R1002" t="n">
        <v>0</v>
      </c>
      <c r="S1002">
        <f>IFERROR(O1002/N1002,0)</f>
        <v/>
      </c>
    </row>
    <row r="1003">
      <c r="A1003">
        <f>Skills!A29</f>
        <v/>
      </c>
      <c r="B1003">
        <f>Skills!B29</f>
        <v/>
      </c>
      <c r="C1003">
        <f>Inputs!$B$3&gt;=120</f>
        <v/>
      </c>
      <c r="D1003">
        <f>IF(Skills!C29=1,60+Inputs!$B$24+(Inputs!$B$28+1),IF(Skills!C29=2,90+Inputs!$B$25+(Inputs!$B$28+1),IF(Skills!C29=3,120+Inputs!$B$26+(Inputs!$B$28+1),MAX(0,(Inputs!$B$3-100)*3)+Inputs!$B$27+(Inputs!$B$28+1))))</f>
        <v/>
      </c>
      <c r="E1003">
        <f>INDEX(FactorTable!$B$2:$Y$301, MATCH(ROUND(MIN(300,MAX(1,D1003)),0), FactorTable!$A$2:$A$301,0), Skills!M29+1)</f>
        <v/>
      </c>
      <c r="F1003">
        <f>IF(Skills!N29=TRUE,(Skills!L29/10)*(E1003/1000),Skills!L29/10)+Skills!O29</f>
        <v/>
      </c>
      <c r="G1003">
        <f>Calc!G29</f>
        <v/>
      </c>
      <c r="H1003">
        <f>Calc!H29</f>
        <v/>
      </c>
      <c r="I1003">
        <f>IF(Skills!AA29&lt;&gt;"",1+(Skills!AA29/10)*(U977/1000)/100,1)</f>
        <v/>
      </c>
      <c r="J1003" t="inlineStr"/>
      <c r="K1003" t="inlineStr"/>
      <c r="L1003" t="inlineStr"/>
      <c r="M1003" t="inlineStr"/>
      <c r="N1003" t="inlineStr"/>
      <c r="O1003" t="n">
        <v>0</v>
      </c>
      <c r="P1003">
        <f>IF(B1018=0,0,O1003/B1018)</f>
        <v/>
      </c>
      <c r="Q1003" t="n">
        <v>0</v>
      </c>
      <c r="R1003" t="n">
        <v>0</v>
      </c>
      <c r="S1003">
        <f>IFERROR(O1003/N1003,0)</f>
        <v/>
      </c>
    </row>
    <row r="1004">
      <c r="A1004">
        <f>Skills!A30</f>
        <v/>
      </c>
      <c r="B1004">
        <f>Skills!B30</f>
        <v/>
      </c>
      <c r="C1004">
        <f>Inputs!$B$3&gt;=125</f>
        <v/>
      </c>
      <c r="D1004">
        <f>IF(Skills!C30=1,60+Inputs!$B$24+(Inputs!$B$28+1),IF(Skills!C30=2,90+Inputs!$B$25+(Inputs!$B$28+1),IF(Skills!C30=3,120+Inputs!$B$26+(Inputs!$B$28+1),MAX(0,(Inputs!$B$3-100)*3)+Inputs!$B$27+(Inputs!$B$28+1))))</f>
        <v/>
      </c>
      <c r="E1004">
        <f>INDEX(FactorTable!$B$2:$Y$301, MATCH(ROUND(MIN(300,MAX(1,D1004)),0), FactorTable!$A$2:$A$301,0), Skills!M30+1)</f>
        <v/>
      </c>
      <c r="F1004">
        <f>IF(Skills!N30=TRUE,(Skills!L30/10)*(E1004/1000),Skills!L30/10)+Skills!O30</f>
        <v/>
      </c>
      <c r="G1004">
        <f>Calc!G30</f>
        <v/>
      </c>
      <c r="H1004">
        <f>Calc!H30</f>
        <v/>
      </c>
      <c r="I1004">
        <f>IF(Skills!AA30&lt;&gt;"",1+(Skills!AA30/10)*(U977/1000)/100,1)</f>
        <v/>
      </c>
      <c r="J1004" t="inlineStr"/>
      <c r="K1004" t="inlineStr"/>
      <c r="L1004" t="inlineStr"/>
      <c r="M1004" t="inlineStr"/>
      <c r="N1004" t="inlineStr"/>
      <c r="O1004" t="n">
        <v>0</v>
      </c>
      <c r="P1004">
        <f>IF(B1018=0,0,O1004/B1018)</f>
        <v/>
      </c>
      <c r="Q1004" t="n">
        <v>0</v>
      </c>
      <c r="R1004" t="n">
        <v>0</v>
      </c>
      <c r="S1004">
        <f>IFERROR(O1004/N1004,0)</f>
        <v/>
      </c>
    </row>
    <row r="1005">
      <c r="A1005">
        <f>Skills!A31</f>
        <v/>
      </c>
      <c r="B1005">
        <f>Skills!B31</f>
        <v/>
      </c>
      <c r="C1005">
        <f>Inputs!$B$3&gt;=107</f>
        <v/>
      </c>
      <c r="D1005">
        <f>IF(Skills!C31=1,60+Inputs!$B$24+(Inputs!$B$28+1),IF(Skills!C31=2,90+Inputs!$B$25+(Inputs!$B$28+1),IF(Skills!C31=3,120+Inputs!$B$26+(Inputs!$B$28+1),MAX(0,(Inputs!$B$3-100)*3)+Inputs!$B$27+(Inputs!$B$28+1))))</f>
        <v/>
      </c>
      <c r="E1005">
        <f>INDEX(FactorTable!$B$2:$Y$301, MATCH(ROUND(MIN(300,MAX(1,D1005)),0), FactorTable!$A$2:$A$301,0), Skills!M31+1)</f>
        <v/>
      </c>
      <c r="F1005">
        <f>IF(Skills!N31=TRUE,(Skills!L31/10)*(E1005/1000),Skills!L31/10)+Skills!O31</f>
        <v/>
      </c>
      <c r="G1005">
        <f>Calc!G31</f>
        <v/>
      </c>
      <c r="H1005">
        <f>Calc!H31</f>
        <v/>
      </c>
      <c r="I1005">
        <f>IF(Skills!AA31&lt;&gt;"",1+(Skills!AA31/10)*(U977/1000)/100,1)</f>
        <v/>
      </c>
      <c r="J1005" t="inlineStr"/>
      <c r="K1005" t="inlineStr"/>
      <c r="L1005" t="inlineStr"/>
      <c r="M1005" t="inlineStr"/>
      <c r="N1005" t="inlineStr"/>
      <c r="O1005" t="n">
        <v>0</v>
      </c>
      <c r="P1005">
        <f>IF(B1018=0,0,O1005/B1018)</f>
        <v/>
      </c>
      <c r="Q1005" t="n">
        <v>0</v>
      </c>
      <c r="R1005" t="n">
        <v>0</v>
      </c>
      <c r="S1005">
        <f>IFERROR(O1005/N1005,0)</f>
        <v/>
      </c>
    </row>
    <row r="1007">
      <c r="A1007" t="inlineStr">
        <is>
          <t>Actions Per Second (pre-Adrenalin)</t>
        </is>
      </c>
      <c r="B1007">
        <f>1+MIN(150,150*(1-(1-(Inputs!$B$10+((C996=TRUE)*(F996-Calc!F22)))/150)*(1-((C993=TRUE)*F993*IF(AND(Inputs!$B$4&lt;&gt;"pvp",Inputs!$B$35&gt;0),(((S993-1)*(Skills!Y19*(1+Inputs!$B$33/100))+MIN((Skills!Y19*(1+Inputs!$B$33/100)),MAX(0,Inputs!$B$35-((S993-1)*Skills!D19))))/Inputs!$B$35),IF(Inputs!$B$4="pvp",MIN((Skills!Y19*(1+Inputs!$B$33/100)),15)/15,(Skills!Y19*(1+Inputs!$B$33/100))/Skills!D19)))/150)))/100</f>
        <v/>
      </c>
    </row>
    <row r="1008">
      <c r="A1008" t="inlineStr">
        <is>
          <t>Alchemic Adrenaline Uptime</t>
        </is>
      </c>
      <c r="B1008">
        <f>(Skills!Y6*(1+Inputs!$B$33/100))/((Skills!Y6*(1+Inputs!$B$33/100))+(5/B1007))</f>
        <v/>
      </c>
    </row>
    <row r="1009">
      <c r="A1009" t="inlineStr">
        <is>
          <t>Attack Speed Buff Bonus %</t>
        </is>
      </c>
      <c r="B1009">
        <f>((C993=TRUE)*F993*IF(AND(Inputs!$B$4&lt;&gt;"pvp",Inputs!$B$35&gt;0),(((S993-1)*(Skills!Y19*(1+Inputs!$B$33/100))+MIN((Skills!Y19*(1+Inputs!$B$33/100)),MAX(0,Inputs!$B$35-((S993-1)*Skills!D19))))/Inputs!$B$35),IF(Inputs!$B$4="pvp",MIN((Skills!Y19*(1+Inputs!$B$33/100)),15)/15,(Skills!Y19*(1+Inputs!$B$33/100))/Skills!D19)))+((C981=TRUE)*F981*B1008)</f>
        <v/>
      </c>
    </row>
    <row r="1010">
      <c r="A1010" t="inlineStr">
        <is>
          <t>Actions Per Second (final)</t>
        </is>
      </c>
      <c r="B1010">
        <f>1+MIN(150,150*(1-(1-(Inputs!$B$10+((C996=TRUE)*(F996-Calc!F22)))/150)*(1-B1009/150)))/100</f>
        <v/>
      </c>
    </row>
    <row r="1011">
      <c r="A1011" t="inlineStr">
        <is>
          <t>Skill + Buff Cast Rate</t>
        </is>
      </c>
      <c r="B1011">
        <f>IF(AND(Inputs!$B$4&lt;&gt;"pvp",Inputs!$B$35&gt;0),SUMPRODUCT((Skills!E2:E31=TRUE)*(C976:C1005=TRUE)*R976:R1005*Skills!F2:F31)/Inputs!$B$35,SUMPRODUCT((Skills!E2:E31=TRUE)*(C976:C1005=TRUE)*Q976:Q1005*Skills!F2:F31))</f>
        <v/>
      </c>
    </row>
    <row r="1012">
      <c r="A1012" t="inlineStr">
        <is>
          <t>Showdown Casts Per Second</t>
        </is>
      </c>
      <c r="B1012">
        <f>MAX(0,B1010-B1011)</f>
        <v/>
      </c>
    </row>
    <row r="1013">
      <c r="A1013" t="inlineStr">
        <is>
          <t>Average Buff Multiplier</t>
        </is>
      </c>
      <c r="B1013">
        <f>(1+(((C995=TRUE)*F995*IF(AND(Inputs!$B$4&lt;&gt;"pvp",Inputs!$B$35&gt;0),(((S995-1)*(Skills!Y21*(1+Inputs!$B$33/100))+MIN((Skills!Y21*(1+Inputs!$B$33/100)),MAX(0,Inputs!$B$35-((S995-1)*Skills!D21))))/Inputs!$B$35),IF(Inputs!$B$4="pvp",MIN((Skills!Y21*(1+Inputs!$B$33/100)),15)/15,(Skills!Y21*(1+Inputs!$B$33/100))/Skills!D21)))+((C1002=TRUE)*(F1002-Calc!F28))+((C992=TRUE)*(F992-Calc!F18)))/100)*(1+((C989=TRUE)*F989*IF(AND(Inputs!$B$4&lt;&gt;"pvp",Inputs!$B$35&gt;0),(((S989-1)*(Skills!Y15*(1+Inputs!$B$33/100))+MIN((Skills!Y15*(1+Inputs!$B$33/100)),MAX(0,Inputs!$B$35-((S989-1)*Skills!D15))))/Inputs!$B$35),IF(Inputs!$B$4="pvp",MIN((Skills!Y15*(1+Inputs!$B$33/100)),15)/15,(Skills!Y15*(1+Inputs!$B$33/100))/Skills!D15)))/100)*(1+((C980=TRUE)*F980*B1008)/100)</f>
        <v/>
      </c>
    </row>
    <row r="1014">
      <c r="A1014" t="inlineStr">
        <is>
          <t>Global Crit Rate Bonus %</t>
        </is>
      </c>
      <c r="B1014">
        <f>IF(Inputs!$B$3&gt;=47,8,0)+((C994=TRUE)*F994*IF(AND(Inputs!$B$4&lt;&gt;"pvp",Inputs!$B$35&gt;0),(((S994-1)*(Skills!Y20*(1+Inputs!$B$33/100))+MIN((Skills!Y20*(1+Inputs!$B$33/100)),MAX(0,Inputs!$B$35-((S994-1)*Skills!D20))))/Inputs!$B$35),IF(Inputs!$B$4="pvp",MIN((Skills!Y20*(1+Inputs!$B$33/100)),15)/15,(Skills!Y20*(1+Inputs!$B$33/100))/Skills!D20)))</f>
        <v/>
      </c>
    </row>
    <row r="1015">
      <c r="A1015" t="inlineStr">
        <is>
          <t>Global Monster Damage-Taken Bonus %</t>
        </is>
      </c>
      <c r="B1015">
        <f>IF(Inputs!$B$3&gt;=82,15,0)+((C990=TRUE)*F990*IF(AND(Inputs!$B$4&lt;&gt;"pvp",Inputs!$B$35&gt;0),(((S990-1)*(Skills!Y16*(1+Inputs!$B$33/100))+MIN((Skills!Y16*(1+Inputs!$B$33/100)),MAX(0,Inputs!$B$35-((S990-1)*Skills!D16))))/Inputs!$B$35),IF(Inputs!$B$4="pvp",MIN((Skills!Y16*(1+Inputs!$B$33/100)),15)/15,(Skills!Y16*(1+Inputs!$B$33/100))/Skills!D16)))</f>
        <v/>
      </c>
    </row>
    <row r="1016">
      <c r="A1016" t="inlineStr">
        <is>
          <t>Shadow Partner Average Multiplier</t>
        </is>
      </c>
      <c r="B1016">
        <f>1+((C985=TRUE)*F985*I985*Skills!J11/100)/100</f>
        <v/>
      </c>
    </row>
    <row r="1017">
      <c r="A1017" t="inlineStr">
        <is>
          <t>Global Critical Damage Bonus % (Frailty Curse Mastery Lv.111)</t>
        </is>
      </c>
      <c r="B1017">
        <f>IF(Inputs!$B$3&gt;=111,30,0)*IF(AND(Inputs!$B$4&lt;&gt;"pvp",Inputs!$B$35&gt;0),(((S990-1)*(Skills!Y16*(1+Inputs!$B$33/100))+MIN((Skills!Y16*(1+Inputs!$B$33/100)),MAX(0,Inputs!$B$35-((S990-1)*Skills!D16))))/Inputs!$B$35),IF(Inputs!$B$4="pvp",MIN((Skills!Y16*(1+Inputs!$B$33/100)),15)/15,(Skills!Y16*(1+Inputs!$B$33/100))/Skills!D16))</f>
        <v/>
      </c>
    </row>
    <row r="1018">
      <c r="A1018" s="5" t="inlineStr">
        <is>
          <t>TOTAL DPS</t>
        </is>
      </c>
      <c r="B1018" s="5">
        <f>SUM(O976:O1005)</f>
        <v/>
      </c>
    </row>
    <row r="1021">
      <c r="A1021" s="5" t="inlineStr">
        <is>
          <t>Stat: Flat ATTACK</t>
        </is>
      </c>
    </row>
    <row r="1022">
      <c r="A1022" s="8" t="inlineStr">
        <is>
          <t>Key</t>
        </is>
      </c>
      <c r="B1022" s="8" t="inlineStr">
        <is>
          <t>Name</t>
        </is>
      </c>
      <c r="C1022" s="8" t="inlineStr">
        <is>
          <t>Unlocked</t>
        </is>
      </c>
      <c r="D1022" s="8" t="inlineStr">
        <is>
          <t>InputLevel</t>
        </is>
      </c>
      <c r="E1022" s="8" t="inlineStr">
        <is>
          <t>Factor</t>
        </is>
      </c>
      <c r="F1022" s="8" t="inlineStr">
        <is>
          <t>CoefficientPercent</t>
        </is>
      </c>
      <c r="G1022" s="8" t="inlineStr">
        <is>
          <t>EffectiveHits</t>
        </is>
      </c>
      <c r="H1022" s="8" t="inlineStr">
        <is>
          <t>ProcProbability</t>
        </is>
      </c>
      <c r="I1022" s="8" t="inlineStr">
        <is>
          <t>MapleHeroMultiplier</t>
        </is>
      </c>
      <c r="J1022" s="8" t="inlineStr">
        <is>
          <t>BaseDamage</t>
        </is>
      </c>
      <c r="K1022" s="8" t="inlineStr">
        <is>
          <t>BaseHitDamage</t>
        </is>
      </c>
      <c r="L1022" s="8" t="inlineStr">
        <is>
          <t>NonCritAvg</t>
        </is>
      </c>
      <c r="M1022" s="8" t="inlineStr">
        <is>
          <t>CritAvg</t>
        </is>
      </c>
      <c r="N1022" s="8" t="inlineStr">
        <is>
          <t>ExpectedDamage(perHit)</t>
        </is>
      </c>
      <c r="O1022" s="8" t="inlineStr">
        <is>
          <t>DPS</t>
        </is>
      </c>
      <c r="P1022" s="8" t="inlineStr">
        <is>
          <t>% of Total</t>
        </is>
      </c>
      <c r="Q1022" s="8" t="inlineStr">
        <is>
          <t>InvCooldown</t>
        </is>
      </c>
      <c r="R1022" s="8" t="inlineStr">
        <is>
          <t>CastsInFight</t>
        </is>
      </c>
      <c r="S1022" s="8" t="inlineStr">
        <is>
          <t>HitRate(perSec)</t>
        </is>
      </c>
      <c r="U1022" t="inlineStr">
        <is>
          <t>helpers</t>
        </is>
      </c>
    </row>
    <row r="1023">
      <c r="A1023">
        <f>Skills!A2</f>
        <v/>
      </c>
      <c r="B1023">
        <f>Skills!B2</f>
        <v/>
      </c>
      <c r="C1023">
        <f>Inputs!$B$3&gt;=100</f>
        <v/>
      </c>
      <c r="D1023" t="inlineStr"/>
      <c r="E1023" t="inlineStr"/>
      <c r="F1023">
        <f>U1027+Skills!O2</f>
        <v/>
      </c>
      <c r="G1023">
        <f>Calc!G2</f>
        <v/>
      </c>
      <c r="H1023">
        <f>Calc!H2</f>
        <v/>
      </c>
      <c r="I1023">
        <f>IF(Skills!AA2&lt;&gt;"",1+(Skills!AA2/10)*(U1024/1000)/100,1)</f>
        <v/>
      </c>
      <c r="J1023">
        <f>((Inputs!$B$5+1)*(1+Inputs!$B$6/100))*(F1023/100)</f>
        <v/>
      </c>
      <c r="K1023">
        <f>J1023*(1+((Inputs!$B$11*(1+Inputs!$B$12/100))*0.01+Inputs!$B$13*0.0025)/100)*(1+Inputs!$B$14/100)*(1+IF(Inputs!$B$4="pvp",0,(1-Summary!$B$55)*(Inputs!$B$19+((C1048=TRUE)*(F1048-Calc!F27))+Skills!P2+B1062)+Summary!$B$55*(Inputs!$B$20+Skills!Q2+B1062))/100)*(1+Inputs!$B$15/100)*(5000/(6000+Inputs!$B$7*(1-Inputs!$B$18/100)))*(1+(Inputs!$B$23+((C1051=TRUE)*(F1051-Calc!F30)))/100)*(1+Skills!R2/100)*(1+(IF(Skills!A2="SHOWDOWN",Inputs!$B$16+((C1044=TRUE)*(F1044-Calc!F23)),Inputs!$B$17+((C1050=TRUE)*(F1050-Calc!F29))))/100)*(((1+(((C1042=TRUE)*F1042*IF(AND(Inputs!$B$4&lt;&gt;"pvp",Inputs!$B$35&gt;0),(((S1042-1)*(Skills!Y21*(1+Inputs!$B$33/100))+MIN((Skills!Y21*(1+Inputs!$B$33/100)),MAX(0,Inputs!$B$35-((S1042-1)*Skills!D21))))/Inputs!$B$35),IF(Inputs!$B$4="pvp",MIN((Skills!Y21*(1+Inputs!$B$33/100)),15)/15,(Skills!Y21*(1+Inputs!$B$33/100))/Skills!D21)))+((C1049=TRUE)*(F1049-Calc!F28))+((C1039=TRUE)*(F1039-Calc!F18)))/100)*(1+((C1036=TRUE)*F1036*IF(AND(Inputs!$B$4&lt;&gt;"pvp",Inputs!$B$35&gt;0),(((S1036-1)*(Skills!Y15*(1+Inputs!$B$33/100))+MIN((Skills!Y15*(1+Inputs!$B$33/100)),MAX(0,Inputs!$B$35-((S1036-1)*Skills!D15))))/Inputs!$B$35),IF(Inputs!$B$4="pvp",MIN((Skills!Y15*(1+Inputs!$B$33/100)),15)/15,(Skills!Y15*(1+Inputs!$B$33/100))/Skills!D15)))/100)*(1+((C1027=TRUE)*F1027*B1055)/100))*B1063*I1023)</f>
        <v/>
      </c>
      <c r="L1023">
        <f>K1023*(MIN(Inputs!$B$21+((C1045=TRUE)*(F1045-Calc!F24)),Inputs!$B$22)/100+Inputs!$B$22/100)/2</f>
        <v/>
      </c>
      <c r="M1023">
        <f>L1023*(1+(Inputs!$B$9+((C1047=TRUE)*(F1047-Calc!F26))+B1064)/100)</f>
        <v/>
      </c>
      <c r="N1023">
        <f>L1023*(1-MIN((Inputs!$B$8+((C1046=TRUE)*(F1046-Calc!F25))+B1061),100)/100)+M1023*(MIN((Inputs!$B$8+((C1046=TRUE)*(F1046-Calc!F25))+B1061),100)/100)</f>
        <v/>
      </c>
      <c r="O1023">
        <f>IF(C1023,Skills!G2*N1023*B1059*IF(Inputs!$B$4="pvp",1,(1-Summary!$B$55)*(1)+Summary!$B$55*(MIN((6+Inputs!$B$32),Inputs!$B$37))),0)</f>
        <v/>
      </c>
      <c r="P1023">
        <f>IF(B1065=0,0,O1023/B1065)</f>
        <v/>
      </c>
      <c r="Q1023" t="n">
        <v>0</v>
      </c>
      <c r="R1023" t="n">
        <v>0</v>
      </c>
      <c r="S1023">
        <f>IFERROR(O1023/N1023,0)</f>
        <v/>
      </c>
      <c r="U1023">
        <f>MAX(0,(Inputs!$B$3-100)*3)+Inputs!$B$27+Inputs!$B$28</f>
        <v/>
      </c>
    </row>
    <row r="1024">
      <c r="A1024">
        <f>Skills!A3</f>
        <v/>
      </c>
      <c r="B1024">
        <f>Skills!B3</f>
        <v/>
      </c>
      <c r="C1024">
        <f>Inputs!$B$3&gt;=35</f>
        <v/>
      </c>
      <c r="D1024">
        <f>IF(Skills!C3=1,60+Inputs!$B$24+Inputs!$B$28,IF(Skills!C3=2,90+Inputs!$B$25+Inputs!$B$28,IF(Skills!C3=3,120+Inputs!$B$26+Inputs!$B$28,MAX(0,(Inputs!$B$3-100)*3)+Inputs!$B$27+Inputs!$B$28)))</f>
        <v/>
      </c>
      <c r="E1024">
        <f>INDEX(FactorTable!$B$2:$Y$301, MATCH(ROUND(MIN(300,MAX(1,D1024)),0), FactorTable!$A$2:$A$301,0), Skills!M3+1)</f>
        <v/>
      </c>
      <c r="F1024">
        <f>IF(Skills!N3=TRUE,(Skills!L3/10)*(E1024/1000),Skills!L3/10)+Skills!O3</f>
        <v/>
      </c>
      <c r="G1024">
        <f>Calc!G3</f>
        <v/>
      </c>
      <c r="H1024">
        <f>Calc!H3</f>
        <v/>
      </c>
      <c r="I1024">
        <f>IF(Skills!AA3&lt;&gt;"",1+(Skills!AA3/10)*(U1024/1000)/100,1)</f>
        <v/>
      </c>
      <c r="J1024">
        <f>((Inputs!$B$5+1)*(1+Inputs!$B$6/100))*(F1024/100)</f>
        <v/>
      </c>
      <c r="K1024">
        <f>J1024*(1+((Inputs!$B$11*(1+Inputs!$B$12/100))*0.01+Inputs!$B$13*0.0025)/100)*(1+Inputs!$B$14/100)*(1+IF(Inputs!$B$4="pvp",0,(1-Summary!$B$55)*(Inputs!$B$19+((C1048=TRUE)*(F1048-Calc!F27))+Skills!P3+B1062)+Summary!$B$55*(Inputs!$B$20+Skills!Q3+B1062))/100)*(1+Inputs!$B$15/100)*(5000/(6000+Inputs!$B$7*(1-Inputs!$B$18/100)))*(1+(Inputs!$B$23+((C1051=TRUE)*(F1051-Calc!F30)))/100)*(1+Skills!R3/100)*(1+(IF(Skills!A3="SHOWDOWN",Inputs!$B$16+((C1044=TRUE)*(F1044-Calc!F23)),Inputs!$B$17+((C1050=TRUE)*(F1050-Calc!F29))))/100)*(((1+(((C1042=TRUE)*F1042*IF(AND(Inputs!$B$4&lt;&gt;"pvp",Inputs!$B$35&gt;0),(((S1042-1)*(Skills!Y21*(1+Inputs!$B$33/100))+MIN((Skills!Y21*(1+Inputs!$B$33/100)),MAX(0,Inputs!$B$35-((S1042-1)*Skills!D21))))/Inputs!$B$35),IF(Inputs!$B$4="pvp",MIN((Skills!Y21*(1+Inputs!$B$33/100)),15)/15,(Skills!Y21*(1+Inputs!$B$33/100))/Skills!D21)))+((C1049=TRUE)*(F1049-Calc!F28))+((C1039=TRUE)*(F1039-Calc!F18)))/100)*(1+((C1036=TRUE)*F1036*IF(AND(Inputs!$B$4&lt;&gt;"pvp",Inputs!$B$35&gt;0),(((S1036-1)*(Skills!Y15*(1+Inputs!$B$33/100))+MIN((Skills!Y15*(1+Inputs!$B$33/100)),MAX(0,Inputs!$B$35-((S1036-1)*Skills!D15))))/Inputs!$B$35),IF(Inputs!$B$4="pvp",MIN((Skills!Y15*(1+Inputs!$B$33/100)),15)/15,(Skills!Y15*(1+Inputs!$B$33/100))/Skills!D15)))/100)*(1+((C1027=TRUE)*F1027*B1055)/100))*B1063*I1024)</f>
        <v/>
      </c>
      <c r="L1024">
        <f>K1024*(MIN(Inputs!$B$21+((C1045=TRUE)*(F1045-Calc!F24)),Inputs!$B$22)/100+Inputs!$B$22/100)/2</f>
        <v/>
      </c>
      <c r="M1024">
        <f>L1024*(1+(Inputs!$B$9+((C1047=TRUE)*(F1047-Calc!F26))+B1064)/100)</f>
        <v/>
      </c>
      <c r="N1024">
        <f>L1024*(1-MIN((Inputs!$B$8+((C1046=TRUE)*(F1046-Calc!F25))+B1061),100)/100)+M1024*(MIN((Inputs!$B$8+((C1046=TRUE)*(F1046-Calc!F25))+B1061),100)/100)</f>
        <v/>
      </c>
      <c r="O1024">
        <f>IF(C1024,H1024*N1024*IF(AND(Inputs!$B$4&lt;&gt;"pvp",Inputs!$B$35&gt;0),((Skills!G3*((R1024-1)*IF(Skills!H3&gt;0,Skills!I3/Skills!H3,1)+IF(Skills!H3&gt;0,MIN(Skills!I3,MAX(0,Inputs!$B$35-((R1024-1)*IF(Inputs!$B$4="pvp",15,MAX(0.1,Skills!D3-IF(Skills!E3=TRUE,Inputs!$B$31,0))))))/Skills!H3,1)))/Inputs!$B$35),G1024*Q1024)*IF(Inputs!$B$4="pvp",1,(1-Summary!$B$55)*(1)+Summary!$B$55*(MIN(Skills!W3,Inputs!$B$37))),0)</f>
        <v/>
      </c>
      <c r="P1024">
        <f>IF(B1065=0,0,O1024/B1065)</f>
        <v/>
      </c>
      <c r="Q1024">
        <f>IFERROR(1/IF(Inputs!$B$4="pvp",15,MAX(0.1,Skills!D3-IF(Skills!E3=TRUE,Inputs!$B$31,0))),0)</f>
        <v/>
      </c>
      <c r="R1024">
        <f>IF(AND(Inputs!$B$4&lt;&gt;"pvp",Inputs!$B$35&gt;0),(INT(Inputs!$B$35/IF(Inputs!$B$4="pvp",15,MAX(0.1,Skills!D3-IF(Skills!E3=TRUE,Inputs!$B$31,0))))+1),0)</f>
        <v/>
      </c>
      <c r="S1024">
        <f>IFERROR(O1024/N1024,0)</f>
        <v/>
      </c>
      <c r="U1024">
        <f>INDEX(FactorTable!$B$2:$Y$301, MATCH(ROUND(MIN(300,MAX(1,U1023)),0), FactorTable!$A$2:$A$301,0), 24)</f>
        <v/>
      </c>
    </row>
    <row r="1025">
      <c r="A1025">
        <f>Skills!A4</f>
        <v/>
      </c>
      <c r="B1025">
        <f>Skills!B4</f>
        <v/>
      </c>
      <c r="C1025">
        <f>Inputs!$B$3&gt;=40</f>
        <v/>
      </c>
      <c r="D1025">
        <f>IF(Skills!C4=1,60+Inputs!$B$24+Inputs!$B$28,IF(Skills!C4=2,90+Inputs!$B$25+Inputs!$B$28,IF(Skills!C4=3,120+Inputs!$B$26+Inputs!$B$28,MAX(0,(Inputs!$B$3-100)*3)+Inputs!$B$27+Inputs!$B$28)))</f>
        <v/>
      </c>
      <c r="E1025">
        <f>INDEX(FactorTable!$B$2:$Y$301, MATCH(ROUND(MIN(300,MAX(1,D1025)),0), FactorTable!$A$2:$A$301,0), Skills!M4+1)</f>
        <v/>
      </c>
      <c r="F1025">
        <f>IF(Skills!N4=TRUE,(Skills!L4/10)*(E1025/1000),Skills!L4/10)+Skills!O4</f>
        <v/>
      </c>
      <c r="G1025">
        <f>Calc!G4</f>
        <v/>
      </c>
      <c r="H1025">
        <f>Calc!H4</f>
        <v/>
      </c>
      <c r="I1025">
        <f>IF(Skills!AA4&lt;&gt;"",1+(Skills!AA4/10)*(U1024/1000)/100,1)</f>
        <v/>
      </c>
      <c r="J1025">
        <f>((Inputs!$B$5+1)*(1+Inputs!$B$6/100))*(F1025/100)</f>
        <v/>
      </c>
      <c r="K1025">
        <f>J1025*(1+((Inputs!$B$11*(1+Inputs!$B$12/100))*0.01+Inputs!$B$13*0.0025)/100)*(1+Inputs!$B$14/100)*(1+IF(Inputs!$B$4="pvp",0,(1-Summary!$B$55)*(Inputs!$B$19+((C1048=TRUE)*(F1048-Calc!F27))+Skills!P4+B1062)+Summary!$B$55*(Inputs!$B$20+Skills!Q4+B1062))/100)*(1+Inputs!$B$15/100)*(5000/(6000+Inputs!$B$7*(1-Inputs!$B$18/100)))*(1+(Inputs!$B$23+((C1051=TRUE)*(F1051-Calc!F30)))/100)*(1+Skills!R4/100)*(1+(IF(Skills!A4="SHOWDOWN",Inputs!$B$16+((C1044=TRUE)*(F1044-Calc!F23)),Inputs!$B$17+((C1050=TRUE)*(F1050-Calc!F29))))/100)*(((1+(((C1042=TRUE)*F1042*IF(AND(Inputs!$B$4&lt;&gt;"pvp",Inputs!$B$35&gt;0),(((S1042-1)*(Skills!Y21*(1+Inputs!$B$33/100))+MIN((Skills!Y21*(1+Inputs!$B$33/100)),MAX(0,Inputs!$B$35-((S1042-1)*Skills!D21))))/Inputs!$B$35),IF(Inputs!$B$4="pvp",MIN((Skills!Y21*(1+Inputs!$B$33/100)),15)/15,(Skills!Y21*(1+Inputs!$B$33/100))/Skills!D21)))+((C1049=TRUE)*(F1049-Calc!F28))+((C1039=TRUE)*(F1039-Calc!F18)))/100)*(1+((C1036=TRUE)*F1036*IF(AND(Inputs!$B$4&lt;&gt;"pvp",Inputs!$B$35&gt;0),(((S1036-1)*(Skills!Y15*(1+Inputs!$B$33/100))+MIN((Skills!Y15*(1+Inputs!$B$33/100)),MAX(0,Inputs!$B$35-((S1036-1)*Skills!D15))))/Inputs!$B$35),IF(Inputs!$B$4="pvp",MIN((Skills!Y15*(1+Inputs!$B$33/100)),15)/15,(Skills!Y15*(1+Inputs!$B$33/100))/Skills!D15)))/100)*(1+((C1027=TRUE)*F1027*B1055)/100))*B1063*I1025)</f>
        <v/>
      </c>
      <c r="L1025">
        <f>K1025*(MIN(Inputs!$B$21+((C1045=TRUE)*(F1045-Calc!F24)),Inputs!$B$22)/100+Inputs!$B$22/100)/2</f>
        <v/>
      </c>
      <c r="M1025">
        <f>L1025*(1+(Inputs!$B$9+((C1047=TRUE)*(F1047-Calc!F26))+B1064)/100)</f>
        <v/>
      </c>
      <c r="N1025">
        <f>L1025*(1-MIN((Inputs!$B$8+((C1046=TRUE)*(F1046-Calc!F25))+B1061),100)/100)+M1025*(MIN((Inputs!$B$8+((C1046=TRUE)*(F1046-Calc!F25))+B1061),100)/100)</f>
        <v/>
      </c>
      <c r="O1025">
        <f>IF(C1025,H1025*N1025*IF(AND(Inputs!$B$4&lt;&gt;"pvp",Inputs!$B$35&gt;0),((Skills!G4*((R1025-1)*IF(Skills!H4&gt;0,Skills!I4/Skills!H4,1)+IF(Skills!H4&gt;0,MIN(Skills!I4,MAX(0,Inputs!$B$35-((R1025-1)*IF(Inputs!$B$4="pvp",15,MAX(0.1,Skills!D4-IF(Skills!E4=TRUE,Inputs!$B$31,0))))))/Skills!H4,1)))/Inputs!$B$35),G1025*Q1025)*IF(Inputs!$B$4="pvp",1,(1-Summary!$B$55)*(1)+Summary!$B$55*(MIN(Skills!W4,Inputs!$B$37))),0)</f>
        <v/>
      </c>
      <c r="P1025">
        <f>IF(B1065=0,0,O1025/B1065)</f>
        <v/>
      </c>
      <c r="Q1025">
        <f>IFERROR(1/IF(Inputs!$B$4="pvp",15,MAX(0.1,Skills!D4-IF(Skills!E4=TRUE,Inputs!$B$31,0))),0)</f>
        <v/>
      </c>
      <c r="R1025">
        <f>IF(AND(Inputs!$B$4&lt;&gt;"pvp",Inputs!$B$35&gt;0),(INT(Inputs!$B$35/IF(Inputs!$B$4="pvp",15,MAX(0.1,Skills!D4-IF(Skills!E4=TRUE,Inputs!$B$31,0))))+1),0)</f>
        <v/>
      </c>
      <c r="S1025">
        <f>IFERROR(O1025/N1025,0)</f>
        <v/>
      </c>
      <c r="U1025">
        <f>MAX(0,(Inputs!$B$3-100)*3)+Inputs!$B$27+Inputs!$B$28</f>
        <v/>
      </c>
    </row>
    <row r="1026">
      <c r="A1026">
        <f>Skills!A5</f>
        <v/>
      </c>
      <c r="B1026">
        <f>Skills!B5</f>
        <v/>
      </c>
      <c r="C1026">
        <f>Inputs!$B$3&gt;=63</f>
        <v/>
      </c>
      <c r="D1026">
        <f>IF(Skills!C5=1,60+Inputs!$B$24+Inputs!$B$28,IF(Skills!C5=2,90+Inputs!$B$25+Inputs!$B$28,IF(Skills!C5=3,120+Inputs!$B$26+Inputs!$B$28,MAX(0,(Inputs!$B$3-100)*3)+Inputs!$B$27+Inputs!$B$28)))</f>
        <v/>
      </c>
      <c r="E1026">
        <f>INDEX(FactorTable!$B$2:$Y$301, MATCH(ROUND(MIN(300,MAX(1,D1026)),0), FactorTable!$A$2:$A$301,0), Skills!M5+1)</f>
        <v/>
      </c>
      <c r="F1026">
        <f>IF(Skills!N5=TRUE,(Skills!L5/10)*(E1026/1000),Skills!L5/10)+Skills!O5</f>
        <v/>
      </c>
      <c r="G1026">
        <f>Calc!G5</f>
        <v/>
      </c>
      <c r="H1026">
        <f>Calc!H5</f>
        <v/>
      </c>
      <c r="I1026">
        <f>IF(Skills!AA5&lt;&gt;"",1+(Skills!AA5/10)*(U1024/1000)/100,1)</f>
        <v/>
      </c>
      <c r="J1026">
        <f>((Inputs!$B$5+1)*(1+Inputs!$B$6/100))*(F1026/100)</f>
        <v/>
      </c>
      <c r="K1026">
        <f>J1026*(1+((Inputs!$B$11*(1+Inputs!$B$12/100))*0.01+Inputs!$B$13*0.0025)/100)*(1+Inputs!$B$14/100)*(1+IF(Inputs!$B$4="pvp",0,(1-Summary!$B$55)*(Inputs!$B$19+((C1048=TRUE)*(F1048-Calc!F27))+Skills!P5+B1062)+Summary!$B$55*(Inputs!$B$20+Skills!Q5+B1062))/100)*(1+Inputs!$B$15/100)*(5000/(6000+Inputs!$B$7*(1-Inputs!$B$18/100)))*(1+(Inputs!$B$23+((C1051=TRUE)*(F1051-Calc!F30)))/100)*(1+Skills!R5/100)*(1+(IF(Skills!A5="SHOWDOWN",Inputs!$B$16+((C1044=TRUE)*(F1044-Calc!F23)),Inputs!$B$17+((C1050=TRUE)*(F1050-Calc!F29))))/100)*(((1+(((C1042=TRUE)*F1042*IF(AND(Inputs!$B$4&lt;&gt;"pvp",Inputs!$B$35&gt;0),(((S1042-1)*(Skills!Y21*(1+Inputs!$B$33/100))+MIN((Skills!Y21*(1+Inputs!$B$33/100)),MAX(0,Inputs!$B$35-((S1042-1)*Skills!D21))))/Inputs!$B$35),IF(Inputs!$B$4="pvp",MIN((Skills!Y21*(1+Inputs!$B$33/100)),15)/15,(Skills!Y21*(1+Inputs!$B$33/100))/Skills!D21)))+((C1049=TRUE)*(F1049-Calc!F28))+((C1039=TRUE)*(F1039-Calc!F18)))/100)*(1+((C1036=TRUE)*F1036*IF(AND(Inputs!$B$4&lt;&gt;"pvp",Inputs!$B$35&gt;0),(((S1036-1)*(Skills!Y15*(1+Inputs!$B$33/100))+MIN((Skills!Y15*(1+Inputs!$B$33/100)),MAX(0,Inputs!$B$35-((S1036-1)*Skills!D15))))/Inputs!$B$35),IF(Inputs!$B$4="pvp",MIN((Skills!Y15*(1+Inputs!$B$33/100)),15)/15,(Skills!Y15*(1+Inputs!$B$33/100))/Skills!D15)))/100)*(1+((C1027=TRUE)*F1027*B1055)/100))*B1063*I1026)</f>
        <v/>
      </c>
      <c r="L1026">
        <f>K1026*(MIN(Inputs!$B$21+((C1045=TRUE)*(F1045-Calc!F24)),Inputs!$B$22)/100+Inputs!$B$22/100)/2</f>
        <v/>
      </c>
      <c r="M1026">
        <f>L1026*(1+(Inputs!$B$9+((C1047=TRUE)*(F1047-Calc!F26))+B1064)/100)</f>
        <v/>
      </c>
      <c r="N1026">
        <f>L1026*(1-MIN((Inputs!$B$8+((C1046=TRUE)*(F1046-Calc!F25))+B1061),100)/100)+M1026*(MIN((Inputs!$B$8+((C1046=TRUE)*(F1046-Calc!F25))+B1061),100)/100)</f>
        <v/>
      </c>
      <c r="O1026">
        <f>IF(C1026,H1026*N1026*IF(AND(Inputs!$B$4&lt;&gt;"pvp",Inputs!$B$35&gt;0),((Skills!G5*((R1026-1)*IF(Skills!H5&gt;0,Skills!I5/Skills!H5,1)+IF(Skills!H5&gt;0,MIN(Skills!I5,MAX(0,Inputs!$B$35-((R1026-1)*IF(Inputs!$B$4="pvp",15,MAX(0.1,Skills!D5-IF(Skills!E5=TRUE,Inputs!$B$31,0))))))/Skills!H5,1)))/Inputs!$B$35),G1026*Q1026)*IF(Inputs!$B$4="pvp",1,(1-Summary!$B$55)*(1)+Summary!$B$55*(MIN(Skills!W5,Inputs!$B$37))),0)</f>
        <v/>
      </c>
      <c r="P1026">
        <f>IF(B1065=0,0,O1026/B1065)</f>
        <v/>
      </c>
      <c r="Q1026">
        <f>IFERROR(1/IF(Inputs!$B$4="pvp",15,MAX(0.1,Skills!D5-IF(Skills!E5=TRUE,Inputs!$B$31,0))),0)</f>
        <v/>
      </c>
      <c r="R1026">
        <f>IF(AND(Inputs!$B$4&lt;&gt;"pvp",Inputs!$B$35&gt;0),(INT(Inputs!$B$35/IF(Inputs!$B$4="pvp",15,MAX(0.1,Skills!D5-IF(Skills!E5=TRUE,Inputs!$B$31,0))))+1),0)</f>
        <v/>
      </c>
      <c r="S1026">
        <f>IFERROR(O1026/N1026,0)</f>
        <v/>
      </c>
      <c r="U1026">
        <f>INDEX(FactorTable!$B$2:$Y$301, MATCH(ROUND(MIN(300,MAX(1,U1025)),0), FactorTable!$A$2:$A$301,0), 22)</f>
        <v/>
      </c>
    </row>
    <row r="1027">
      <c r="A1027">
        <f>Skills!A6</f>
        <v/>
      </c>
      <c r="B1027">
        <f>Skills!B6</f>
        <v/>
      </c>
      <c r="C1027">
        <f>Inputs!$B$3&gt;=66</f>
        <v/>
      </c>
      <c r="D1027">
        <f>IF(Skills!C6=1,60+Inputs!$B$24+Inputs!$B$28,IF(Skills!C6=2,90+Inputs!$B$25+Inputs!$B$28,IF(Skills!C6=3,120+Inputs!$B$26+Inputs!$B$28,MAX(0,(Inputs!$B$3-100)*3)+Inputs!$B$27+Inputs!$B$28)))</f>
        <v/>
      </c>
      <c r="E1027">
        <f>INDEX(FactorTable!$B$2:$Y$301, MATCH(ROUND(MIN(300,MAX(1,D1027)),0), FactorTable!$A$2:$A$301,0), Skills!M6+1)</f>
        <v/>
      </c>
      <c r="F1027">
        <f>IF(Skills!N6=TRUE,(Skills!L6/10)*(E1027/1000),Skills!L6/10)+Skills!O6</f>
        <v/>
      </c>
      <c r="G1027">
        <f>Calc!G6</f>
        <v/>
      </c>
      <c r="H1027">
        <f>Calc!H6</f>
        <v/>
      </c>
      <c r="I1027">
        <f>IF(Skills!AA6&lt;&gt;"",1+(Skills!AA6/10)*(U1024/1000)/100,1)</f>
        <v/>
      </c>
      <c r="J1027" t="inlineStr"/>
      <c r="K1027" t="inlineStr"/>
      <c r="L1027" t="inlineStr"/>
      <c r="M1027" t="inlineStr"/>
      <c r="N1027" t="inlineStr"/>
      <c r="O1027" t="n">
        <v>0</v>
      </c>
      <c r="P1027">
        <f>IF(B1065=0,0,O1027/B1065)</f>
        <v/>
      </c>
      <c r="Q1027" t="n">
        <v>0</v>
      </c>
      <c r="R1027" t="n">
        <v>0</v>
      </c>
      <c r="S1027">
        <f>IFERROR(O1027/N1027,0)</f>
        <v/>
      </c>
      <c r="U1027">
        <f>290*U1026/1000</f>
        <v/>
      </c>
    </row>
    <row r="1028">
      <c r="A1028">
        <f>Skills!A7</f>
        <v/>
      </c>
      <c r="B1028">
        <f>Skills!B7</f>
        <v/>
      </c>
      <c r="C1028">
        <f>Inputs!$B$3&gt;=66</f>
        <v/>
      </c>
      <c r="D1028">
        <f>IF(Skills!C7=1,60+Inputs!$B$24+Inputs!$B$28,IF(Skills!C7=2,90+Inputs!$B$25+Inputs!$B$28,IF(Skills!C7=3,120+Inputs!$B$26+Inputs!$B$28,MAX(0,(Inputs!$B$3-100)*3)+Inputs!$B$27+Inputs!$B$28)))</f>
        <v/>
      </c>
      <c r="E1028">
        <f>INDEX(FactorTable!$B$2:$Y$301, MATCH(ROUND(MIN(300,MAX(1,D1028)),0), FactorTable!$A$2:$A$301,0), Skills!M7+1)</f>
        <v/>
      </c>
      <c r="F1028">
        <f>IF(Skills!N7=TRUE,(Skills!L7/10)*(E1028/1000),Skills!L7/10)+Skills!O7</f>
        <v/>
      </c>
      <c r="G1028">
        <f>Calc!G7</f>
        <v/>
      </c>
      <c r="H1028">
        <f>Calc!H7</f>
        <v/>
      </c>
      <c r="I1028">
        <f>IF(Skills!AA7&lt;&gt;"",1+(Skills!AA7/10)*(U1024/1000)/100,1)</f>
        <v/>
      </c>
      <c r="J1028" t="inlineStr"/>
      <c r="K1028" t="inlineStr"/>
      <c r="L1028" t="inlineStr"/>
      <c r="M1028" t="inlineStr"/>
      <c r="N1028" t="inlineStr"/>
      <c r="O1028" t="n">
        <v>0</v>
      </c>
      <c r="P1028">
        <f>IF(B1065=0,0,O1028/B1065)</f>
        <v/>
      </c>
      <c r="Q1028" t="n">
        <v>0</v>
      </c>
      <c r="R1028" t="n">
        <v>0</v>
      </c>
      <c r="S1028">
        <f>IFERROR(O1028/N1028,0)</f>
        <v/>
      </c>
    </row>
    <row r="1029">
      <c r="A1029">
        <f>Skills!A8</f>
        <v/>
      </c>
      <c r="B1029">
        <f>Skills!B8</f>
        <v/>
      </c>
      <c r="C1029">
        <f>Inputs!$B$3&gt;=69</f>
        <v/>
      </c>
      <c r="D1029">
        <f>IF(Skills!C8=1,60+Inputs!$B$24+Inputs!$B$28,IF(Skills!C8=2,90+Inputs!$B$25+Inputs!$B$28,IF(Skills!C8=3,120+Inputs!$B$26+Inputs!$B$28,MAX(0,(Inputs!$B$3-100)*3)+Inputs!$B$27+Inputs!$B$28)))</f>
        <v/>
      </c>
      <c r="E1029">
        <f>INDEX(FactorTable!$B$2:$Y$301, MATCH(ROUND(MIN(300,MAX(1,D1029)),0), FactorTable!$A$2:$A$301,0), Skills!M8+1)</f>
        <v/>
      </c>
      <c r="F1029">
        <f>IF(Skills!N8=TRUE,(Skills!L8/10)*(E1029/1000),Skills!L8/10)+Skills!O8</f>
        <v/>
      </c>
      <c r="G1029">
        <f>Calc!G8</f>
        <v/>
      </c>
      <c r="H1029">
        <f>Calc!H8</f>
        <v/>
      </c>
      <c r="I1029">
        <f>IF(Skills!AA8&lt;&gt;"",1+(Skills!AA8/10)*(U1024/1000)/100,1)</f>
        <v/>
      </c>
      <c r="J1029">
        <f>((Inputs!$B$5+1)*(1+Inputs!$B$6/100))*(F1029/100)</f>
        <v/>
      </c>
      <c r="K1029">
        <f>J1029*(1+((Inputs!$B$11*(1+Inputs!$B$12/100))*0.01+Inputs!$B$13*0.0025)/100)*(1+Inputs!$B$14/100)*(1+IF(Inputs!$B$4="pvp",0,(1-Summary!$B$55)*(Inputs!$B$19+((C1048=TRUE)*(F1048-Calc!F27))+Skills!P8+B1062)+Summary!$B$55*(Inputs!$B$20+Skills!Q8+B1062))/100)*(1+Inputs!$B$15/100)*(5000/(6000+Inputs!$B$7*(1-Inputs!$B$18/100)))*(1+(Inputs!$B$23+((C1051=TRUE)*(F1051-Calc!F30)))/100)*(1+Skills!R8/100)*(1+(IF(Skills!A8="SHOWDOWN",Inputs!$B$16+((C1044=TRUE)*(F1044-Calc!F23)),Inputs!$B$17+((C1050=TRUE)*(F1050-Calc!F29))))/100)*(((1+(((C1042=TRUE)*F1042*IF(AND(Inputs!$B$4&lt;&gt;"pvp",Inputs!$B$35&gt;0),(((S1042-1)*(Skills!Y21*(1+Inputs!$B$33/100))+MIN((Skills!Y21*(1+Inputs!$B$33/100)),MAX(0,Inputs!$B$35-((S1042-1)*Skills!D21))))/Inputs!$B$35),IF(Inputs!$B$4="pvp",MIN((Skills!Y21*(1+Inputs!$B$33/100)),15)/15,(Skills!Y21*(1+Inputs!$B$33/100))/Skills!D21)))+((C1049=TRUE)*(F1049-Calc!F28))+((C1039=TRUE)*(F1039-Calc!F18)))/100)*(1+((C1036=TRUE)*F1036*IF(AND(Inputs!$B$4&lt;&gt;"pvp",Inputs!$B$35&gt;0),(((S1036-1)*(Skills!Y15*(1+Inputs!$B$33/100))+MIN((Skills!Y15*(1+Inputs!$B$33/100)),MAX(0,Inputs!$B$35-((S1036-1)*Skills!D15))))/Inputs!$B$35),IF(Inputs!$B$4="pvp",MIN((Skills!Y15*(1+Inputs!$B$33/100)),15)/15,(Skills!Y15*(1+Inputs!$B$33/100))/Skills!D15)))/100)*(1+((C1027=TRUE)*F1027*B1055)/100))*B1063*I1029)</f>
        <v/>
      </c>
      <c r="L1029">
        <f>K1029*(MIN(Inputs!$B$21+((C1045=TRUE)*(F1045-Calc!F24)),Inputs!$B$22)/100+Inputs!$B$22/100)/2</f>
        <v/>
      </c>
      <c r="M1029">
        <f>L1029*(1+(Inputs!$B$9+((C1047=TRUE)*(F1047-Calc!F26))+B1064)/100)</f>
        <v/>
      </c>
      <c r="N1029">
        <f>L1029*(1-MIN((Inputs!$B$8+((C1046=TRUE)*(F1046-Calc!F25))+B1061),100)/100)+M1029*(MIN((Inputs!$B$8+((C1046=TRUE)*(F1046-Calc!F25))+B1061),100)/100)</f>
        <v/>
      </c>
      <c r="O1029">
        <f>IF(C1029,H1029*N1029*IF(AND(Inputs!$B$4&lt;&gt;"pvp",Inputs!$B$35&gt;0),((Skills!G8*((R1029-1)*IF(Skills!H8&gt;0,Skills!I8/Skills!H8,1)+IF(Skills!H8&gt;0,MIN(Skills!I8,MAX(0,Inputs!$B$35-((R1029-1)*IF(Inputs!$B$4="pvp",15,MAX(0.1,Skills!D8-IF(Skills!E8=TRUE,Inputs!$B$31,0))))))/Skills!H8,1)))/Inputs!$B$35),G1029*Q1029)*IF(Inputs!$B$4="pvp",1,(1-Summary!$B$55)*(1)+Summary!$B$55*(MIN(Skills!W8,Inputs!$B$37))),0)</f>
        <v/>
      </c>
      <c r="P1029">
        <f>IF(B1065=0,0,O1029/B1065)</f>
        <v/>
      </c>
      <c r="Q1029">
        <f>IFERROR(1/IF(Inputs!$B$4="pvp",15,MAX(0.1,Skills!D8-IF(Skills!E8=TRUE,Inputs!$B$31,0))),0)</f>
        <v/>
      </c>
      <c r="R1029">
        <f>IF(AND(Inputs!$B$4&lt;&gt;"pvp",Inputs!$B$35&gt;0),(INT(Inputs!$B$35/IF(Inputs!$B$4="pvp",15,MAX(0.1,Skills!D8-IF(Skills!E8=TRUE,Inputs!$B$31,0))))+1),0)</f>
        <v/>
      </c>
      <c r="S1029">
        <f>IFERROR(O1029/N1029,0)</f>
        <v/>
      </c>
    </row>
    <row r="1030">
      <c r="A1030">
        <f>Skills!A9</f>
        <v/>
      </c>
      <c r="B1030">
        <f>Skills!B9</f>
        <v/>
      </c>
      <c r="C1030">
        <f>Inputs!$B$3&gt;=72</f>
        <v/>
      </c>
      <c r="D1030">
        <f>IF(Skills!C9=1,60+Inputs!$B$24+Inputs!$B$28,IF(Skills!C9=2,90+Inputs!$B$25+Inputs!$B$28,IF(Skills!C9=3,120+Inputs!$B$26+Inputs!$B$28,MAX(0,(Inputs!$B$3-100)*3)+Inputs!$B$27+Inputs!$B$28)))</f>
        <v/>
      </c>
      <c r="E1030">
        <f>INDEX(FactorTable!$B$2:$Y$301, MATCH(ROUND(MIN(300,MAX(1,D1030)),0), FactorTable!$A$2:$A$301,0), Skills!M9+1)</f>
        <v/>
      </c>
      <c r="F1030">
        <f>IF(Skills!N9=TRUE,(Skills!L9/10)*(E1030/1000),Skills!L9/10)+Skills!O9</f>
        <v/>
      </c>
      <c r="G1030">
        <f>Calc!G9</f>
        <v/>
      </c>
      <c r="H1030">
        <f>Calc!H9</f>
        <v/>
      </c>
      <c r="I1030">
        <f>IF(Skills!AA9&lt;&gt;"",1+(Skills!AA9/10)*(U1024/1000)/100,1)</f>
        <v/>
      </c>
      <c r="J1030">
        <f>((Inputs!$B$5+1)*(1+Inputs!$B$6/100))*(F1030/100)</f>
        <v/>
      </c>
      <c r="K1030">
        <f>J1030*(1+((Inputs!$B$11*(1+Inputs!$B$12/100))*0.01+Inputs!$B$13*0.0025)/100)*(1+Inputs!$B$14/100)*(1+IF(Inputs!$B$4="pvp",0,(1-Summary!$B$55)*(Inputs!$B$19+((C1048=TRUE)*(F1048-Calc!F27))+Skills!P9+B1062)+Summary!$B$55*(Inputs!$B$20+Skills!Q9+B1062))/100)*(1+Inputs!$B$15/100)*(5000/(6000+Inputs!$B$7*(1-Inputs!$B$18/100)))*(1+(Inputs!$B$23+((C1051=TRUE)*(F1051-Calc!F30)))/100)*(1+Skills!R9/100)*(1+(IF(Skills!A9="SHOWDOWN",Inputs!$B$16+((C1044=TRUE)*(F1044-Calc!F23)),Inputs!$B$17+((C1050=TRUE)*(F1050-Calc!F29))))/100)*(((1+(((C1042=TRUE)*F1042*IF(AND(Inputs!$B$4&lt;&gt;"pvp",Inputs!$B$35&gt;0),(((S1042-1)*(Skills!Y21*(1+Inputs!$B$33/100))+MIN((Skills!Y21*(1+Inputs!$B$33/100)),MAX(0,Inputs!$B$35-((S1042-1)*Skills!D21))))/Inputs!$B$35),IF(Inputs!$B$4="pvp",MIN((Skills!Y21*(1+Inputs!$B$33/100)),15)/15,(Skills!Y21*(1+Inputs!$B$33/100))/Skills!D21)))+((C1049=TRUE)*(F1049-Calc!F28))+((C1039=TRUE)*(F1039-Calc!F18)))/100)*(1+((C1036=TRUE)*F1036*IF(AND(Inputs!$B$4&lt;&gt;"pvp",Inputs!$B$35&gt;0),(((S1036-1)*(Skills!Y15*(1+Inputs!$B$33/100))+MIN((Skills!Y15*(1+Inputs!$B$33/100)),MAX(0,Inputs!$B$35-((S1036-1)*Skills!D15))))/Inputs!$B$35),IF(Inputs!$B$4="pvp",MIN((Skills!Y15*(1+Inputs!$B$33/100)),15)/15,(Skills!Y15*(1+Inputs!$B$33/100))/Skills!D15)))/100)*(1+((C1027=TRUE)*F1027*B1055)/100))*B1063*I1030)</f>
        <v/>
      </c>
      <c r="L1030">
        <f>K1030*(MIN(Inputs!$B$21+((C1045=TRUE)*(F1045-Calc!F24)),Inputs!$B$22)/100+Inputs!$B$22/100)/2</f>
        <v/>
      </c>
      <c r="M1030">
        <f>L1030*(1+(Inputs!$B$9+((C1047=TRUE)*(F1047-Calc!F26))+B1064)/100)</f>
        <v/>
      </c>
      <c r="N1030">
        <f>L1030*(1-MIN((Inputs!$B$8+((C1046=TRUE)*(F1046-Calc!F25))+B1061),100)/100)+M1030*(MIN((Inputs!$B$8+((C1046=TRUE)*(F1046-Calc!F25))+B1061),100)/100)</f>
        <v/>
      </c>
      <c r="O1030">
        <f>IF(C1030,H1030*N1030*IF(AND(Inputs!$B$4&lt;&gt;"pvp",Inputs!$B$35&gt;0),((Skills!G9*((R1030-1)*IF(Skills!H9&gt;0,Skills!I9/Skills!H9,1)+IF(Skills!H9&gt;0,MIN(Skills!I9,MAX(0,Inputs!$B$35-((R1030-1)*IF(Inputs!$B$4="pvp",15,MAX(0.1,Skills!D9-IF(Skills!E9=TRUE,Inputs!$B$31,0))))))/Skills!H9,1)))/Inputs!$B$35),G1030*Q1030)*IF(Inputs!$B$4="pvp",1,(1-Summary!$B$55)*(1)+Summary!$B$55*(MIN(Skills!W9,Inputs!$B$37))),0)</f>
        <v/>
      </c>
      <c r="P1030">
        <f>IF(B1065=0,0,O1030/B1065)</f>
        <v/>
      </c>
      <c r="Q1030">
        <f>IFERROR(1/IF(Inputs!$B$4="pvp",15,MAX(0.1,Skills!D9-IF(Skills!E9=TRUE,Inputs!$B$31,0))),0)</f>
        <v/>
      </c>
      <c r="R1030">
        <f>IF(AND(Inputs!$B$4&lt;&gt;"pvp",Inputs!$B$35&gt;0),(INT(Inputs!$B$35/IF(Inputs!$B$4="pvp",15,MAX(0.1,Skills!D9-IF(Skills!E9=TRUE,Inputs!$B$31,0))))+1),0)</f>
        <v/>
      </c>
      <c r="S1030">
        <f>IFERROR(O1030/N1030,0)</f>
        <v/>
      </c>
    </row>
    <row r="1031">
      <c r="A1031">
        <f>Skills!A10</f>
        <v/>
      </c>
      <c r="B1031">
        <f>Skills!B10</f>
        <v/>
      </c>
      <c r="C1031">
        <f>Inputs!$B$3&gt;=117</f>
        <v/>
      </c>
      <c r="D1031">
        <f>IF(Skills!C10=1,60+Inputs!$B$24+Inputs!$B$28,IF(Skills!C10=2,90+Inputs!$B$25+Inputs!$B$28,IF(Skills!C10=3,120+Inputs!$B$26+Inputs!$B$28,MAX(0,(Inputs!$B$3-100)*3)+Inputs!$B$27+Inputs!$B$28)))</f>
        <v/>
      </c>
      <c r="E1031">
        <f>INDEX(FactorTable!$B$2:$Y$301, MATCH(ROUND(MIN(300,MAX(1,D1031)),0), FactorTable!$A$2:$A$301,0), Skills!M10+1)</f>
        <v/>
      </c>
      <c r="F1031">
        <f>IF(Skills!N10=TRUE,(Skills!L10/10)*(E1031/1000),Skills!L10/10)+Skills!O10</f>
        <v/>
      </c>
      <c r="G1031">
        <f>Calc!G10</f>
        <v/>
      </c>
      <c r="H1031">
        <f>Calc!H10</f>
        <v/>
      </c>
      <c r="I1031">
        <f>IF(Skills!AA10&lt;&gt;"",1+(Skills!AA10/10)*(U1024/1000)/100,1)</f>
        <v/>
      </c>
      <c r="J1031">
        <f>((Inputs!$B$5+1)*(1+Inputs!$B$6/100))*(F1031/100)</f>
        <v/>
      </c>
      <c r="K1031">
        <f>J1031*(1+((Inputs!$B$11*(1+Inputs!$B$12/100))*0.01+Inputs!$B$13*0.0025)/100)*(1+Inputs!$B$14/100)*(1+IF(Inputs!$B$4="pvp",0,(1-Summary!$B$55)*(Inputs!$B$19+((C1048=TRUE)*(F1048-Calc!F27))+Skills!P10+B1062)+Summary!$B$55*(Inputs!$B$20+Skills!Q10+B1062))/100)*(1+Inputs!$B$15/100)*(5000/(6000+Inputs!$B$7*(1-Inputs!$B$18/100)))*(1+(Inputs!$B$23+((C1051=TRUE)*(F1051-Calc!F30)))/100)*(1+Skills!R10/100)*(1+(IF(Skills!A10="SHOWDOWN",Inputs!$B$16+((C1044=TRUE)*(F1044-Calc!F23)),Inputs!$B$17+((C1050=TRUE)*(F1050-Calc!F29))))/100)*(((1+(((C1042=TRUE)*F1042*IF(AND(Inputs!$B$4&lt;&gt;"pvp",Inputs!$B$35&gt;0),(((S1042-1)*(Skills!Y21*(1+Inputs!$B$33/100))+MIN((Skills!Y21*(1+Inputs!$B$33/100)),MAX(0,Inputs!$B$35-((S1042-1)*Skills!D21))))/Inputs!$B$35),IF(Inputs!$B$4="pvp",MIN((Skills!Y21*(1+Inputs!$B$33/100)),15)/15,(Skills!Y21*(1+Inputs!$B$33/100))/Skills!D21)))+((C1049=TRUE)*(F1049-Calc!F28))+((C1039=TRUE)*(F1039-Calc!F18)))/100)*(1+((C1036=TRUE)*F1036*IF(AND(Inputs!$B$4&lt;&gt;"pvp",Inputs!$B$35&gt;0),(((S1036-1)*(Skills!Y15*(1+Inputs!$B$33/100))+MIN((Skills!Y15*(1+Inputs!$B$33/100)),MAX(0,Inputs!$B$35-((S1036-1)*Skills!D15))))/Inputs!$B$35),IF(Inputs!$B$4="pvp",MIN((Skills!Y15*(1+Inputs!$B$33/100)),15)/15,(Skills!Y15*(1+Inputs!$B$33/100))/Skills!D15)))/100)*(1+((C1027=TRUE)*F1027*B1055)/100))*B1063*I1031)</f>
        <v/>
      </c>
      <c r="L1031">
        <f>K1031*(MIN(Inputs!$B$21+((C1045=TRUE)*(F1045-Calc!F24)),Inputs!$B$22)/100+Inputs!$B$22/100)/2</f>
        <v/>
      </c>
      <c r="M1031">
        <f>L1031*(1+(Inputs!$B$9+((C1047=TRUE)*(F1047-Calc!F26))+B1064)/100)</f>
        <v/>
      </c>
      <c r="N1031">
        <f>L1031*(1-MIN((Inputs!$B$8+((C1046=TRUE)*(F1046-Calc!F25))+B1061),100)/100)+M1031*(MIN((Inputs!$B$8+((C1046=TRUE)*(F1046-Calc!F25))+B1061),100)/100)</f>
        <v/>
      </c>
      <c r="O1031">
        <f>IF(C1031,0.2*SUMPRODUCT((Skills!Z2:Z31=TRUE)*(C1023:C1052=TRUE)*S1023:S1052)*N1031,0)</f>
        <v/>
      </c>
      <c r="P1031">
        <f>IF(B1065=0,0,O1031/B1065)</f>
        <v/>
      </c>
      <c r="Q1031" t="n">
        <v>0</v>
      </c>
      <c r="R1031" t="n">
        <v>0</v>
      </c>
      <c r="S1031" t="n">
        <v>0</v>
      </c>
    </row>
    <row r="1032">
      <c r="A1032">
        <f>Skills!A11</f>
        <v/>
      </c>
      <c r="B1032">
        <f>Skills!B11</f>
        <v/>
      </c>
      <c r="C1032">
        <f>Inputs!$B$3&gt;=60</f>
        <v/>
      </c>
      <c r="D1032">
        <f>IF(Skills!C11=1,60+Inputs!$B$24+Inputs!$B$28,IF(Skills!C11=2,90+Inputs!$B$25+Inputs!$B$28,IF(Skills!C11=3,120+Inputs!$B$26+Inputs!$B$28,MAX(0,(Inputs!$B$3-100)*3)+Inputs!$B$27+Inputs!$B$28)))</f>
        <v/>
      </c>
      <c r="E1032">
        <f>INDEX(FactorTable!$B$2:$Y$301, MATCH(ROUND(MIN(300,MAX(1,D1032)),0), FactorTable!$A$2:$A$301,0), Skills!M11+1)</f>
        <v/>
      </c>
      <c r="F1032">
        <f>IF(Skills!N11=TRUE,(Skills!L11/10)*(E1032/1000),Skills!L11/10)+Skills!O11</f>
        <v/>
      </c>
      <c r="G1032">
        <f>Calc!G11</f>
        <v/>
      </c>
      <c r="H1032">
        <f>Calc!H11</f>
        <v/>
      </c>
      <c r="I1032">
        <f>IF(Skills!AA11&lt;&gt;"",1+(Skills!AA11/10)*(U1024/1000)/100,1)</f>
        <v/>
      </c>
      <c r="J1032" t="inlineStr"/>
      <c r="K1032" t="inlineStr"/>
      <c r="L1032" t="inlineStr"/>
      <c r="M1032" t="inlineStr"/>
      <c r="N1032" t="inlineStr"/>
      <c r="O1032" t="n">
        <v>0</v>
      </c>
      <c r="P1032">
        <f>IF(B1065=0,0,O1032/B1065)</f>
        <v/>
      </c>
      <c r="Q1032" t="n">
        <v>0</v>
      </c>
      <c r="R1032" t="n">
        <v>0</v>
      </c>
      <c r="S1032">
        <f>IFERROR(O1032/N1032,0)</f>
        <v/>
      </c>
    </row>
    <row r="1033">
      <c r="A1033">
        <f>Skills!A12</f>
        <v/>
      </c>
      <c r="B1033">
        <f>Skills!B12</f>
        <v/>
      </c>
      <c r="C1033">
        <f>Inputs!$B$3&gt;=103</f>
        <v/>
      </c>
      <c r="D1033">
        <f>IF(Skills!C12=1,60+Inputs!$B$24+Inputs!$B$28,IF(Skills!C12=2,90+Inputs!$B$25+Inputs!$B$28,IF(Skills!C12=3,120+Inputs!$B$26+Inputs!$B$28,MAX(0,(Inputs!$B$3-100)*3)+Inputs!$B$27+Inputs!$B$28)))</f>
        <v/>
      </c>
      <c r="E1033">
        <f>INDEX(FactorTable!$B$2:$Y$301, MATCH(ROUND(MIN(300,MAX(1,D1033)),0), FactorTable!$A$2:$A$301,0), Skills!M12+1)</f>
        <v/>
      </c>
      <c r="F1033">
        <f>IF(Skills!N12=TRUE,(Skills!L12/10)*(E1033/1000),Skills!L12/10)+Skills!O12</f>
        <v/>
      </c>
      <c r="G1033">
        <f>Calc!G12</f>
        <v/>
      </c>
      <c r="H1033">
        <f>Calc!H12</f>
        <v/>
      </c>
      <c r="I1033">
        <f>IF(Skills!AA12&lt;&gt;"",1+(Skills!AA12/10)*(U1024/1000)/100,1)</f>
        <v/>
      </c>
      <c r="J1033">
        <f>((Inputs!$B$5+1)*(1+Inputs!$B$6/100))*(F1033/100)</f>
        <v/>
      </c>
      <c r="K1033">
        <f>J1033*(1+((Inputs!$B$11*(1+Inputs!$B$12/100))*0.01+Inputs!$B$13*0.0025)/100)*(1+Inputs!$B$14/100)*(1+IF(Inputs!$B$4="pvp",0,(1-Summary!$B$55)*(Inputs!$B$19+((C1048=TRUE)*(F1048-Calc!F27))+Skills!P12+B1062)+Summary!$B$55*(Inputs!$B$20+Skills!Q12+B1062))/100)*(1+Inputs!$B$15/100)*(5000/(6000+Inputs!$B$7*(1-Inputs!$B$18/100)))*(1+(Inputs!$B$23+((C1051=TRUE)*(F1051-Calc!F30)))/100)*(1+Skills!R12/100)*(1+(IF(Skills!A12="SHOWDOWN",Inputs!$B$16+((C1044=TRUE)*(F1044-Calc!F23)),Inputs!$B$17+((C1050=TRUE)*(F1050-Calc!F29))))/100)*(((1+(((C1042=TRUE)*F1042*IF(AND(Inputs!$B$4&lt;&gt;"pvp",Inputs!$B$35&gt;0),(((S1042-1)*(Skills!Y21*(1+Inputs!$B$33/100))+MIN((Skills!Y21*(1+Inputs!$B$33/100)),MAX(0,Inputs!$B$35-((S1042-1)*Skills!D21))))/Inputs!$B$35),IF(Inputs!$B$4="pvp",MIN((Skills!Y21*(1+Inputs!$B$33/100)),15)/15,(Skills!Y21*(1+Inputs!$B$33/100))/Skills!D21)))+((C1049=TRUE)*(F1049-Calc!F28))+((C1039=TRUE)*(F1039-Calc!F18)))/100)*(1+((C1036=TRUE)*F1036*IF(AND(Inputs!$B$4&lt;&gt;"pvp",Inputs!$B$35&gt;0),(((S1036-1)*(Skills!Y15*(1+Inputs!$B$33/100))+MIN((Skills!Y15*(1+Inputs!$B$33/100)),MAX(0,Inputs!$B$35-((S1036-1)*Skills!D15))))/Inputs!$B$35),IF(Inputs!$B$4="pvp",MIN((Skills!Y15*(1+Inputs!$B$33/100)),15)/15,(Skills!Y15*(1+Inputs!$B$33/100))/Skills!D15)))/100)*(1+((C1027=TRUE)*F1027*B1055)/100))*B1063*I1033)</f>
        <v/>
      </c>
      <c r="L1033">
        <f>K1033*(MIN(Inputs!$B$21+((C1045=TRUE)*(F1045-Calc!F24)),Inputs!$B$22)/100+Inputs!$B$22/100)/2</f>
        <v/>
      </c>
      <c r="M1033">
        <f>L1033*(1+(Inputs!$B$9+((C1047=TRUE)*(F1047-Calc!F26))+B1064)/100)</f>
        <v/>
      </c>
      <c r="N1033">
        <f>L1033*(1-MIN((Inputs!$B$8+((C1046=TRUE)*(F1046-Calc!F25))+B1061),100)/100)+M1033*(MIN((Inputs!$B$8+((C1046=TRUE)*(F1046-Calc!F25))+B1061),100)/100)</f>
        <v/>
      </c>
      <c r="O1033">
        <f>IF(C1033,H1033*N1033*IF(AND(Inputs!$B$4&lt;&gt;"pvp",Inputs!$B$35&gt;0),((Skills!G12*((R1033-1)*IF(Skills!H12&gt;0,Skills!I12/Skills!H12,1)+IF(Skills!H12&gt;0,MIN(Skills!I12,MAX(0,Inputs!$B$35-((R1033-1)*IF(Inputs!$B$4="pvp",15,MAX(0.1,Skills!D12-IF(Skills!E12=TRUE,Inputs!$B$31,0))))))/Skills!H12,1)))/Inputs!$B$35),G1033*Q1033)*IF(Inputs!$B$4="pvp",1,(1-Summary!$B$55)*(1)+Summary!$B$55*(MIN(Skills!W12,Inputs!$B$37))),0)</f>
        <v/>
      </c>
      <c r="P1033">
        <f>IF(B1065=0,0,O1033/B1065)</f>
        <v/>
      </c>
      <c r="Q1033">
        <f>IFERROR(1/IF(Inputs!$B$4="pvp",15,MAX(0.1,Skills!D12-IF(Skills!E12=TRUE,Inputs!$B$31,0))),0)</f>
        <v/>
      </c>
      <c r="R1033">
        <f>IF(AND(Inputs!$B$4&lt;&gt;"pvp",Inputs!$B$35&gt;0),(INT(Inputs!$B$35/IF(Inputs!$B$4="pvp",15,MAX(0.1,Skills!D12-IF(Skills!E12=TRUE,Inputs!$B$31,0))))+1),0)</f>
        <v/>
      </c>
      <c r="S1033">
        <f>IFERROR(O1033/N1033,0)</f>
        <v/>
      </c>
    </row>
    <row r="1034">
      <c r="A1034">
        <f>Skills!A13</f>
        <v/>
      </c>
      <c r="B1034">
        <f>Skills!B13</f>
        <v/>
      </c>
      <c r="C1034">
        <f>Inputs!$B$3&gt;=105</f>
        <v/>
      </c>
      <c r="D1034">
        <f>IF(Skills!C13=1,60+Inputs!$B$24+Inputs!$B$28,IF(Skills!C13=2,90+Inputs!$B$25+Inputs!$B$28,IF(Skills!C13=3,120+Inputs!$B$26+Inputs!$B$28,MAX(0,(Inputs!$B$3-100)*3)+Inputs!$B$27+Inputs!$B$28)))</f>
        <v/>
      </c>
      <c r="E1034">
        <f>INDEX(FactorTable!$B$2:$Y$301, MATCH(ROUND(MIN(300,MAX(1,D1034)),0), FactorTable!$A$2:$A$301,0), Skills!M13+1)</f>
        <v/>
      </c>
      <c r="F1034">
        <f>IF(Skills!N13=TRUE,(Skills!L13/10)*(E1034/1000),Skills!L13/10)+Skills!O13</f>
        <v/>
      </c>
      <c r="G1034">
        <f>Calc!G13</f>
        <v/>
      </c>
      <c r="H1034">
        <f>Calc!H13</f>
        <v/>
      </c>
      <c r="I1034">
        <f>IF(Skills!AA13&lt;&gt;"",1+(Skills!AA13/10)*(U1024/1000)/100,1)</f>
        <v/>
      </c>
      <c r="J1034">
        <f>((Inputs!$B$5+1)*(1+Inputs!$B$6/100))*(F1034/100)</f>
        <v/>
      </c>
      <c r="K1034">
        <f>J1034*(1+((Inputs!$B$11*(1+Inputs!$B$12/100))*0.01+Inputs!$B$13*0.0025)/100)*(1+Inputs!$B$14/100)*(1+IF(Inputs!$B$4="pvp",0,(1-Summary!$B$55)*(Inputs!$B$19+((C1048=TRUE)*(F1048-Calc!F27))+Skills!P13+B1062)+Summary!$B$55*(Inputs!$B$20+Skills!Q13+B1062))/100)*(1+Inputs!$B$15/100)*(5000/(6000+Inputs!$B$7*(1-Inputs!$B$18/100)))*(1+(Inputs!$B$23+((C1051=TRUE)*(F1051-Calc!F30)))/100)*(1+Skills!R13/100)*(1+(IF(Skills!A13="SHOWDOWN",Inputs!$B$16+((C1044=TRUE)*(F1044-Calc!F23)),Inputs!$B$17+((C1050=TRUE)*(F1050-Calc!F29))))/100)*(((1+(((C1042=TRUE)*F1042*IF(AND(Inputs!$B$4&lt;&gt;"pvp",Inputs!$B$35&gt;0),(((S1042-1)*(Skills!Y21*(1+Inputs!$B$33/100))+MIN((Skills!Y21*(1+Inputs!$B$33/100)),MAX(0,Inputs!$B$35-((S1042-1)*Skills!D21))))/Inputs!$B$35),IF(Inputs!$B$4="pvp",MIN((Skills!Y21*(1+Inputs!$B$33/100)),15)/15,(Skills!Y21*(1+Inputs!$B$33/100))/Skills!D21)))+((C1049=TRUE)*(F1049-Calc!F28))+((C1039=TRUE)*(F1039-Calc!F18)))/100)*(1+((C1036=TRUE)*F1036*IF(AND(Inputs!$B$4&lt;&gt;"pvp",Inputs!$B$35&gt;0),(((S1036-1)*(Skills!Y15*(1+Inputs!$B$33/100))+MIN((Skills!Y15*(1+Inputs!$B$33/100)),MAX(0,Inputs!$B$35-((S1036-1)*Skills!D15))))/Inputs!$B$35),IF(Inputs!$B$4="pvp",MIN((Skills!Y15*(1+Inputs!$B$33/100)),15)/15,(Skills!Y15*(1+Inputs!$B$33/100))/Skills!D15)))/100)*(1+((C1027=TRUE)*F1027*B1055)/100))*B1063*I1034)</f>
        <v/>
      </c>
      <c r="L1034">
        <f>K1034*(MIN(Inputs!$B$21+((C1045=TRUE)*(F1045-Calc!F24)),Inputs!$B$22)/100+Inputs!$B$22/100)/2</f>
        <v/>
      </c>
      <c r="M1034">
        <f>L1034*(1+(Inputs!$B$9+((C1047=TRUE)*(F1047-Calc!F26))+B1064)/100)</f>
        <v/>
      </c>
      <c r="N1034">
        <f>L1034*(1-MIN((Inputs!$B$8+((C1046=TRUE)*(F1046-Calc!F25))+B1061),100)/100)+M1034*(MIN((Inputs!$B$8+((C1046=TRUE)*(F1046-Calc!F25))+B1061),100)/100)</f>
        <v/>
      </c>
      <c r="O1034">
        <f>IF(C1034,H1034*N1034*IF(AND(Inputs!$B$4&lt;&gt;"pvp",Inputs!$B$35&gt;0),((Skills!G13*((R1034-1)*IF(Skills!H13&gt;0,Skills!I13/Skills!H13,1)+IF(Skills!H13&gt;0,MIN(Skills!I13,MAX(0,Inputs!$B$35-((R1034-1)*IF(Inputs!$B$4="pvp",15,MAX(0.1,Skills!D13-IF(Skills!E13=TRUE,Inputs!$B$31,0))))))/Skills!H13,1)))/Inputs!$B$35),G1034*Q1034)*IF(Inputs!$B$4="pvp",1,(1-Summary!$B$55)*(1)+Summary!$B$55*(MIN(Skills!W13,Inputs!$B$37))),0)</f>
        <v/>
      </c>
      <c r="P1034">
        <f>IF(B1065=0,0,O1034/B1065)</f>
        <v/>
      </c>
      <c r="Q1034">
        <f>IFERROR(1/IF(Inputs!$B$4="pvp",15,MAX(0.1,Skills!D13-IF(Skills!E13=TRUE,Inputs!$B$31,0))),0)</f>
        <v/>
      </c>
      <c r="R1034">
        <f>IF(AND(Inputs!$B$4&lt;&gt;"pvp",Inputs!$B$35&gt;0),(INT(Inputs!$B$35/IF(Inputs!$B$4="pvp",15,MAX(0.1,Skills!D13-IF(Skills!E13=TRUE,Inputs!$B$31,0))))+1),0)</f>
        <v/>
      </c>
      <c r="S1034">
        <f>IFERROR(O1034/N1034,0)</f>
        <v/>
      </c>
    </row>
    <row r="1035">
      <c r="A1035">
        <f>Skills!A14</f>
        <v/>
      </c>
      <c r="B1035">
        <f>Skills!B14</f>
        <v/>
      </c>
      <c r="C1035">
        <f>Inputs!$B$3&gt;=105</f>
        <v/>
      </c>
      <c r="D1035">
        <f>IF(Skills!C14=1,60+Inputs!$B$24+Inputs!$B$28,IF(Skills!C14=2,90+Inputs!$B$25+Inputs!$B$28,IF(Skills!C14=3,120+Inputs!$B$26+Inputs!$B$28,MAX(0,(Inputs!$B$3-100)*3)+Inputs!$B$27+Inputs!$B$28)))</f>
        <v/>
      </c>
      <c r="E1035">
        <f>INDEX(FactorTable!$B$2:$Y$301, MATCH(ROUND(MIN(300,MAX(1,D1035)),0), FactorTable!$A$2:$A$301,0), Skills!M14+1)</f>
        <v/>
      </c>
      <c r="F1035">
        <f>IF(Skills!N14=TRUE,(Skills!L14/10)*(E1035/1000),Skills!L14/10)+Skills!O14</f>
        <v/>
      </c>
      <c r="G1035">
        <f>Calc!G14</f>
        <v/>
      </c>
      <c r="H1035">
        <f>Calc!H14</f>
        <v/>
      </c>
      <c r="I1035">
        <f>IF(Skills!AA14&lt;&gt;"",1+(Skills!AA14/10)*(U1024/1000)/100,1)</f>
        <v/>
      </c>
      <c r="J1035">
        <f>((Inputs!$B$5+1)*(1+Inputs!$B$6/100))*(F1035/100)</f>
        <v/>
      </c>
      <c r="K1035">
        <f>J1035*(1+((Inputs!$B$11*(1+Inputs!$B$12/100))*0.01+Inputs!$B$13*0.0025)/100)*(1+Inputs!$B$14/100)*(1+IF(Inputs!$B$4="pvp",0,(1-Summary!$B$55)*(Inputs!$B$19+((C1048=TRUE)*(F1048-Calc!F27))+Skills!P14+B1062)+Summary!$B$55*(Inputs!$B$20+Skills!Q14+B1062))/100)*(1+Inputs!$B$15/100)*(5000/(6000+Inputs!$B$7*(1-Inputs!$B$18/100)))*(1+(Inputs!$B$23+((C1051=TRUE)*(F1051-Calc!F30)))/100)*(1+Skills!R14/100)*(1+(IF(Skills!A14="SHOWDOWN",Inputs!$B$16+((C1044=TRUE)*(F1044-Calc!F23)),Inputs!$B$17+((C1050=TRUE)*(F1050-Calc!F29))))/100)*(((1+(((C1042=TRUE)*F1042*IF(AND(Inputs!$B$4&lt;&gt;"pvp",Inputs!$B$35&gt;0),(((S1042-1)*(Skills!Y21*(1+Inputs!$B$33/100))+MIN((Skills!Y21*(1+Inputs!$B$33/100)),MAX(0,Inputs!$B$35-((S1042-1)*Skills!D21))))/Inputs!$B$35),IF(Inputs!$B$4="pvp",MIN((Skills!Y21*(1+Inputs!$B$33/100)),15)/15,(Skills!Y21*(1+Inputs!$B$33/100))/Skills!D21)))+((C1049=TRUE)*(F1049-Calc!F28))+((C1039=TRUE)*(F1039-Calc!F18)))/100)*(1+((C1036=TRUE)*F1036*IF(AND(Inputs!$B$4&lt;&gt;"pvp",Inputs!$B$35&gt;0),(((S1036-1)*(Skills!Y15*(1+Inputs!$B$33/100))+MIN((Skills!Y15*(1+Inputs!$B$33/100)),MAX(0,Inputs!$B$35-((S1036-1)*Skills!D15))))/Inputs!$B$35),IF(Inputs!$B$4="pvp",MIN((Skills!Y15*(1+Inputs!$B$33/100)),15)/15,(Skills!Y15*(1+Inputs!$B$33/100))/Skills!D15)))/100)*(1+((C1027=TRUE)*F1027*B1055)/100))*B1063*I1035)</f>
        <v/>
      </c>
      <c r="L1035">
        <f>K1035*(MIN(Inputs!$B$21+((C1045=TRUE)*(F1045-Calc!F24)),Inputs!$B$22)/100+Inputs!$B$22/100)/2</f>
        <v/>
      </c>
      <c r="M1035">
        <f>L1035*(1+(Inputs!$B$9+((C1047=TRUE)*(F1047-Calc!F26))+B1064)/100)</f>
        <v/>
      </c>
      <c r="N1035">
        <f>L1035*(1-MIN((Inputs!$B$8+((C1046=TRUE)*(F1046-Calc!F25))+B1061),100)/100)+M1035*(MIN((Inputs!$B$8+((C1046=TRUE)*(F1046-Calc!F25))+B1061),100)/100)</f>
        <v/>
      </c>
      <c r="O1035">
        <f>IF(C1035,H1035*N1035*IF(AND(Inputs!$B$4&lt;&gt;"pvp",Inputs!$B$35&gt;0),((Skills!G14*((R1035-1)*IF(Skills!H14&gt;0,Skills!I14/Skills!H14,1)+IF(Skills!H14&gt;0,MIN(Skills!I14,MAX(0,Inputs!$B$35-((R1035-1)*IF(Inputs!$B$4="pvp",15,MAX(0.1,Skills!D14-IF(Skills!E14=TRUE,Inputs!$B$31,0))))))/Skills!H14,1)))/Inputs!$B$35),G1035*Q1035)*IF(Inputs!$B$4="pvp",1,(1-Summary!$B$55)*(1)+Summary!$B$55*(MIN(Skills!W14,Inputs!$B$37))),0)</f>
        <v/>
      </c>
      <c r="P1035">
        <f>IF(B1065=0,0,O1035/B1065)</f>
        <v/>
      </c>
      <c r="Q1035">
        <f>IFERROR(1/IF(Inputs!$B$4="pvp",15,MAX(0.1,Skills!D14-IF(Skills!E14=TRUE,Inputs!$B$31,0))),0)</f>
        <v/>
      </c>
      <c r="R1035">
        <f>IF(AND(Inputs!$B$4&lt;&gt;"pvp",Inputs!$B$35&gt;0),(INT(Inputs!$B$35/IF(Inputs!$B$4="pvp",15,MAX(0.1,Skills!D14-IF(Skills!E14=TRUE,Inputs!$B$31,0))))+1),0)</f>
        <v/>
      </c>
      <c r="S1035">
        <f>IFERROR(O1035/N1035,0)</f>
        <v/>
      </c>
    </row>
    <row r="1036">
      <c r="A1036">
        <f>Skills!A15</f>
        <v/>
      </c>
      <c r="B1036">
        <f>Skills!B15</f>
        <v/>
      </c>
      <c r="C1036">
        <f>Inputs!$B$3&gt;=110</f>
        <v/>
      </c>
      <c r="D1036">
        <f>IF(Skills!C15=1,60+Inputs!$B$24+Inputs!$B$28,IF(Skills!C15=2,90+Inputs!$B$25+Inputs!$B$28,IF(Skills!C15=3,120+Inputs!$B$26+Inputs!$B$28,MAX(0,(Inputs!$B$3-100)*3)+Inputs!$B$27+Inputs!$B$28)))</f>
        <v/>
      </c>
      <c r="E1036">
        <f>INDEX(FactorTable!$B$2:$Y$301, MATCH(ROUND(MIN(300,MAX(1,D1036)),0), FactorTable!$A$2:$A$301,0), Skills!M15+1)</f>
        <v/>
      </c>
      <c r="F1036">
        <f>IF(Skills!N15=TRUE,(Skills!L15/10)*(E1036/1000),Skills!L15/10)+Skills!O15</f>
        <v/>
      </c>
      <c r="G1036">
        <f>Calc!G15</f>
        <v/>
      </c>
      <c r="H1036">
        <f>Calc!H15</f>
        <v/>
      </c>
      <c r="I1036">
        <f>IF(Skills!AA15&lt;&gt;"",1+(Skills!AA15/10)*(U1024/1000)/100,1)</f>
        <v/>
      </c>
      <c r="J1036" t="inlineStr"/>
      <c r="K1036" t="inlineStr"/>
      <c r="L1036" t="inlineStr"/>
      <c r="M1036" t="inlineStr"/>
      <c r="N1036" t="inlineStr"/>
      <c r="O1036" t="n">
        <v>0</v>
      </c>
      <c r="P1036">
        <f>IF(B1065=0,0,O1036/B1065)</f>
        <v/>
      </c>
      <c r="Q1036">
        <f>IFERROR(1/IF(Inputs!$B$4="pvp",15,MAX(0.1,Skills!D15-IF(Skills!E15=TRUE,Inputs!$B$31,0))),0)</f>
        <v/>
      </c>
      <c r="R1036">
        <f>IF(AND(Inputs!$B$4&lt;&gt;"pvp",Inputs!$B$35&gt;0),(INT(Inputs!$B$35/IF(Inputs!$B$4="pvp",15,MAX(0.1,Skills!D15-IF(Skills!E15=TRUE,Inputs!$B$31,0))))+1),0)</f>
        <v/>
      </c>
      <c r="S1036">
        <f>IFERROR(O1036/N1036,0)</f>
        <v/>
      </c>
    </row>
    <row r="1037">
      <c r="A1037">
        <f>Skills!A16</f>
        <v/>
      </c>
      <c r="B1037">
        <f>Skills!B16</f>
        <v/>
      </c>
      <c r="C1037">
        <f>Inputs!$B$3&gt;=110</f>
        <v/>
      </c>
      <c r="D1037">
        <f>IF(Skills!C16=1,60+Inputs!$B$24+Inputs!$B$28,IF(Skills!C16=2,90+Inputs!$B$25+Inputs!$B$28,IF(Skills!C16=3,120+Inputs!$B$26+Inputs!$B$28,MAX(0,(Inputs!$B$3-100)*3)+Inputs!$B$27+Inputs!$B$28)))</f>
        <v/>
      </c>
      <c r="E1037">
        <f>INDEX(FactorTable!$B$2:$Y$301, MATCH(ROUND(MIN(300,MAX(1,D1037)),0), FactorTable!$A$2:$A$301,0), Skills!M16+1)</f>
        <v/>
      </c>
      <c r="F1037">
        <f>IF(Skills!N16=TRUE,(Skills!L16/10)*(E1037/1000),Skills!L16/10)+Skills!O16</f>
        <v/>
      </c>
      <c r="G1037">
        <f>Calc!G16</f>
        <v/>
      </c>
      <c r="H1037">
        <f>Calc!H16</f>
        <v/>
      </c>
      <c r="I1037">
        <f>IF(Skills!AA16&lt;&gt;"",1+(Skills!AA16/10)*(U1024/1000)/100,1)</f>
        <v/>
      </c>
      <c r="J1037" t="inlineStr"/>
      <c r="K1037" t="inlineStr"/>
      <c r="L1037" t="inlineStr"/>
      <c r="M1037" t="inlineStr"/>
      <c r="N1037" t="inlineStr"/>
      <c r="O1037" t="n">
        <v>0</v>
      </c>
      <c r="P1037">
        <f>IF(B1065=0,0,O1037/B1065)</f>
        <v/>
      </c>
      <c r="Q1037">
        <f>IFERROR(1/IF(Inputs!$B$4="pvp",15,MAX(0.1,Skills!D16-IF(Skills!E16=TRUE,Inputs!$B$31,0))),0)</f>
        <v/>
      </c>
      <c r="R1037">
        <f>IF(AND(Inputs!$B$4&lt;&gt;"pvp",Inputs!$B$35&gt;0),(INT(Inputs!$B$35/IF(Inputs!$B$4="pvp",15,MAX(0.1,Skills!D16-IF(Skills!E16=TRUE,Inputs!$B$31,0))))+1),0)</f>
        <v/>
      </c>
      <c r="S1037">
        <f>IFERROR(O1037/N1037,0)</f>
        <v/>
      </c>
    </row>
    <row r="1038">
      <c r="A1038">
        <f>Skills!A17</f>
        <v/>
      </c>
      <c r="B1038">
        <f>Skills!B17</f>
        <v/>
      </c>
      <c r="C1038">
        <f>Inputs!$B$3&gt;=115</f>
        <v/>
      </c>
      <c r="D1038">
        <f>IF(Skills!C17=1,60+Inputs!$B$24+Inputs!$B$28,IF(Skills!C17=2,90+Inputs!$B$25+Inputs!$B$28,IF(Skills!C17=3,120+Inputs!$B$26+Inputs!$B$28,MAX(0,(Inputs!$B$3-100)*3)+Inputs!$B$27+Inputs!$B$28)))</f>
        <v/>
      </c>
      <c r="E1038">
        <f>INDEX(FactorTable!$B$2:$Y$301, MATCH(ROUND(MIN(300,MAX(1,D1038)),0), FactorTable!$A$2:$A$301,0), Skills!M17+1)</f>
        <v/>
      </c>
      <c r="F1038">
        <f>IF(Skills!N17=TRUE,(Skills!L17/10)*(E1038/1000),Skills!L17/10)+Skills!O17</f>
        <v/>
      </c>
      <c r="G1038">
        <f>Calc!G17</f>
        <v/>
      </c>
      <c r="H1038">
        <f>Calc!H17</f>
        <v/>
      </c>
      <c r="I1038">
        <f>IF(Skills!AA17&lt;&gt;"",1+(Skills!AA17/10)*(U1024/1000)/100,1)</f>
        <v/>
      </c>
      <c r="J1038">
        <f>((Inputs!$B$5+1)*(1+Inputs!$B$6/100))*(F1038/100)</f>
        <v/>
      </c>
      <c r="K1038">
        <f>J1038*(1+((Inputs!$B$11*(1+Inputs!$B$12/100))*0.01+Inputs!$B$13*0.0025)/100)*(1+Inputs!$B$14/100)*(1+IF(Inputs!$B$4="pvp",0,(1-Summary!$B$55)*(Inputs!$B$19+((C1048=TRUE)*(F1048-Calc!F27))+Skills!P17+B1062)+Summary!$B$55*(Inputs!$B$20+Skills!Q17+B1062))/100)*(1+Inputs!$B$15/100)*(5000/(6000+Inputs!$B$7*(1-Inputs!$B$18/100)))*(1+(Inputs!$B$23+((C1051=TRUE)*(F1051-Calc!F30)))/100)*(1+Skills!R17/100)*(1+(IF(Skills!A17="SHOWDOWN",Inputs!$B$16+((C1044=TRUE)*(F1044-Calc!F23)),Inputs!$B$17+((C1050=TRUE)*(F1050-Calc!F29))))/100)*(((1+(((C1042=TRUE)*F1042*IF(AND(Inputs!$B$4&lt;&gt;"pvp",Inputs!$B$35&gt;0),(((S1042-1)*(Skills!Y21*(1+Inputs!$B$33/100))+MIN((Skills!Y21*(1+Inputs!$B$33/100)),MAX(0,Inputs!$B$35-((S1042-1)*Skills!D21))))/Inputs!$B$35),IF(Inputs!$B$4="pvp",MIN((Skills!Y21*(1+Inputs!$B$33/100)),15)/15,(Skills!Y21*(1+Inputs!$B$33/100))/Skills!D21)))+((C1049=TRUE)*(F1049-Calc!F28))+((C1039=TRUE)*(F1039-Calc!F18)))/100)*(1+((C1036=TRUE)*F1036*IF(AND(Inputs!$B$4&lt;&gt;"pvp",Inputs!$B$35&gt;0),(((S1036-1)*(Skills!Y15*(1+Inputs!$B$33/100))+MIN((Skills!Y15*(1+Inputs!$B$33/100)),MAX(0,Inputs!$B$35-((S1036-1)*Skills!D15))))/Inputs!$B$35),IF(Inputs!$B$4="pvp",MIN((Skills!Y15*(1+Inputs!$B$33/100)),15)/15,(Skills!Y15*(1+Inputs!$B$33/100))/Skills!D15)))/100)*(1+((C1027=TRUE)*F1027*B1055)/100))*B1063*I1038)</f>
        <v/>
      </c>
      <c r="L1038">
        <f>K1038*(MIN(Inputs!$B$21+((C1045=TRUE)*(F1045-Calc!F24)),Inputs!$B$22)/100+Inputs!$B$22/100)/2</f>
        <v/>
      </c>
      <c r="M1038">
        <f>L1038*(1+(Inputs!$B$9+((C1047=TRUE)*(F1047-Calc!F26))+B1064)/100)</f>
        <v/>
      </c>
      <c r="N1038">
        <f>L1038*(1-MIN((Inputs!$B$8+((C1046=TRUE)*(F1046-Calc!F25))+B1061),100)/100)+M1038*(MIN((Inputs!$B$8+((C1046=TRUE)*(F1046-Calc!F25))+B1061),100)/100)</f>
        <v/>
      </c>
      <c r="O1038">
        <f>IF(C1038,Inputs!$B$38*0.2*N1038,0)</f>
        <v/>
      </c>
      <c r="P1038">
        <f>IF(B1065=0,0,O1038/B1065)</f>
        <v/>
      </c>
      <c r="Q1038" t="n">
        <v>0</v>
      </c>
      <c r="R1038" t="n">
        <v>0</v>
      </c>
      <c r="S1038">
        <f>IFERROR(O1038/N1038,0)</f>
        <v/>
      </c>
    </row>
    <row r="1039">
      <c r="A1039">
        <f>Skills!A18</f>
        <v/>
      </c>
      <c r="B1039">
        <f>Skills!B18</f>
        <v/>
      </c>
      <c r="C1039">
        <f>Inputs!$B$3&gt;=115</f>
        <v/>
      </c>
      <c r="D1039">
        <f>IF(Skills!C18=1,60+Inputs!$B$24+Inputs!$B$28,IF(Skills!C18=2,90+Inputs!$B$25+Inputs!$B$28,IF(Skills!C18=3,120+Inputs!$B$26+Inputs!$B$28,MAX(0,(Inputs!$B$3-100)*3)+Inputs!$B$27+Inputs!$B$28)))</f>
        <v/>
      </c>
      <c r="E1039">
        <f>INDEX(FactorTable!$B$2:$Y$301, MATCH(ROUND(MIN(300,MAX(1,D1039)),0), FactorTable!$A$2:$A$301,0), Skills!M18+1)</f>
        <v/>
      </c>
      <c r="F1039">
        <f>IF(Skills!N18=TRUE,(Skills!L18/10)*(E1039/1000),Skills!L18/10)+Skills!O18</f>
        <v/>
      </c>
      <c r="G1039">
        <f>Calc!G18</f>
        <v/>
      </c>
      <c r="H1039">
        <f>Calc!H18</f>
        <v/>
      </c>
      <c r="I1039">
        <f>IF(Skills!AA18&lt;&gt;"",1+(Skills!AA18/10)*(U1024/1000)/100,1)</f>
        <v/>
      </c>
      <c r="J1039" t="inlineStr"/>
      <c r="K1039" t="inlineStr"/>
      <c r="L1039" t="inlineStr"/>
      <c r="M1039" t="inlineStr"/>
      <c r="N1039" t="inlineStr"/>
      <c r="O1039" t="n">
        <v>0</v>
      </c>
      <c r="P1039">
        <f>IF(B1065=0,0,O1039/B1065)</f>
        <v/>
      </c>
      <c r="Q1039" t="n">
        <v>0</v>
      </c>
      <c r="R1039" t="n">
        <v>0</v>
      </c>
      <c r="S1039">
        <f>IFERROR(O1039/N1039,0)</f>
        <v/>
      </c>
    </row>
    <row r="1040">
      <c r="A1040">
        <f>Skills!A19</f>
        <v/>
      </c>
      <c r="B1040">
        <f>Skills!B19</f>
        <v/>
      </c>
      <c r="C1040">
        <f>TRUE</f>
        <v/>
      </c>
      <c r="D1040">
        <f>IF(Skills!C19=1,60+Inputs!$B$24+Inputs!$B$28,IF(Skills!C19=2,90+Inputs!$B$25+Inputs!$B$28,IF(Skills!C19=3,120+Inputs!$B$26+Inputs!$B$28,MAX(0,(Inputs!$B$3-100)*3)+Inputs!$B$27+Inputs!$B$28)))</f>
        <v/>
      </c>
      <c r="E1040">
        <f>INDEX(FactorTable!$B$2:$Y$301, MATCH(ROUND(MIN(300,MAX(1,D1040)),0), FactorTable!$A$2:$A$301,0), Skills!M19+1)</f>
        <v/>
      </c>
      <c r="F1040">
        <f>IF(Skills!N19=TRUE,(Skills!L19/10)*(E1040/1000),Skills!L19/10)+Skills!O19</f>
        <v/>
      </c>
      <c r="G1040">
        <f>Calc!G19</f>
        <v/>
      </c>
      <c r="H1040">
        <f>Calc!H19</f>
        <v/>
      </c>
      <c r="I1040">
        <f>IF(Skills!AA19&lt;&gt;"",1+(Skills!AA19/10)*(U1024/1000)/100,1)</f>
        <v/>
      </c>
      <c r="J1040" t="inlineStr"/>
      <c r="K1040" t="inlineStr"/>
      <c r="L1040" t="inlineStr"/>
      <c r="M1040" t="inlineStr"/>
      <c r="N1040" t="inlineStr"/>
      <c r="O1040" t="n">
        <v>0</v>
      </c>
      <c r="P1040">
        <f>IF(B1065=0,0,O1040/B1065)</f>
        <v/>
      </c>
      <c r="Q1040">
        <f>IFERROR(1/IF(Inputs!$B$4="pvp",15,MAX(0.1,Skills!D19-IF(Skills!E19=TRUE,Inputs!$B$31,0))),0)</f>
        <v/>
      </c>
      <c r="R1040">
        <f>IF(AND(Inputs!$B$4&lt;&gt;"pvp",Inputs!$B$35&gt;0),(INT(Inputs!$B$35/IF(Inputs!$B$4="pvp",15,MAX(0.1,Skills!D19-IF(Skills!E19=TRUE,Inputs!$B$31,0))))+1),0)</f>
        <v/>
      </c>
      <c r="S1040">
        <f>IFERROR(O1040/N1040,0)</f>
        <v/>
      </c>
    </row>
    <row r="1041">
      <c r="A1041">
        <f>Skills!A20</f>
        <v/>
      </c>
      <c r="B1041">
        <f>Skills!B20</f>
        <v/>
      </c>
      <c r="C1041">
        <f>Inputs!$B$3&gt;=15</f>
        <v/>
      </c>
      <c r="D1041">
        <f>IF(Skills!C20=1,60+Inputs!$B$24+Inputs!$B$28,IF(Skills!C20=2,90+Inputs!$B$25+Inputs!$B$28,IF(Skills!C20=3,120+Inputs!$B$26+Inputs!$B$28,MAX(0,(Inputs!$B$3-100)*3)+Inputs!$B$27+Inputs!$B$28)))</f>
        <v/>
      </c>
      <c r="E1041">
        <f>INDEX(FactorTable!$B$2:$Y$301, MATCH(ROUND(MIN(300,MAX(1,D1041)),0), FactorTable!$A$2:$A$301,0), Skills!M20+1)</f>
        <v/>
      </c>
      <c r="F1041">
        <f>IF(Skills!N20=TRUE,(Skills!L20/10)*(E1041/1000),Skills!L20/10)+Skills!O20</f>
        <v/>
      </c>
      <c r="G1041">
        <f>Calc!G20</f>
        <v/>
      </c>
      <c r="H1041">
        <f>Calc!H20</f>
        <v/>
      </c>
      <c r="I1041">
        <f>IF(Skills!AA20&lt;&gt;"",1+(Skills!AA20/10)*(U1024/1000)/100,1)</f>
        <v/>
      </c>
      <c r="J1041" t="inlineStr"/>
      <c r="K1041" t="inlineStr"/>
      <c r="L1041" t="inlineStr"/>
      <c r="M1041" t="inlineStr"/>
      <c r="N1041" t="inlineStr"/>
      <c r="O1041" t="n">
        <v>0</v>
      </c>
      <c r="P1041">
        <f>IF(B1065=0,0,O1041/B1065)</f>
        <v/>
      </c>
      <c r="Q1041">
        <f>IFERROR(1/IF(Inputs!$B$4="pvp",15,MAX(0.1,Skills!D20-IF(Skills!E20=TRUE,Inputs!$B$31,0))),0)</f>
        <v/>
      </c>
      <c r="R1041">
        <f>IF(AND(Inputs!$B$4&lt;&gt;"pvp",Inputs!$B$35&gt;0),(INT(Inputs!$B$35/IF(Inputs!$B$4="pvp",15,MAX(0.1,Skills!D20-IF(Skills!E20=TRUE,Inputs!$B$31,0))))+1),0)</f>
        <v/>
      </c>
      <c r="S1041">
        <f>IFERROR(O1041/N1041,0)</f>
        <v/>
      </c>
    </row>
    <row r="1042">
      <c r="A1042">
        <f>Skills!A21</f>
        <v/>
      </c>
      <c r="B1042">
        <f>Skills!B21</f>
        <v/>
      </c>
      <c r="C1042">
        <f>Inputs!$B$3&gt;=15</f>
        <v/>
      </c>
      <c r="D1042">
        <f>IF(Skills!C21=1,60+Inputs!$B$24+Inputs!$B$28,IF(Skills!C21=2,90+Inputs!$B$25+Inputs!$B$28,IF(Skills!C21=3,120+Inputs!$B$26+Inputs!$B$28,MAX(0,(Inputs!$B$3-100)*3)+Inputs!$B$27+Inputs!$B$28)))</f>
        <v/>
      </c>
      <c r="E1042">
        <f>INDEX(FactorTable!$B$2:$Y$301, MATCH(ROUND(MIN(300,MAX(1,D1042)),0), FactorTable!$A$2:$A$301,0), Skills!M21+1)</f>
        <v/>
      </c>
      <c r="F1042">
        <f>IF(Skills!N21=TRUE,(Skills!L21/10)*(E1042/1000),Skills!L21/10)+Skills!O21</f>
        <v/>
      </c>
      <c r="G1042">
        <f>Calc!G21</f>
        <v/>
      </c>
      <c r="H1042">
        <f>Calc!H21</f>
        <v/>
      </c>
      <c r="I1042">
        <f>IF(Skills!AA21&lt;&gt;"",1+(Skills!AA21/10)*(U1024/1000)/100,1)</f>
        <v/>
      </c>
      <c r="J1042" t="inlineStr"/>
      <c r="K1042" t="inlineStr"/>
      <c r="L1042" t="inlineStr"/>
      <c r="M1042" t="inlineStr"/>
      <c r="N1042" t="inlineStr"/>
      <c r="O1042" t="n">
        <v>0</v>
      </c>
      <c r="P1042">
        <f>IF(B1065=0,0,O1042/B1065)</f>
        <v/>
      </c>
      <c r="Q1042">
        <f>IFERROR(1/IF(Inputs!$B$4="pvp",15,MAX(0.1,Skills!D21-IF(Skills!E21=TRUE,Inputs!$B$31,0))),0)</f>
        <v/>
      </c>
      <c r="R1042">
        <f>IF(AND(Inputs!$B$4&lt;&gt;"pvp",Inputs!$B$35&gt;0),(INT(Inputs!$B$35/IF(Inputs!$B$4="pvp",15,MAX(0.1,Skills!D21-IF(Skills!E21=TRUE,Inputs!$B$31,0))))+1),0)</f>
        <v/>
      </c>
      <c r="S1042">
        <f>IFERROR(O1042/N1042,0)</f>
        <v/>
      </c>
    </row>
    <row r="1043">
      <c r="A1043">
        <f>Skills!A22</f>
        <v/>
      </c>
      <c r="B1043">
        <f>Skills!B22</f>
        <v/>
      </c>
      <c r="C1043">
        <f>Inputs!$B$3&gt;=33</f>
        <v/>
      </c>
      <c r="D1043">
        <f>IF(Skills!C22=1,60+Inputs!$B$24+Inputs!$B$28,IF(Skills!C22=2,90+Inputs!$B$25+Inputs!$B$28,IF(Skills!C22=3,120+Inputs!$B$26+Inputs!$B$28,MAX(0,(Inputs!$B$3-100)*3)+Inputs!$B$27+Inputs!$B$28)))</f>
        <v/>
      </c>
      <c r="E1043">
        <f>INDEX(FactorTable!$B$2:$Y$301, MATCH(ROUND(MIN(300,MAX(1,D1043)),0), FactorTable!$A$2:$A$301,0), Skills!M22+1)</f>
        <v/>
      </c>
      <c r="F1043">
        <f>IF(Skills!N22=TRUE,(Skills!L22/10)*(E1043/1000),Skills!L22/10)+Skills!O22</f>
        <v/>
      </c>
      <c r="G1043">
        <f>Calc!G22</f>
        <v/>
      </c>
      <c r="H1043">
        <f>Calc!H22</f>
        <v/>
      </c>
      <c r="I1043">
        <f>IF(Skills!AA22&lt;&gt;"",1+(Skills!AA22/10)*(U1024/1000)/100,1)</f>
        <v/>
      </c>
      <c r="J1043" t="inlineStr"/>
      <c r="K1043" t="inlineStr"/>
      <c r="L1043" t="inlineStr"/>
      <c r="M1043" t="inlineStr"/>
      <c r="N1043" t="inlineStr"/>
      <c r="O1043" t="n">
        <v>0</v>
      </c>
      <c r="P1043">
        <f>IF(B1065=0,0,O1043/B1065)</f>
        <v/>
      </c>
      <c r="Q1043" t="n">
        <v>0</v>
      </c>
      <c r="R1043" t="n">
        <v>0</v>
      </c>
      <c r="S1043">
        <f>IFERROR(O1043/N1043,0)</f>
        <v/>
      </c>
    </row>
    <row r="1044">
      <c r="A1044">
        <f>Skills!A23</f>
        <v/>
      </c>
      <c r="B1044">
        <f>Skills!B23</f>
        <v/>
      </c>
      <c r="C1044">
        <f>Inputs!$B$3&gt;=38</f>
        <v/>
      </c>
      <c r="D1044">
        <f>IF(Skills!C23=1,60+Inputs!$B$24+Inputs!$B$28,IF(Skills!C23=2,90+Inputs!$B$25+Inputs!$B$28,IF(Skills!C23=3,120+Inputs!$B$26+Inputs!$B$28,MAX(0,(Inputs!$B$3-100)*3)+Inputs!$B$27+Inputs!$B$28)))</f>
        <v/>
      </c>
      <c r="E1044">
        <f>INDEX(FactorTable!$B$2:$Y$301, MATCH(ROUND(MIN(300,MAX(1,D1044)),0), FactorTable!$A$2:$A$301,0), Skills!M23+1)</f>
        <v/>
      </c>
      <c r="F1044">
        <f>IF(Skills!N23=TRUE,(Skills!L23/10)*(E1044/1000),Skills!L23/10)+Skills!O23</f>
        <v/>
      </c>
      <c r="G1044">
        <f>Calc!G23</f>
        <v/>
      </c>
      <c r="H1044">
        <f>Calc!H23</f>
        <v/>
      </c>
      <c r="I1044">
        <f>IF(Skills!AA23&lt;&gt;"",1+(Skills!AA23/10)*(U1024/1000)/100,1)</f>
        <v/>
      </c>
      <c r="J1044" t="inlineStr"/>
      <c r="K1044" t="inlineStr"/>
      <c r="L1044" t="inlineStr"/>
      <c r="M1044" t="inlineStr"/>
      <c r="N1044" t="inlineStr"/>
      <c r="O1044" t="n">
        <v>0</v>
      </c>
      <c r="P1044">
        <f>IF(B1065=0,0,O1044/B1065)</f>
        <v/>
      </c>
      <c r="Q1044" t="n">
        <v>0</v>
      </c>
      <c r="R1044" t="n">
        <v>0</v>
      </c>
      <c r="S1044">
        <f>IFERROR(O1044/N1044,0)</f>
        <v/>
      </c>
    </row>
    <row r="1045">
      <c r="A1045">
        <f>Skills!A24</f>
        <v/>
      </c>
      <c r="B1045">
        <f>Skills!B24</f>
        <v/>
      </c>
      <c r="C1045">
        <f>Inputs!$B$3&gt;=40</f>
        <v/>
      </c>
      <c r="D1045">
        <f>IF(Skills!C24=1,60+Inputs!$B$24+Inputs!$B$28,IF(Skills!C24=2,90+Inputs!$B$25+Inputs!$B$28,IF(Skills!C24=3,120+Inputs!$B$26+Inputs!$B$28,MAX(0,(Inputs!$B$3-100)*3)+Inputs!$B$27+Inputs!$B$28)))</f>
        <v/>
      </c>
      <c r="E1045">
        <f>INDEX(FactorTable!$B$2:$Y$301, MATCH(ROUND(MIN(300,MAX(1,D1045)),0), FactorTable!$A$2:$A$301,0), Skills!M24+1)</f>
        <v/>
      </c>
      <c r="F1045">
        <f>IF(Skills!N24=TRUE,(Skills!L24/10)*(E1045/1000),Skills!L24/10)+Skills!O24</f>
        <v/>
      </c>
      <c r="G1045">
        <f>Calc!G24</f>
        <v/>
      </c>
      <c r="H1045">
        <f>Calc!H24</f>
        <v/>
      </c>
      <c r="I1045">
        <f>IF(Skills!AA24&lt;&gt;"",1+(Skills!AA24/10)*(U1024/1000)/100,1)</f>
        <v/>
      </c>
      <c r="J1045" t="inlineStr"/>
      <c r="K1045" t="inlineStr"/>
      <c r="L1045" t="inlineStr"/>
      <c r="M1045" t="inlineStr"/>
      <c r="N1045" t="inlineStr"/>
      <c r="O1045" t="n">
        <v>0</v>
      </c>
      <c r="P1045">
        <f>IF(B1065=0,0,O1045/B1065)</f>
        <v/>
      </c>
      <c r="Q1045" t="n">
        <v>0</v>
      </c>
      <c r="R1045" t="n">
        <v>0</v>
      </c>
      <c r="S1045">
        <f>IFERROR(O1045/N1045,0)</f>
        <v/>
      </c>
    </row>
    <row r="1046">
      <c r="A1046">
        <f>Skills!A25</f>
        <v/>
      </c>
      <c r="B1046">
        <f>Skills!B25</f>
        <v/>
      </c>
      <c r="C1046">
        <f>Inputs!$B$3&gt;=45</f>
        <v/>
      </c>
      <c r="D1046">
        <f>IF(Skills!C25=1,60+Inputs!$B$24+Inputs!$B$28,IF(Skills!C25=2,90+Inputs!$B$25+Inputs!$B$28,IF(Skills!C25=3,120+Inputs!$B$26+Inputs!$B$28,MAX(0,(Inputs!$B$3-100)*3)+Inputs!$B$27+Inputs!$B$28)))</f>
        <v/>
      </c>
      <c r="E1046">
        <f>INDEX(FactorTable!$B$2:$Y$301, MATCH(ROUND(MIN(300,MAX(1,D1046)),0), FactorTable!$A$2:$A$301,0), Skills!M25+1)</f>
        <v/>
      </c>
      <c r="F1046">
        <f>IF(Skills!N25=TRUE,(Skills!L25/10)*(E1046/1000),Skills!L25/10)+Skills!O25</f>
        <v/>
      </c>
      <c r="G1046">
        <f>Calc!G25</f>
        <v/>
      </c>
      <c r="H1046">
        <f>Calc!H25</f>
        <v/>
      </c>
      <c r="I1046">
        <f>IF(Skills!AA25&lt;&gt;"",1+(Skills!AA25/10)*(U1024/1000)/100,1)</f>
        <v/>
      </c>
      <c r="J1046" t="inlineStr"/>
      <c r="K1046" t="inlineStr"/>
      <c r="L1046" t="inlineStr"/>
      <c r="M1046" t="inlineStr"/>
      <c r="N1046" t="inlineStr"/>
      <c r="O1046" t="n">
        <v>0</v>
      </c>
      <c r="P1046">
        <f>IF(B1065=0,0,O1046/B1065)</f>
        <v/>
      </c>
      <c r="Q1046" t="n">
        <v>0</v>
      </c>
      <c r="R1046" t="n">
        <v>0</v>
      </c>
      <c r="S1046">
        <f>IFERROR(O1046/N1046,0)</f>
        <v/>
      </c>
    </row>
    <row r="1047">
      <c r="A1047">
        <f>Skills!A26</f>
        <v/>
      </c>
      <c r="B1047">
        <f>Skills!B26</f>
        <v/>
      </c>
      <c r="C1047">
        <f>Inputs!$B$3&gt;=45</f>
        <v/>
      </c>
      <c r="D1047">
        <f>IF(Skills!C26=1,60+Inputs!$B$24+Inputs!$B$28,IF(Skills!C26=2,90+Inputs!$B$25+Inputs!$B$28,IF(Skills!C26=3,120+Inputs!$B$26+Inputs!$B$28,MAX(0,(Inputs!$B$3-100)*3)+Inputs!$B$27+Inputs!$B$28)))</f>
        <v/>
      </c>
      <c r="E1047">
        <f>INDEX(FactorTable!$B$2:$Y$301, MATCH(ROUND(MIN(300,MAX(1,D1047)),0), FactorTable!$A$2:$A$301,0), Skills!M26+1)</f>
        <v/>
      </c>
      <c r="F1047">
        <f>IF(Skills!N26=TRUE,(Skills!L26/10)*(E1047/1000),Skills!L26/10)+Skills!O26</f>
        <v/>
      </c>
      <c r="G1047">
        <f>Calc!G26</f>
        <v/>
      </c>
      <c r="H1047">
        <f>Calc!H26</f>
        <v/>
      </c>
      <c r="I1047">
        <f>IF(Skills!AA26&lt;&gt;"",1+(Skills!AA26/10)*(U1024/1000)/100,1)</f>
        <v/>
      </c>
      <c r="J1047" t="inlineStr"/>
      <c r="K1047" t="inlineStr"/>
      <c r="L1047" t="inlineStr"/>
      <c r="M1047" t="inlineStr"/>
      <c r="N1047" t="inlineStr"/>
      <c r="O1047" t="n">
        <v>0</v>
      </c>
      <c r="P1047">
        <f>IF(B1065=0,0,O1047/B1065)</f>
        <v/>
      </c>
      <c r="Q1047" t="n">
        <v>0</v>
      </c>
      <c r="R1047" t="n">
        <v>0</v>
      </c>
      <c r="S1047">
        <f>IFERROR(O1047/N1047,0)</f>
        <v/>
      </c>
    </row>
    <row r="1048">
      <c r="A1048">
        <f>Skills!A27</f>
        <v/>
      </c>
      <c r="B1048">
        <f>Skills!B27</f>
        <v/>
      </c>
      <c r="C1048">
        <f>Inputs!$B$3&gt;=72</f>
        <v/>
      </c>
      <c r="D1048">
        <f>IF(Skills!C27=1,60+Inputs!$B$24+Inputs!$B$28,IF(Skills!C27=2,90+Inputs!$B$25+Inputs!$B$28,IF(Skills!C27=3,120+Inputs!$B$26+Inputs!$B$28,MAX(0,(Inputs!$B$3-100)*3)+Inputs!$B$27+Inputs!$B$28)))</f>
        <v/>
      </c>
      <c r="E1048">
        <f>INDEX(FactorTable!$B$2:$Y$301, MATCH(ROUND(MIN(300,MAX(1,D1048)),0), FactorTable!$A$2:$A$301,0), Skills!M27+1)</f>
        <v/>
      </c>
      <c r="F1048">
        <f>IF(Skills!N27=TRUE,(Skills!L27/10)*(E1048/1000),Skills!L27/10)+Skills!O27</f>
        <v/>
      </c>
      <c r="G1048">
        <f>Calc!G27</f>
        <v/>
      </c>
      <c r="H1048">
        <f>Calc!H27</f>
        <v/>
      </c>
      <c r="I1048">
        <f>IF(Skills!AA27&lt;&gt;"",1+(Skills!AA27/10)*(U1024/1000)/100,1)</f>
        <v/>
      </c>
      <c r="J1048" t="inlineStr"/>
      <c r="K1048" t="inlineStr"/>
      <c r="L1048" t="inlineStr"/>
      <c r="M1048" t="inlineStr"/>
      <c r="N1048" t="inlineStr"/>
      <c r="O1048" t="n">
        <v>0</v>
      </c>
      <c r="P1048">
        <f>IF(B1065=0,0,O1048/B1065)</f>
        <v/>
      </c>
      <c r="Q1048" t="n">
        <v>0</v>
      </c>
      <c r="R1048" t="n">
        <v>0</v>
      </c>
      <c r="S1048">
        <f>IFERROR(O1048/N1048,0)</f>
        <v/>
      </c>
    </row>
    <row r="1049">
      <c r="A1049">
        <f>Skills!A28</f>
        <v/>
      </c>
      <c r="B1049">
        <f>Skills!B28</f>
        <v/>
      </c>
      <c r="C1049">
        <f>Inputs!$B$3&gt;=75</f>
        <v/>
      </c>
      <c r="D1049">
        <f>IF(Skills!C28=1,60+Inputs!$B$24+Inputs!$B$28,IF(Skills!C28=2,90+Inputs!$B$25+Inputs!$B$28,IF(Skills!C28=3,120+Inputs!$B$26+Inputs!$B$28,MAX(0,(Inputs!$B$3-100)*3)+Inputs!$B$27+Inputs!$B$28)))</f>
        <v/>
      </c>
      <c r="E1049">
        <f>INDEX(FactorTable!$B$2:$Y$301, MATCH(ROUND(MIN(300,MAX(1,D1049)),0), FactorTable!$A$2:$A$301,0), Skills!M28+1)</f>
        <v/>
      </c>
      <c r="F1049">
        <f>IF(Skills!N28=TRUE,(Skills!L28/10)*(E1049/1000),Skills!L28/10)+Skills!O28</f>
        <v/>
      </c>
      <c r="G1049">
        <f>Calc!G28</f>
        <v/>
      </c>
      <c r="H1049">
        <f>Calc!H28</f>
        <v/>
      </c>
      <c r="I1049">
        <f>IF(Skills!AA28&lt;&gt;"",1+(Skills!AA28/10)*(U1024/1000)/100,1)</f>
        <v/>
      </c>
      <c r="J1049" t="inlineStr"/>
      <c r="K1049" t="inlineStr"/>
      <c r="L1049" t="inlineStr"/>
      <c r="M1049" t="inlineStr"/>
      <c r="N1049" t="inlineStr"/>
      <c r="O1049" t="n">
        <v>0</v>
      </c>
      <c r="P1049">
        <f>IF(B1065=0,0,O1049/B1065)</f>
        <v/>
      </c>
      <c r="Q1049" t="n">
        <v>0</v>
      </c>
      <c r="R1049" t="n">
        <v>0</v>
      </c>
      <c r="S1049">
        <f>IFERROR(O1049/N1049,0)</f>
        <v/>
      </c>
    </row>
    <row r="1050">
      <c r="A1050">
        <f>Skills!A29</f>
        <v/>
      </c>
      <c r="B1050">
        <f>Skills!B29</f>
        <v/>
      </c>
      <c r="C1050">
        <f>Inputs!$B$3&gt;=120</f>
        <v/>
      </c>
      <c r="D1050">
        <f>IF(Skills!C29=1,60+Inputs!$B$24+Inputs!$B$28,IF(Skills!C29=2,90+Inputs!$B$25+Inputs!$B$28,IF(Skills!C29=3,120+Inputs!$B$26+Inputs!$B$28,MAX(0,(Inputs!$B$3-100)*3)+Inputs!$B$27+Inputs!$B$28)))</f>
        <v/>
      </c>
      <c r="E1050">
        <f>INDEX(FactorTable!$B$2:$Y$301, MATCH(ROUND(MIN(300,MAX(1,D1050)),0), FactorTable!$A$2:$A$301,0), Skills!M29+1)</f>
        <v/>
      </c>
      <c r="F1050">
        <f>IF(Skills!N29=TRUE,(Skills!L29/10)*(E1050/1000),Skills!L29/10)+Skills!O29</f>
        <v/>
      </c>
      <c r="G1050">
        <f>Calc!G29</f>
        <v/>
      </c>
      <c r="H1050">
        <f>Calc!H29</f>
        <v/>
      </c>
      <c r="I1050">
        <f>IF(Skills!AA29&lt;&gt;"",1+(Skills!AA29/10)*(U1024/1000)/100,1)</f>
        <v/>
      </c>
      <c r="J1050" t="inlineStr"/>
      <c r="K1050" t="inlineStr"/>
      <c r="L1050" t="inlineStr"/>
      <c r="M1050" t="inlineStr"/>
      <c r="N1050" t="inlineStr"/>
      <c r="O1050" t="n">
        <v>0</v>
      </c>
      <c r="P1050">
        <f>IF(B1065=0,0,O1050/B1065)</f>
        <v/>
      </c>
      <c r="Q1050" t="n">
        <v>0</v>
      </c>
      <c r="R1050" t="n">
        <v>0</v>
      </c>
      <c r="S1050">
        <f>IFERROR(O1050/N1050,0)</f>
        <v/>
      </c>
    </row>
    <row r="1051">
      <c r="A1051">
        <f>Skills!A30</f>
        <v/>
      </c>
      <c r="B1051">
        <f>Skills!B30</f>
        <v/>
      </c>
      <c r="C1051">
        <f>Inputs!$B$3&gt;=125</f>
        <v/>
      </c>
      <c r="D1051">
        <f>IF(Skills!C30=1,60+Inputs!$B$24+Inputs!$B$28,IF(Skills!C30=2,90+Inputs!$B$25+Inputs!$B$28,IF(Skills!C30=3,120+Inputs!$B$26+Inputs!$B$28,MAX(0,(Inputs!$B$3-100)*3)+Inputs!$B$27+Inputs!$B$28)))</f>
        <v/>
      </c>
      <c r="E1051">
        <f>INDEX(FactorTable!$B$2:$Y$301, MATCH(ROUND(MIN(300,MAX(1,D1051)),0), FactorTable!$A$2:$A$301,0), Skills!M30+1)</f>
        <v/>
      </c>
      <c r="F1051">
        <f>IF(Skills!N30=TRUE,(Skills!L30/10)*(E1051/1000),Skills!L30/10)+Skills!O30</f>
        <v/>
      </c>
      <c r="G1051">
        <f>Calc!G30</f>
        <v/>
      </c>
      <c r="H1051">
        <f>Calc!H30</f>
        <v/>
      </c>
      <c r="I1051">
        <f>IF(Skills!AA30&lt;&gt;"",1+(Skills!AA30/10)*(U1024/1000)/100,1)</f>
        <v/>
      </c>
      <c r="J1051" t="inlineStr"/>
      <c r="K1051" t="inlineStr"/>
      <c r="L1051" t="inlineStr"/>
      <c r="M1051" t="inlineStr"/>
      <c r="N1051" t="inlineStr"/>
      <c r="O1051" t="n">
        <v>0</v>
      </c>
      <c r="P1051">
        <f>IF(B1065=0,0,O1051/B1065)</f>
        <v/>
      </c>
      <c r="Q1051" t="n">
        <v>0</v>
      </c>
      <c r="R1051" t="n">
        <v>0</v>
      </c>
      <c r="S1051">
        <f>IFERROR(O1051/N1051,0)</f>
        <v/>
      </c>
    </row>
    <row r="1052">
      <c r="A1052">
        <f>Skills!A31</f>
        <v/>
      </c>
      <c r="B1052">
        <f>Skills!B31</f>
        <v/>
      </c>
      <c r="C1052">
        <f>Inputs!$B$3&gt;=107</f>
        <v/>
      </c>
      <c r="D1052">
        <f>IF(Skills!C31=1,60+Inputs!$B$24+Inputs!$B$28,IF(Skills!C31=2,90+Inputs!$B$25+Inputs!$B$28,IF(Skills!C31=3,120+Inputs!$B$26+Inputs!$B$28,MAX(0,(Inputs!$B$3-100)*3)+Inputs!$B$27+Inputs!$B$28)))</f>
        <v/>
      </c>
      <c r="E1052">
        <f>INDEX(FactorTable!$B$2:$Y$301, MATCH(ROUND(MIN(300,MAX(1,D1052)),0), FactorTable!$A$2:$A$301,0), Skills!M31+1)</f>
        <v/>
      </c>
      <c r="F1052">
        <f>IF(Skills!N31=TRUE,(Skills!L31/10)*(E1052/1000),Skills!L31/10)+Skills!O31</f>
        <v/>
      </c>
      <c r="G1052">
        <f>Calc!G31</f>
        <v/>
      </c>
      <c r="H1052">
        <f>Calc!H31</f>
        <v/>
      </c>
      <c r="I1052">
        <f>IF(Skills!AA31&lt;&gt;"",1+(Skills!AA31/10)*(U1024/1000)/100,1)</f>
        <v/>
      </c>
      <c r="J1052" t="inlineStr"/>
      <c r="K1052" t="inlineStr"/>
      <c r="L1052" t="inlineStr"/>
      <c r="M1052" t="inlineStr"/>
      <c r="N1052" t="inlineStr"/>
      <c r="O1052" t="n">
        <v>0</v>
      </c>
      <c r="P1052">
        <f>IF(B1065=0,0,O1052/B1065)</f>
        <v/>
      </c>
      <c r="Q1052" t="n">
        <v>0</v>
      </c>
      <c r="R1052" t="n">
        <v>0</v>
      </c>
      <c r="S1052">
        <f>IFERROR(O1052/N1052,0)</f>
        <v/>
      </c>
    </row>
    <row r="1054">
      <c r="A1054" t="inlineStr">
        <is>
          <t>Actions Per Second (pre-Adrenalin)</t>
        </is>
      </c>
      <c r="B1054">
        <f>1+MIN(150,150*(1-(1-(Inputs!$B$10+((C1043=TRUE)*(F1043-Calc!F22)))/150)*(1-((C1040=TRUE)*F1040*IF(AND(Inputs!$B$4&lt;&gt;"pvp",Inputs!$B$35&gt;0),(((S1040-1)*(Skills!Y19*(1+Inputs!$B$33/100))+MIN((Skills!Y19*(1+Inputs!$B$33/100)),MAX(0,Inputs!$B$35-((S1040-1)*Skills!D19))))/Inputs!$B$35),IF(Inputs!$B$4="pvp",MIN((Skills!Y19*(1+Inputs!$B$33/100)),15)/15,(Skills!Y19*(1+Inputs!$B$33/100))/Skills!D19)))/150)))/100</f>
        <v/>
      </c>
    </row>
    <row r="1055">
      <c r="A1055" t="inlineStr">
        <is>
          <t>Alchemic Adrenaline Uptime</t>
        </is>
      </c>
      <c r="B1055">
        <f>(Skills!Y6*(1+Inputs!$B$33/100))/((Skills!Y6*(1+Inputs!$B$33/100))+(5/B1054))</f>
        <v/>
      </c>
    </row>
    <row r="1056">
      <c r="A1056" t="inlineStr">
        <is>
          <t>Attack Speed Buff Bonus %</t>
        </is>
      </c>
      <c r="B1056">
        <f>((C1040=TRUE)*F1040*IF(AND(Inputs!$B$4&lt;&gt;"pvp",Inputs!$B$35&gt;0),(((S1040-1)*(Skills!Y19*(1+Inputs!$B$33/100))+MIN((Skills!Y19*(1+Inputs!$B$33/100)),MAX(0,Inputs!$B$35-((S1040-1)*Skills!D19))))/Inputs!$B$35),IF(Inputs!$B$4="pvp",MIN((Skills!Y19*(1+Inputs!$B$33/100)),15)/15,(Skills!Y19*(1+Inputs!$B$33/100))/Skills!D19)))+((C1028=TRUE)*F1028*B1055)</f>
        <v/>
      </c>
    </row>
    <row r="1057">
      <c r="A1057" t="inlineStr">
        <is>
          <t>Actions Per Second (final)</t>
        </is>
      </c>
      <c r="B1057">
        <f>1+MIN(150,150*(1-(1-(Inputs!$B$10+((C1043=TRUE)*(F1043-Calc!F22)))/150)*(1-B1056/150)))/100</f>
        <v/>
      </c>
    </row>
    <row r="1058">
      <c r="A1058" t="inlineStr">
        <is>
          <t>Skill + Buff Cast Rate</t>
        </is>
      </c>
      <c r="B1058">
        <f>IF(AND(Inputs!$B$4&lt;&gt;"pvp",Inputs!$B$35&gt;0),SUMPRODUCT((Skills!E2:E31=TRUE)*(C1023:C1052=TRUE)*R1023:R1052*Skills!F2:F31)/Inputs!$B$35,SUMPRODUCT((Skills!E2:E31=TRUE)*(C1023:C1052=TRUE)*Q1023:Q1052*Skills!F2:F31))</f>
        <v/>
      </c>
    </row>
    <row r="1059">
      <c r="A1059" t="inlineStr">
        <is>
          <t>Showdown Casts Per Second</t>
        </is>
      </c>
      <c r="B1059">
        <f>MAX(0,B1057-B1058)</f>
        <v/>
      </c>
    </row>
    <row r="1060">
      <c r="A1060" t="inlineStr">
        <is>
          <t>Average Buff Multiplier</t>
        </is>
      </c>
      <c r="B1060">
        <f>(1+(((C1042=TRUE)*F1042*IF(AND(Inputs!$B$4&lt;&gt;"pvp",Inputs!$B$35&gt;0),(((S1042-1)*(Skills!Y21*(1+Inputs!$B$33/100))+MIN((Skills!Y21*(1+Inputs!$B$33/100)),MAX(0,Inputs!$B$35-((S1042-1)*Skills!D21))))/Inputs!$B$35),IF(Inputs!$B$4="pvp",MIN((Skills!Y21*(1+Inputs!$B$33/100)),15)/15,(Skills!Y21*(1+Inputs!$B$33/100))/Skills!D21)))+((C1049=TRUE)*(F1049-Calc!F28))+((C1039=TRUE)*(F1039-Calc!F18)))/100)*(1+((C1036=TRUE)*F1036*IF(AND(Inputs!$B$4&lt;&gt;"pvp",Inputs!$B$35&gt;0),(((S1036-1)*(Skills!Y15*(1+Inputs!$B$33/100))+MIN((Skills!Y15*(1+Inputs!$B$33/100)),MAX(0,Inputs!$B$35-((S1036-1)*Skills!D15))))/Inputs!$B$35),IF(Inputs!$B$4="pvp",MIN((Skills!Y15*(1+Inputs!$B$33/100)),15)/15,(Skills!Y15*(1+Inputs!$B$33/100))/Skills!D15)))/100)*(1+((C1027=TRUE)*F1027*B1055)/100)</f>
        <v/>
      </c>
    </row>
    <row r="1061">
      <c r="A1061" t="inlineStr">
        <is>
          <t>Global Crit Rate Bonus %</t>
        </is>
      </c>
      <c r="B1061">
        <f>IF(Inputs!$B$3&gt;=47,8,0)+((C1041=TRUE)*F1041*IF(AND(Inputs!$B$4&lt;&gt;"pvp",Inputs!$B$35&gt;0),(((S1041-1)*(Skills!Y20*(1+Inputs!$B$33/100))+MIN((Skills!Y20*(1+Inputs!$B$33/100)),MAX(0,Inputs!$B$35-((S1041-1)*Skills!D20))))/Inputs!$B$35),IF(Inputs!$B$4="pvp",MIN((Skills!Y20*(1+Inputs!$B$33/100)),15)/15,(Skills!Y20*(1+Inputs!$B$33/100))/Skills!D20)))</f>
        <v/>
      </c>
    </row>
    <row r="1062">
      <c r="A1062" t="inlineStr">
        <is>
          <t>Global Monster Damage-Taken Bonus %</t>
        </is>
      </c>
      <c r="B1062">
        <f>IF(Inputs!$B$3&gt;=82,15,0)+((C1037=TRUE)*F1037*IF(AND(Inputs!$B$4&lt;&gt;"pvp",Inputs!$B$35&gt;0),(((S1037-1)*(Skills!Y16*(1+Inputs!$B$33/100))+MIN((Skills!Y16*(1+Inputs!$B$33/100)),MAX(0,Inputs!$B$35-((S1037-1)*Skills!D16))))/Inputs!$B$35),IF(Inputs!$B$4="pvp",MIN((Skills!Y16*(1+Inputs!$B$33/100)),15)/15,(Skills!Y16*(1+Inputs!$B$33/100))/Skills!D16)))</f>
        <v/>
      </c>
    </row>
    <row r="1063">
      <c r="A1063" t="inlineStr">
        <is>
          <t>Shadow Partner Average Multiplier</t>
        </is>
      </c>
      <c r="B1063">
        <f>1+((C1032=TRUE)*F1032*I1032*Skills!J11/100)/100</f>
        <v/>
      </c>
    </row>
    <row r="1064">
      <c r="A1064" t="inlineStr">
        <is>
          <t>Global Critical Damage Bonus % (Frailty Curse Mastery Lv.111)</t>
        </is>
      </c>
      <c r="B1064">
        <f>IF(Inputs!$B$3&gt;=111,30,0)*IF(AND(Inputs!$B$4&lt;&gt;"pvp",Inputs!$B$35&gt;0),(((S1037-1)*(Skills!Y16*(1+Inputs!$B$33/100))+MIN((Skills!Y16*(1+Inputs!$B$33/100)),MAX(0,Inputs!$B$35-((S1037-1)*Skills!D16))))/Inputs!$B$35),IF(Inputs!$B$4="pvp",MIN((Skills!Y16*(1+Inputs!$B$33/100)),15)/15,(Skills!Y16*(1+Inputs!$B$33/100))/Skills!D16))</f>
        <v/>
      </c>
    </row>
    <row r="1065">
      <c r="A1065" s="5" t="inlineStr">
        <is>
          <t>TOTAL DPS</t>
        </is>
      </c>
      <c r="B1065" s="5">
        <f>SUM(O1023:O1052)</f>
        <v/>
      </c>
    </row>
    <row r="1068">
      <c r="A1068" s="5" t="inlineStr">
        <is>
          <t>Stat: ATTACK %</t>
        </is>
      </c>
    </row>
    <row r="1069">
      <c r="A1069" s="8" t="inlineStr">
        <is>
          <t>Key</t>
        </is>
      </c>
      <c r="B1069" s="8" t="inlineStr">
        <is>
          <t>Name</t>
        </is>
      </c>
      <c r="C1069" s="8" t="inlineStr">
        <is>
          <t>Unlocked</t>
        </is>
      </c>
      <c r="D1069" s="8" t="inlineStr">
        <is>
          <t>InputLevel</t>
        </is>
      </c>
      <c r="E1069" s="8" t="inlineStr">
        <is>
          <t>Factor</t>
        </is>
      </c>
      <c r="F1069" s="8" t="inlineStr">
        <is>
          <t>CoefficientPercent</t>
        </is>
      </c>
      <c r="G1069" s="8" t="inlineStr">
        <is>
          <t>EffectiveHits</t>
        </is>
      </c>
      <c r="H1069" s="8" t="inlineStr">
        <is>
          <t>ProcProbability</t>
        </is>
      </c>
      <c r="I1069" s="8" t="inlineStr">
        <is>
          <t>MapleHeroMultiplier</t>
        </is>
      </c>
      <c r="J1069" s="8" t="inlineStr">
        <is>
          <t>BaseDamage</t>
        </is>
      </c>
      <c r="K1069" s="8" t="inlineStr">
        <is>
          <t>BaseHitDamage</t>
        </is>
      </c>
      <c r="L1069" s="8" t="inlineStr">
        <is>
          <t>NonCritAvg</t>
        </is>
      </c>
      <c r="M1069" s="8" t="inlineStr">
        <is>
          <t>CritAvg</t>
        </is>
      </c>
      <c r="N1069" s="8" t="inlineStr">
        <is>
          <t>ExpectedDamage(perHit)</t>
        </is>
      </c>
      <c r="O1069" s="8" t="inlineStr">
        <is>
          <t>DPS</t>
        </is>
      </c>
      <c r="P1069" s="8" t="inlineStr">
        <is>
          <t>% of Total</t>
        </is>
      </c>
      <c r="Q1069" s="8" t="inlineStr">
        <is>
          <t>InvCooldown</t>
        </is>
      </c>
      <c r="R1069" s="8" t="inlineStr">
        <is>
          <t>CastsInFight</t>
        </is>
      </c>
      <c r="S1069" s="8" t="inlineStr">
        <is>
          <t>HitRate(perSec)</t>
        </is>
      </c>
      <c r="U1069" t="inlineStr">
        <is>
          <t>helpers</t>
        </is>
      </c>
    </row>
    <row r="1070">
      <c r="A1070">
        <f>Skills!A2</f>
        <v/>
      </c>
      <c r="B1070">
        <f>Skills!B2</f>
        <v/>
      </c>
      <c r="C1070">
        <f>Inputs!$B$3&gt;=100</f>
        <v/>
      </c>
      <c r="D1070" t="inlineStr"/>
      <c r="E1070" t="inlineStr"/>
      <c r="F1070">
        <f>U1074+Skills!O2</f>
        <v/>
      </c>
      <c r="G1070">
        <f>Calc!G2</f>
        <v/>
      </c>
      <c r="H1070">
        <f>Calc!H2</f>
        <v/>
      </c>
      <c r="I1070">
        <f>IF(Skills!AA2&lt;&gt;"",1+(Skills!AA2/10)*(U1071/1000)/100,1)</f>
        <v/>
      </c>
      <c r="J1070">
        <f>(Inputs!$B$5*(1+(Inputs!$B$6+1)/100))*(F1070/100)</f>
        <v/>
      </c>
      <c r="K1070">
        <f>J1070*(1+((Inputs!$B$11*(1+Inputs!$B$12/100))*0.01+Inputs!$B$13*0.0025)/100)*(1+Inputs!$B$14/100)*(1+IF(Inputs!$B$4="pvp",0,(1-Summary!$B$55)*(Inputs!$B$19+((C1095=TRUE)*(F1095-Calc!F27))+Skills!P2+B1109)+Summary!$B$55*(Inputs!$B$20+Skills!Q2+B1109))/100)*(1+Inputs!$B$15/100)*(5000/(6000+Inputs!$B$7*(1-Inputs!$B$18/100)))*(1+(Inputs!$B$23+((C1098=TRUE)*(F1098-Calc!F30)))/100)*(1+Skills!R2/100)*(1+(IF(Skills!A2="SHOWDOWN",Inputs!$B$16+((C1091=TRUE)*(F1091-Calc!F23)),Inputs!$B$17+((C1097=TRUE)*(F1097-Calc!F29))))/100)*(((1+(((C1089=TRUE)*F1089*IF(AND(Inputs!$B$4&lt;&gt;"pvp",Inputs!$B$35&gt;0),(((S1089-1)*(Skills!Y21*(1+Inputs!$B$33/100))+MIN((Skills!Y21*(1+Inputs!$B$33/100)),MAX(0,Inputs!$B$35-((S1089-1)*Skills!D21))))/Inputs!$B$35),IF(Inputs!$B$4="pvp",MIN((Skills!Y21*(1+Inputs!$B$33/100)),15)/15,(Skills!Y21*(1+Inputs!$B$33/100))/Skills!D21)))+((C1096=TRUE)*(F1096-Calc!F28))+((C1086=TRUE)*(F1086-Calc!F18)))/100)*(1+((C1083=TRUE)*F1083*IF(AND(Inputs!$B$4&lt;&gt;"pvp",Inputs!$B$35&gt;0),(((S1083-1)*(Skills!Y15*(1+Inputs!$B$33/100))+MIN((Skills!Y15*(1+Inputs!$B$33/100)),MAX(0,Inputs!$B$35-((S1083-1)*Skills!D15))))/Inputs!$B$35),IF(Inputs!$B$4="pvp",MIN((Skills!Y15*(1+Inputs!$B$33/100)),15)/15,(Skills!Y15*(1+Inputs!$B$33/100))/Skills!D15)))/100)*(1+((C1074=TRUE)*F1074*B1102)/100))*B1110*I1070)</f>
        <v/>
      </c>
      <c r="L1070">
        <f>K1070*(MIN(Inputs!$B$21+((C1092=TRUE)*(F1092-Calc!F24)),Inputs!$B$22)/100+Inputs!$B$22/100)/2</f>
        <v/>
      </c>
      <c r="M1070">
        <f>L1070*(1+(Inputs!$B$9+((C1094=TRUE)*(F1094-Calc!F26))+B1111)/100)</f>
        <v/>
      </c>
      <c r="N1070">
        <f>L1070*(1-MIN((Inputs!$B$8+((C1093=TRUE)*(F1093-Calc!F25))+B1108),100)/100)+M1070*(MIN((Inputs!$B$8+((C1093=TRUE)*(F1093-Calc!F25))+B1108),100)/100)</f>
        <v/>
      </c>
      <c r="O1070">
        <f>IF(C1070,Skills!G2*N1070*B1106*IF(Inputs!$B$4="pvp",1,(1-Summary!$B$55)*(1)+Summary!$B$55*(MIN((6+Inputs!$B$32),Inputs!$B$37))),0)</f>
        <v/>
      </c>
      <c r="P1070">
        <f>IF(B1112=0,0,O1070/B1112)</f>
        <v/>
      </c>
      <c r="Q1070" t="n">
        <v>0</v>
      </c>
      <c r="R1070" t="n">
        <v>0</v>
      </c>
      <c r="S1070">
        <f>IFERROR(O1070/N1070,0)</f>
        <v/>
      </c>
      <c r="U1070">
        <f>MAX(0,(Inputs!$B$3-100)*3)+Inputs!$B$27+Inputs!$B$28</f>
        <v/>
      </c>
    </row>
    <row r="1071">
      <c r="A1071">
        <f>Skills!A3</f>
        <v/>
      </c>
      <c r="B1071">
        <f>Skills!B3</f>
        <v/>
      </c>
      <c r="C1071">
        <f>Inputs!$B$3&gt;=35</f>
        <v/>
      </c>
      <c r="D1071">
        <f>IF(Skills!C3=1,60+Inputs!$B$24+Inputs!$B$28,IF(Skills!C3=2,90+Inputs!$B$25+Inputs!$B$28,IF(Skills!C3=3,120+Inputs!$B$26+Inputs!$B$28,MAX(0,(Inputs!$B$3-100)*3)+Inputs!$B$27+Inputs!$B$28)))</f>
        <v/>
      </c>
      <c r="E1071">
        <f>INDEX(FactorTable!$B$2:$Y$301, MATCH(ROUND(MIN(300,MAX(1,D1071)),0), FactorTable!$A$2:$A$301,0), Skills!M3+1)</f>
        <v/>
      </c>
      <c r="F1071">
        <f>IF(Skills!N3=TRUE,(Skills!L3/10)*(E1071/1000),Skills!L3/10)+Skills!O3</f>
        <v/>
      </c>
      <c r="G1071">
        <f>Calc!G3</f>
        <v/>
      </c>
      <c r="H1071">
        <f>Calc!H3</f>
        <v/>
      </c>
      <c r="I1071">
        <f>IF(Skills!AA3&lt;&gt;"",1+(Skills!AA3/10)*(U1071/1000)/100,1)</f>
        <v/>
      </c>
      <c r="J1071">
        <f>(Inputs!$B$5*(1+(Inputs!$B$6+1)/100))*(F1071/100)</f>
        <v/>
      </c>
      <c r="K1071">
        <f>J1071*(1+((Inputs!$B$11*(1+Inputs!$B$12/100))*0.01+Inputs!$B$13*0.0025)/100)*(1+Inputs!$B$14/100)*(1+IF(Inputs!$B$4="pvp",0,(1-Summary!$B$55)*(Inputs!$B$19+((C1095=TRUE)*(F1095-Calc!F27))+Skills!P3+B1109)+Summary!$B$55*(Inputs!$B$20+Skills!Q3+B1109))/100)*(1+Inputs!$B$15/100)*(5000/(6000+Inputs!$B$7*(1-Inputs!$B$18/100)))*(1+(Inputs!$B$23+((C1098=TRUE)*(F1098-Calc!F30)))/100)*(1+Skills!R3/100)*(1+(IF(Skills!A3="SHOWDOWN",Inputs!$B$16+((C1091=TRUE)*(F1091-Calc!F23)),Inputs!$B$17+((C1097=TRUE)*(F1097-Calc!F29))))/100)*(((1+(((C1089=TRUE)*F1089*IF(AND(Inputs!$B$4&lt;&gt;"pvp",Inputs!$B$35&gt;0),(((S1089-1)*(Skills!Y21*(1+Inputs!$B$33/100))+MIN((Skills!Y21*(1+Inputs!$B$33/100)),MAX(0,Inputs!$B$35-((S1089-1)*Skills!D21))))/Inputs!$B$35),IF(Inputs!$B$4="pvp",MIN((Skills!Y21*(1+Inputs!$B$33/100)),15)/15,(Skills!Y21*(1+Inputs!$B$33/100))/Skills!D21)))+((C1096=TRUE)*(F1096-Calc!F28))+((C1086=TRUE)*(F1086-Calc!F18)))/100)*(1+((C1083=TRUE)*F1083*IF(AND(Inputs!$B$4&lt;&gt;"pvp",Inputs!$B$35&gt;0),(((S1083-1)*(Skills!Y15*(1+Inputs!$B$33/100))+MIN((Skills!Y15*(1+Inputs!$B$33/100)),MAX(0,Inputs!$B$35-((S1083-1)*Skills!D15))))/Inputs!$B$35),IF(Inputs!$B$4="pvp",MIN((Skills!Y15*(1+Inputs!$B$33/100)),15)/15,(Skills!Y15*(1+Inputs!$B$33/100))/Skills!D15)))/100)*(1+((C1074=TRUE)*F1074*B1102)/100))*B1110*I1071)</f>
        <v/>
      </c>
      <c r="L1071">
        <f>K1071*(MIN(Inputs!$B$21+((C1092=TRUE)*(F1092-Calc!F24)),Inputs!$B$22)/100+Inputs!$B$22/100)/2</f>
        <v/>
      </c>
      <c r="M1071">
        <f>L1071*(1+(Inputs!$B$9+((C1094=TRUE)*(F1094-Calc!F26))+B1111)/100)</f>
        <v/>
      </c>
      <c r="N1071">
        <f>L1071*(1-MIN((Inputs!$B$8+((C1093=TRUE)*(F1093-Calc!F25))+B1108),100)/100)+M1071*(MIN((Inputs!$B$8+((C1093=TRUE)*(F1093-Calc!F25))+B1108),100)/100)</f>
        <v/>
      </c>
      <c r="O1071">
        <f>IF(C1071,H1071*N1071*IF(AND(Inputs!$B$4&lt;&gt;"pvp",Inputs!$B$35&gt;0),((Skills!G3*((R1071-1)*IF(Skills!H3&gt;0,Skills!I3/Skills!H3,1)+IF(Skills!H3&gt;0,MIN(Skills!I3,MAX(0,Inputs!$B$35-((R1071-1)*IF(Inputs!$B$4="pvp",15,MAX(0.1,Skills!D3-IF(Skills!E3=TRUE,Inputs!$B$31,0))))))/Skills!H3,1)))/Inputs!$B$35),G1071*Q1071)*IF(Inputs!$B$4="pvp",1,(1-Summary!$B$55)*(1)+Summary!$B$55*(MIN(Skills!W3,Inputs!$B$37))),0)</f>
        <v/>
      </c>
      <c r="P1071">
        <f>IF(B1112=0,0,O1071/B1112)</f>
        <v/>
      </c>
      <c r="Q1071">
        <f>IFERROR(1/IF(Inputs!$B$4="pvp",15,MAX(0.1,Skills!D3-IF(Skills!E3=TRUE,Inputs!$B$31,0))),0)</f>
        <v/>
      </c>
      <c r="R1071">
        <f>IF(AND(Inputs!$B$4&lt;&gt;"pvp",Inputs!$B$35&gt;0),(INT(Inputs!$B$35/IF(Inputs!$B$4="pvp",15,MAX(0.1,Skills!D3-IF(Skills!E3=TRUE,Inputs!$B$31,0))))+1),0)</f>
        <v/>
      </c>
      <c r="S1071">
        <f>IFERROR(O1071/N1071,0)</f>
        <v/>
      </c>
      <c r="U1071">
        <f>INDEX(FactorTable!$B$2:$Y$301, MATCH(ROUND(MIN(300,MAX(1,U1070)),0), FactorTable!$A$2:$A$301,0), 24)</f>
        <v/>
      </c>
    </row>
    <row r="1072">
      <c r="A1072">
        <f>Skills!A4</f>
        <v/>
      </c>
      <c r="B1072">
        <f>Skills!B4</f>
        <v/>
      </c>
      <c r="C1072">
        <f>Inputs!$B$3&gt;=40</f>
        <v/>
      </c>
      <c r="D1072">
        <f>IF(Skills!C4=1,60+Inputs!$B$24+Inputs!$B$28,IF(Skills!C4=2,90+Inputs!$B$25+Inputs!$B$28,IF(Skills!C4=3,120+Inputs!$B$26+Inputs!$B$28,MAX(0,(Inputs!$B$3-100)*3)+Inputs!$B$27+Inputs!$B$28)))</f>
        <v/>
      </c>
      <c r="E1072">
        <f>INDEX(FactorTable!$B$2:$Y$301, MATCH(ROUND(MIN(300,MAX(1,D1072)),0), FactorTable!$A$2:$A$301,0), Skills!M4+1)</f>
        <v/>
      </c>
      <c r="F1072">
        <f>IF(Skills!N4=TRUE,(Skills!L4/10)*(E1072/1000),Skills!L4/10)+Skills!O4</f>
        <v/>
      </c>
      <c r="G1072">
        <f>Calc!G4</f>
        <v/>
      </c>
      <c r="H1072">
        <f>Calc!H4</f>
        <v/>
      </c>
      <c r="I1072">
        <f>IF(Skills!AA4&lt;&gt;"",1+(Skills!AA4/10)*(U1071/1000)/100,1)</f>
        <v/>
      </c>
      <c r="J1072">
        <f>(Inputs!$B$5*(1+(Inputs!$B$6+1)/100))*(F1072/100)</f>
        <v/>
      </c>
      <c r="K1072">
        <f>J1072*(1+((Inputs!$B$11*(1+Inputs!$B$12/100))*0.01+Inputs!$B$13*0.0025)/100)*(1+Inputs!$B$14/100)*(1+IF(Inputs!$B$4="pvp",0,(1-Summary!$B$55)*(Inputs!$B$19+((C1095=TRUE)*(F1095-Calc!F27))+Skills!P4+B1109)+Summary!$B$55*(Inputs!$B$20+Skills!Q4+B1109))/100)*(1+Inputs!$B$15/100)*(5000/(6000+Inputs!$B$7*(1-Inputs!$B$18/100)))*(1+(Inputs!$B$23+((C1098=TRUE)*(F1098-Calc!F30)))/100)*(1+Skills!R4/100)*(1+(IF(Skills!A4="SHOWDOWN",Inputs!$B$16+((C1091=TRUE)*(F1091-Calc!F23)),Inputs!$B$17+((C1097=TRUE)*(F1097-Calc!F29))))/100)*(((1+(((C1089=TRUE)*F1089*IF(AND(Inputs!$B$4&lt;&gt;"pvp",Inputs!$B$35&gt;0),(((S1089-1)*(Skills!Y21*(1+Inputs!$B$33/100))+MIN((Skills!Y21*(1+Inputs!$B$33/100)),MAX(0,Inputs!$B$35-((S1089-1)*Skills!D21))))/Inputs!$B$35),IF(Inputs!$B$4="pvp",MIN((Skills!Y21*(1+Inputs!$B$33/100)),15)/15,(Skills!Y21*(1+Inputs!$B$33/100))/Skills!D21)))+((C1096=TRUE)*(F1096-Calc!F28))+((C1086=TRUE)*(F1086-Calc!F18)))/100)*(1+((C1083=TRUE)*F1083*IF(AND(Inputs!$B$4&lt;&gt;"pvp",Inputs!$B$35&gt;0),(((S1083-1)*(Skills!Y15*(1+Inputs!$B$33/100))+MIN((Skills!Y15*(1+Inputs!$B$33/100)),MAX(0,Inputs!$B$35-((S1083-1)*Skills!D15))))/Inputs!$B$35),IF(Inputs!$B$4="pvp",MIN((Skills!Y15*(1+Inputs!$B$33/100)),15)/15,(Skills!Y15*(1+Inputs!$B$33/100))/Skills!D15)))/100)*(1+((C1074=TRUE)*F1074*B1102)/100))*B1110*I1072)</f>
        <v/>
      </c>
      <c r="L1072">
        <f>K1072*(MIN(Inputs!$B$21+((C1092=TRUE)*(F1092-Calc!F24)),Inputs!$B$22)/100+Inputs!$B$22/100)/2</f>
        <v/>
      </c>
      <c r="M1072">
        <f>L1072*(1+(Inputs!$B$9+((C1094=TRUE)*(F1094-Calc!F26))+B1111)/100)</f>
        <v/>
      </c>
      <c r="N1072">
        <f>L1072*(1-MIN((Inputs!$B$8+((C1093=TRUE)*(F1093-Calc!F25))+B1108),100)/100)+M1072*(MIN((Inputs!$B$8+((C1093=TRUE)*(F1093-Calc!F25))+B1108),100)/100)</f>
        <v/>
      </c>
      <c r="O1072">
        <f>IF(C1072,H1072*N1072*IF(AND(Inputs!$B$4&lt;&gt;"pvp",Inputs!$B$35&gt;0),((Skills!G4*((R1072-1)*IF(Skills!H4&gt;0,Skills!I4/Skills!H4,1)+IF(Skills!H4&gt;0,MIN(Skills!I4,MAX(0,Inputs!$B$35-((R1072-1)*IF(Inputs!$B$4="pvp",15,MAX(0.1,Skills!D4-IF(Skills!E4=TRUE,Inputs!$B$31,0))))))/Skills!H4,1)))/Inputs!$B$35),G1072*Q1072)*IF(Inputs!$B$4="pvp",1,(1-Summary!$B$55)*(1)+Summary!$B$55*(MIN(Skills!W4,Inputs!$B$37))),0)</f>
        <v/>
      </c>
      <c r="P1072">
        <f>IF(B1112=0,0,O1072/B1112)</f>
        <v/>
      </c>
      <c r="Q1072">
        <f>IFERROR(1/IF(Inputs!$B$4="pvp",15,MAX(0.1,Skills!D4-IF(Skills!E4=TRUE,Inputs!$B$31,0))),0)</f>
        <v/>
      </c>
      <c r="R1072">
        <f>IF(AND(Inputs!$B$4&lt;&gt;"pvp",Inputs!$B$35&gt;0),(INT(Inputs!$B$35/IF(Inputs!$B$4="pvp",15,MAX(0.1,Skills!D4-IF(Skills!E4=TRUE,Inputs!$B$31,0))))+1),0)</f>
        <v/>
      </c>
      <c r="S1072">
        <f>IFERROR(O1072/N1072,0)</f>
        <v/>
      </c>
      <c r="U1072">
        <f>MAX(0,(Inputs!$B$3-100)*3)+Inputs!$B$27+Inputs!$B$28</f>
        <v/>
      </c>
    </row>
    <row r="1073">
      <c r="A1073">
        <f>Skills!A5</f>
        <v/>
      </c>
      <c r="B1073">
        <f>Skills!B5</f>
        <v/>
      </c>
      <c r="C1073">
        <f>Inputs!$B$3&gt;=63</f>
        <v/>
      </c>
      <c r="D1073">
        <f>IF(Skills!C5=1,60+Inputs!$B$24+Inputs!$B$28,IF(Skills!C5=2,90+Inputs!$B$25+Inputs!$B$28,IF(Skills!C5=3,120+Inputs!$B$26+Inputs!$B$28,MAX(0,(Inputs!$B$3-100)*3)+Inputs!$B$27+Inputs!$B$28)))</f>
        <v/>
      </c>
      <c r="E1073">
        <f>INDEX(FactorTable!$B$2:$Y$301, MATCH(ROUND(MIN(300,MAX(1,D1073)),0), FactorTable!$A$2:$A$301,0), Skills!M5+1)</f>
        <v/>
      </c>
      <c r="F1073">
        <f>IF(Skills!N5=TRUE,(Skills!L5/10)*(E1073/1000),Skills!L5/10)+Skills!O5</f>
        <v/>
      </c>
      <c r="G1073">
        <f>Calc!G5</f>
        <v/>
      </c>
      <c r="H1073">
        <f>Calc!H5</f>
        <v/>
      </c>
      <c r="I1073">
        <f>IF(Skills!AA5&lt;&gt;"",1+(Skills!AA5/10)*(U1071/1000)/100,1)</f>
        <v/>
      </c>
      <c r="J1073">
        <f>(Inputs!$B$5*(1+(Inputs!$B$6+1)/100))*(F1073/100)</f>
        <v/>
      </c>
      <c r="K1073">
        <f>J1073*(1+((Inputs!$B$11*(1+Inputs!$B$12/100))*0.01+Inputs!$B$13*0.0025)/100)*(1+Inputs!$B$14/100)*(1+IF(Inputs!$B$4="pvp",0,(1-Summary!$B$55)*(Inputs!$B$19+((C1095=TRUE)*(F1095-Calc!F27))+Skills!P5+B1109)+Summary!$B$55*(Inputs!$B$20+Skills!Q5+B1109))/100)*(1+Inputs!$B$15/100)*(5000/(6000+Inputs!$B$7*(1-Inputs!$B$18/100)))*(1+(Inputs!$B$23+((C1098=TRUE)*(F1098-Calc!F30)))/100)*(1+Skills!R5/100)*(1+(IF(Skills!A5="SHOWDOWN",Inputs!$B$16+((C1091=TRUE)*(F1091-Calc!F23)),Inputs!$B$17+((C1097=TRUE)*(F1097-Calc!F29))))/100)*(((1+(((C1089=TRUE)*F1089*IF(AND(Inputs!$B$4&lt;&gt;"pvp",Inputs!$B$35&gt;0),(((S1089-1)*(Skills!Y21*(1+Inputs!$B$33/100))+MIN((Skills!Y21*(1+Inputs!$B$33/100)),MAX(0,Inputs!$B$35-((S1089-1)*Skills!D21))))/Inputs!$B$35),IF(Inputs!$B$4="pvp",MIN((Skills!Y21*(1+Inputs!$B$33/100)),15)/15,(Skills!Y21*(1+Inputs!$B$33/100))/Skills!D21)))+((C1096=TRUE)*(F1096-Calc!F28))+((C1086=TRUE)*(F1086-Calc!F18)))/100)*(1+((C1083=TRUE)*F1083*IF(AND(Inputs!$B$4&lt;&gt;"pvp",Inputs!$B$35&gt;0),(((S1083-1)*(Skills!Y15*(1+Inputs!$B$33/100))+MIN((Skills!Y15*(1+Inputs!$B$33/100)),MAX(0,Inputs!$B$35-((S1083-1)*Skills!D15))))/Inputs!$B$35),IF(Inputs!$B$4="pvp",MIN((Skills!Y15*(1+Inputs!$B$33/100)),15)/15,(Skills!Y15*(1+Inputs!$B$33/100))/Skills!D15)))/100)*(1+((C1074=TRUE)*F1074*B1102)/100))*B1110*I1073)</f>
        <v/>
      </c>
      <c r="L1073">
        <f>K1073*(MIN(Inputs!$B$21+((C1092=TRUE)*(F1092-Calc!F24)),Inputs!$B$22)/100+Inputs!$B$22/100)/2</f>
        <v/>
      </c>
      <c r="M1073">
        <f>L1073*(1+(Inputs!$B$9+((C1094=TRUE)*(F1094-Calc!F26))+B1111)/100)</f>
        <v/>
      </c>
      <c r="N1073">
        <f>L1073*(1-MIN((Inputs!$B$8+((C1093=TRUE)*(F1093-Calc!F25))+B1108),100)/100)+M1073*(MIN((Inputs!$B$8+((C1093=TRUE)*(F1093-Calc!F25))+B1108),100)/100)</f>
        <v/>
      </c>
      <c r="O1073">
        <f>IF(C1073,H1073*N1073*IF(AND(Inputs!$B$4&lt;&gt;"pvp",Inputs!$B$35&gt;0),((Skills!G5*((R1073-1)*IF(Skills!H5&gt;0,Skills!I5/Skills!H5,1)+IF(Skills!H5&gt;0,MIN(Skills!I5,MAX(0,Inputs!$B$35-((R1073-1)*IF(Inputs!$B$4="pvp",15,MAX(0.1,Skills!D5-IF(Skills!E5=TRUE,Inputs!$B$31,0))))))/Skills!H5,1)))/Inputs!$B$35),G1073*Q1073)*IF(Inputs!$B$4="pvp",1,(1-Summary!$B$55)*(1)+Summary!$B$55*(MIN(Skills!W5,Inputs!$B$37))),0)</f>
        <v/>
      </c>
      <c r="P1073">
        <f>IF(B1112=0,0,O1073/B1112)</f>
        <v/>
      </c>
      <c r="Q1073">
        <f>IFERROR(1/IF(Inputs!$B$4="pvp",15,MAX(0.1,Skills!D5-IF(Skills!E5=TRUE,Inputs!$B$31,0))),0)</f>
        <v/>
      </c>
      <c r="R1073">
        <f>IF(AND(Inputs!$B$4&lt;&gt;"pvp",Inputs!$B$35&gt;0),(INT(Inputs!$B$35/IF(Inputs!$B$4="pvp",15,MAX(0.1,Skills!D5-IF(Skills!E5=TRUE,Inputs!$B$31,0))))+1),0)</f>
        <v/>
      </c>
      <c r="S1073">
        <f>IFERROR(O1073/N1073,0)</f>
        <v/>
      </c>
      <c r="U1073">
        <f>INDEX(FactorTable!$B$2:$Y$301, MATCH(ROUND(MIN(300,MAX(1,U1072)),0), FactorTable!$A$2:$A$301,0), 22)</f>
        <v/>
      </c>
    </row>
    <row r="1074">
      <c r="A1074">
        <f>Skills!A6</f>
        <v/>
      </c>
      <c r="B1074">
        <f>Skills!B6</f>
        <v/>
      </c>
      <c r="C1074">
        <f>Inputs!$B$3&gt;=66</f>
        <v/>
      </c>
      <c r="D1074">
        <f>IF(Skills!C6=1,60+Inputs!$B$24+Inputs!$B$28,IF(Skills!C6=2,90+Inputs!$B$25+Inputs!$B$28,IF(Skills!C6=3,120+Inputs!$B$26+Inputs!$B$28,MAX(0,(Inputs!$B$3-100)*3)+Inputs!$B$27+Inputs!$B$28)))</f>
        <v/>
      </c>
      <c r="E1074">
        <f>INDEX(FactorTable!$B$2:$Y$301, MATCH(ROUND(MIN(300,MAX(1,D1074)),0), FactorTable!$A$2:$A$301,0), Skills!M6+1)</f>
        <v/>
      </c>
      <c r="F1074">
        <f>IF(Skills!N6=TRUE,(Skills!L6/10)*(E1074/1000),Skills!L6/10)+Skills!O6</f>
        <v/>
      </c>
      <c r="G1074">
        <f>Calc!G6</f>
        <v/>
      </c>
      <c r="H1074">
        <f>Calc!H6</f>
        <v/>
      </c>
      <c r="I1074">
        <f>IF(Skills!AA6&lt;&gt;"",1+(Skills!AA6/10)*(U1071/1000)/100,1)</f>
        <v/>
      </c>
      <c r="J1074" t="inlineStr"/>
      <c r="K1074" t="inlineStr"/>
      <c r="L1074" t="inlineStr"/>
      <c r="M1074" t="inlineStr"/>
      <c r="N1074" t="inlineStr"/>
      <c r="O1074" t="n">
        <v>0</v>
      </c>
      <c r="P1074">
        <f>IF(B1112=0,0,O1074/B1112)</f>
        <v/>
      </c>
      <c r="Q1074" t="n">
        <v>0</v>
      </c>
      <c r="R1074" t="n">
        <v>0</v>
      </c>
      <c r="S1074">
        <f>IFERROR(O1074/N1074,0)</f>
        <v/>
      </c>
      <c r="U1074">
        <f>290*U1073/1000</f>
        <v/>
      </c>
    </row>
    <row r="1075">
      <c r="A1075">
        <f>Skills!A7</f>
        <v/>
      </c>
      <c r="B1075">
        <f>Skills!B7</f>
        <v/>
      </c>
      <c r="C1075">
        <f>Inputs!$B$3&gt;=66</f>
        <v/>
      </c>
      <c r="D1075">
        <f>IF(Skills!C7=1,60+Inputs!$B$24+Inputs!$B$28,IF(Skills!C7=2,90+Inputs!$B$25+Inputs!$B$28,IF(Skills!C7=3,120+Inputs!$B$26+Inputs!$B$28,MAX(0,(Inputs!$B$3-100)*3)+Inputs!$B$27+Inputs!$B$28)))</f>
        <v/>
      </c>
      <c r="E1075">
        <f>INDEX(FactorTable!$B$2:$Y$301, MATCH(ROUND(MIN(300,MAX(1,D1075)),0), FactorTable!$A$2:$A$301,0), Skills!M7+1)</f>
        <v/>
      </c>
      <c r="F1075">
        <f>IF(Skills!N7=TRUE,(Skills!L7/10)*(E1075/1000),Skills!L7/10)+Skills!O7</f>
        <v/>
      </c>
      <c r="G1075">
        <f>Calc!G7</f>
        <v/>
      </c>
      <c r="H1075">
        <f>Calc!H7</f>
        <v/>
      </c>
      <c r="I1075">
        <f>IF(Skills!AA7&lt;&gt;"",1+(Skills!AA7/10)*(U1071/1000)/100,1)</f>
        <v/>
      </c>
      <c r="J1075" t="inlineStr"/>
      <c r="K1075" t="inlineStr"/>
      <c r="L1075" t="inlineStr"/>
      <c r="M1075" t="inlineStr"/>
      <c r="N1075" t="inlineStr"/>
      <c r="O1075" t="n">
        <v>0</v>
      </c>
      <c r="P1075">
        <f>IF(B1112=0,0,O1075/B1112)</f>
        <v/>
      </c>
      <c r="Q1075" t="n">
        <v>0</v>
      </c>
      <c r="R1075" t="n">
        <v>0</v>
      </c>
      <c r="S1075">
        <f>IFERROR(O1075/N1075,0)</f>
        <v/>
      </c>
    </row>
    <row r="1076">
      <c r="A1076">
        <f>Skills!A8</f>
        <v/>
      </c>
      <c r="B1076">
        <f>Skills!B8</f>
        <v/>
      </c>
      <c r="C1076">
        <f>Inputs!$B$3&gt;=69</f>
        <v/>
      </c>
      <c r="D1076">
        <f>IF(Skills!C8=1,60+Inputs!$B$24+Inputs!$B$28,IF(Skills!C8=2,90+Inputs!$B$25+Inputs!$B$28,IF(Skills!C8=3,120+Inputs!$B$26+Inputs!$B$28,MAX(0,(Inputs!$B$3-100)*3)+Inputs!$B$27+Inputs!$B$28)))</f>
        <v/>
      </c>
      <c r="E1076">
        <f>INDEX(FactorTable!$B$2:$Y$301, MATCH(ROUND(MIN(300,MAX(1,D1076)),0), FactorTable!$A$2:$A$301,0), Skills!M8+1)</f>
        <v/>
      </c>
      <c r="F1076">
        <f>IF(Skills!N8=TRUE,(Skills!L8/10)*(E1076/1000),Skills!L8/10)+Skills!O8</f>
        <v/>
      </c>
      <c r="G1076">
        <f>Calc!G8</f>
        <v/>
      </c>
      <c r="H1076">
        <f>Calc!H8</f>
        <v/>
      </c>
      <c r="I1076">
        <f>IF(Skills!AA8&lt;&gt;"",1+(Skills!AA8/10)*(U1071/1000)/100,1)</f>
        <v/>
      </c>
      <c r="J1076">
        <f>(Inputs!$B$5*(1+(Inputs!$B$6+1)/100))*(F1076/100)</f>
        <v/>
      </c>
      <c r="K1076">
        <f>J1076*(1+((Inputs!$B$11*(1+Inputs!$B$12/100))*0.01+Inputs!$B$13*0.0025)/100)*(1+Inputs!$B$14/100)*(1+IF(Inputs!$B$4="pvp",0,(1-Summary!$B$55)*(Inputs!$B$19+((C1095=TRUE)*(F1095-Calc!F27))+Skills!P8+B1109)+Summary!$B$55*(Inputs!$B$20+Skills!Q8+B1109))/100)*(1+Inputs!$B$15/100)*(5000/(6000+Inputs!$B$7*(1-Inputs!$B$18/100)))*(1+(Inputs!$B$23+((C1098=TRUE)*(F1098-Calc!F30)))/100)*(1+Skills!R8/100)*(1+(IF(Skills!A8="SHOWDOWN",Inputs!$B$16+((C1091=TRUE)*(F1091-Calc!F23)),Inputs!$B$17+((C1097=TRUE)*(F1097-Calc!F29))))/100)*(((1+(((C1089=TRUE)*F1089*IF(AND(Inputs!$B$4&lt;&gt;"pvp",Inputs!$B$35&gt;0),(((S1089-1)*(Skills!Y21*(1+Inputs!$B$33/100))+MIN((Skills!Y21*(1+Inputs!$B$33/100)),MAX(0,Inputs!$B$35-((S1089-1)*Skills!D21))))/Inputs!$B$35),IF(Inputs!$B$4="pvp",MIN((Skills!Y21*(1+Inputs!$B$33/100)),15)/15,(Skills!Y21*(1+Inputs!$B$33/100))/Skills!D21)))+((C1096=TRUE)*(F1096-Calc!F28))+((C1086=TRUE)*(F1086-Calc!F18)))/100)*(1+((C1083=TRUE)*F1083*IF(AND(Inputs!$B$4&lt;&gt;"pvp",Inputs!$B$35&gt;0),(((S1083-1)*(Skills!Y15*(1+Inputs!$B$33/100))+MIN((Skills!Y15*(1+Inputs!$B$33/100)),MAX(0,Inputs!$B$35-((S1083-1)*Skills!D15))))/Inputs!$B$35),IF(Inputs!$B$4="pvp",MIN((Skills!Y15*(1+Inputs!$B$33/100)),15)/15,(Skills!Y15*(1+Inputs!$B$33/100))/Skills!D15)))/100)*(1+((C1074=TRUE)*F1074*B1102)/100))*B1110*I1076)</f>
        <v/>
      </c>
      <c r="L1076">
        <f>K1076*(MIN(Inputs!$B$21+((C1092=TRUE)*(F1092-Calc!F24)),Inputs!$B$22)/100+Inputs!$B$22/100)/2</f>
        <v/>
      </c>
      <c r="M1076">
        <f>L1076*(1+(Inputs!$B$9+((C1094=TRUE)*(F1094-Calc!F26))+B1111)/100)</f>
        <v/>
      </c>
      <c r="N1076">
        <f>L1076*(1-MIN((Inputs!$B$8+((C1093=TRUE)*(F1093-Calc!F25))+B1108),100)/100)+M1076*(MIN((Inputs!$B$8+((C1093=TRUE)*(F1093-Calc!F25))+B1108),100)/100)</f>
        <v/>
      </c>
      <c r="O1076">
        <f>IF(C1076,H1076*N1076*IF(AND(Inputs!$B$4&lt;&gt;"pvp",Inputs!$B$35&gt;0),((Skills!G8*((R1076-1)*IF(Skills!H8&gt;0,Skills!I8/Skills!H8,1)+IF(Skills!H8&gt;0,MIN(Skills!I8,MAX(0,Inputs!$B$35-((R1076-1)*IF(Inputs!$B$4="pvp",15,MAX(0.1,Skills!D8-IF(Skills!E8=TRUE,Inputs!$B$31,0))))))/Skills!H8,1)))/Inputs!$B$35),G1076*Q1076)*IF(Inputs!$B$4="pvp",1,(1-Summary!$B$55)*(1)+Summary!$B$55*(MIN(Skills!W8,Inputs!$B$37))),0)</f>
        <v/>
      </c>
      <c r="P1076">
        <f>IF(B1112=0,0,O1076/B1112)</f>
        <v/>
      </c>
      <c r="Q1076">
        <f>IFERROR(1/IF(Inputs!$B$4="pvp",15,MAX(0.1,Skills!D8-IF(Skills!E8=TRUE,Inputs!$B$31,0))),0)</f>
        <v/>
      </c>
      <c r="R1076">
        <f>IF(AND(Inputs!$B$4&lt;&gt;"pvp",Inputs!$B$35&gt;0),(INT(Inputs!$B$35/IF(Inputs!$B$4="pvp",15,MAX(0.1,Skills!D8-IF(Skills!E8=TRUE,Inputs!$B$31,0))))+1),0)</f>
        <v/>
      </c>
      <c r="S1076">
        <f>IFERROR(O1076/N1076,0)</f>
        <v/>
      </c>
    </row>
    <row r="1077">
      <c r="A1077">
        <f>Skills!A9</f>
        <v/>
      </c>
      <c r="B1077">
        <f>Skills!B9</f>
        <v/>
      </c>
      <c r="C1077">
        <f>Inputs!$B$3&gt;=72</f>
        <v/>
      </c>
      <c r="D1077">
        <f>IF(Skills!C9=1,60+Inputs!$B$24+Inputs!$B$28,IF(Skills!C9=2,90+Inputs!$B$25+Inputs!$B$28,IF(Skills!C9=3,120+Inputs!$B$26+Inputs!$B$28,MAX(0,(Inputs!$B$3-100)*3)+Inputs!$B$27+Inputs!$B$28)))</f>
        <v/>
      </c>
      <c r="E1077">
        <f>INDEX(FactorTable!$B$2:$Y$301, MATCH(ROUND(MIN(300,MAX(1,D1077)),0), FactorTable!$A$2:$A$301,0), Skills!M9+1)</f>
        <v/>
      </c>
      <c r="F1077">
        <f>IF(Skills!N9=TRUE,(Skills!L9/10)*(E1077/1000),Skills!L9/10)+Skills!O9</f>
        <v/>
      </c>
      <c r="G1077">
        <f>Calc!G9</f>
        <v/>
      </c>
      <c r="H1077">
        <f>Calc!H9</f>
        <v/>
      </c>
      <c r="I1077">
        <f>IF(Skills!AA9&lt;&gt;"",1+(Skills!AA9/10)*(U1071/1000)/100,1)</f>
        <v/>
      </c>
      <c r="J1077">
        <f>(Inputs!$B$5*(1+(Inputs!$B$6+1)/100))*(F1077/100)</f>
        <v/>
      </c>
      <c r="K1077">
        <f>J1077*(1+((Inputs!$B$11*(1+Inputs!$B$12/100))*0.01+Inputs!$B$13*0.0025)/100)*(1+Inputs!$B$14/100)*(1+IF(Inputs!$B$4="pvp",0,(1-Summary!$B$55)*(Inputs!$B$19+((C1095=TRUE)*(F1095-Calc!F27))+Skills!P9+B1109)+Summary!$B$55*(Inputs!$B$20+Skills!Q9+B1109))/100)*(1+Inputs!$B$15/100)*(5000/(6000+Inputs!$B$7*(1-Inputs!$B$18/100)))*(1+(Inputs!$B$23+((C1098=TRUE)*(F1098-Calc!F30)))/100)*(1+Skills!R9/100)*(1+(IF(Skills!A9="SHOWDOWN",Inputs!$B$16+((C1091=TRUE)*(F1091-Calc!F23)),Inputs!$B$17+((C1097=TRUE)*(F1097-Calc!F29))))/100)*(((1+(((C1089=TRUE)*F1089*IF(AND(Inputs!$B$4&lt;&gt;"pvp",Inputs!$B$35&gt;0),(((S1089-1)*(Skills!Y21*(1+Inputs!$B$33/100))+MIN((Skills!Y21*(1+Inputs!$B$33/100)),MAX(0,Inputs!$B$35-((S1089-1)*Skills!D21))))/Inputs!$B$35),IF(Inputs!$B$4="pvp",MIN((Skills!Y21*(1+Inputs!$B$33/100)),15)/15,(Skills!Y21*(1+Inputs!$B$33/100))/Skills!D21)))+((C1096=TRUE)*(F1096-Calc!F28))+((C1086=TRUE)*(F1086-Calc!F18)))/100)*(1+((C1083=TRUE)*F1083*IF(AND(Inputs!$B$4&lt;&gt;"pvp",Inputs!$B$35&gt;0),(((S1083-1)*(Skills!Y15*(1+Inputs!$B$33/100))+MIN((Skills!Y15*(1+Inputs!$B$33/100)),MAX(0,Inputs!$B$35-((S1083-1)*Skills!D15))))/Inputs!$B$35),IF(Inputs!$B$4="pvp",MIN((Skills!Y15*(1+Inputs!$B$33/100)),15)/15,(Skills!Y15*(1+Inputs!$B$33/100))/Skills!D15)))/100)*(1+((C1074=TRUE)*F1074*B1102)/100))*B1110*I1077)</f>
        <v/>
      </c>
      <c r="L1077">
        <f>K1077*(MIN(Inputs!$B$21+((C1092=TRUE)*(F1092-Calc!F24)),Inputs!$B$22)/100+Inputs!$B$22/100)/2</f>
        <v/>
      </c>
      <c r="M1077">
        <f>L1077*(1+(Inputs!$B$9+((C1094=TRUE)*(F1094-Calc!F26))+B1111)/100)</f>
        <v/>
      </c>
      <c r="N1077">
        <f>L1077*(1-MIN((Inputs!$B$8+((C1093=TRUE)*(F1093-Calc!F25))+B1108),100)/100)+M1077*(MIN((Inputs!$B$8+((C1093=TRUE)*(F1093-Calc!F25))+B1108),100)/100)</f>
        <v/>
      </c>
      <c r="O1077">
        <f>IF(C1077,H1077*N1077*IF(AND(Inputs!$B$4&lt;&gt;"pvp",Inputs!$B$35&gt;0),((Skills!G9*((R1077-1)*IF(Skills!H9&gt;0,Skills!I9/Skills!H9,1)+IF(Skills!H9&gt;0,MIN(Skills!I9,MAX(0,Inputs!$B$35-((R1077-1)*IF(Inputs!$B$4="pvp",15,MAX(0.1,Skills!D9-IF(Skills!E9=TRUE,Inputs!$B$31,0))))))/Skills!H9,1)))/Inputs!$B$35),G1077*Q1077)*IF(Inputs!$B$4="pvp",1,(1-Summary!$B$55)*(1)+Summary!$B$55*(MIN(Skills!W9,Inputs!$B$37))),0)</f>
        <v/>
      </c>
      <c r="P1077">
        <f>IF(B1112=0,0,O1077/B1112)</f>
        <v/>
      </c>
      <c r="Q1077">
        <f>IFERROR(1/IF(Inputs!$B$4="pvp",15,MAX(0.1,Skills!D9-IF(Skills!E9=TRUE,Inputs!$B$31,0))),0)</f>
        <v/>
      </c>
      <c r="R1077">
        <f>IF(AND(Inputs!$B$4&lt;&gt;"pvp",Inputs!$B$35&gt;0),(INT(Inputs!$B$35/IF(Inputs!$B$4="pvp",15,MAX(0.1,Skills!D9-IF(Skills!E9=TRUE,Inputs!$B$31,0))))+1),0)</f>
        <v/>
      </c>
      <c r="S1077">
        <f>IFERROR(O1077/N1077,0)</f>
        <v/>
      </c>
    </row>
    <row r="1078">
      <c r="A1078">
        <f>Skills!A10</f>
        <v/>
      </c>
      <c r="B1078">
        <f>Skills!B10</f>
        <v/>
      </c>
      <c r="C1078">
        <f>Inputs!$B$3&gt;=117</f>
        <v/>
      </c>
      <c r="D1078">
        <f>IF(Skills!C10=1,60+Inputs!$B$24+Inputs!$B$28,IF(Skills!C10=2,90+Inputs!$B$25+Inputs!$B$28,IF(Skills!C10=3,120+Inputs!$B$26+Inputs!$B$28,MAX(0,(Inputs!$B$3-100)*3)+Inputs!$B$27+Inputs!$B$28)))</f>
        <v/>
      </c>
      <c r="E1078">
        <f>INDEX(FactorTable!$B$2:$Y$301, MATCH(ROUND(MIN(300,MAX(1,D1078)),0), FactorTable!$A$2:$A$301,0), Skills!M10+1)</f>
        <v/>
      </c>
      <c r="F1078">
        <f>IF(Skills!N10=TRUE,(Skills!L10/10)*(E1078/1000),Skills!L10/10)+Skills!O10</f>
        <v/>
      </c>
      <c r="G1078">
        <f>Calc!G10</f>
        <v/>
      </c>
      <c r="H1078">
        <f>Calc!H10</f>
        <v/>
      </c>
      <c r="I1078">
        <f>IF(Skills!AA10&lt;&gt;"",1+(Skills!AA10/10)*(U1071/1000)/100,1)</f>
        <v/>
      </c>
      <c r="J1078">
        <f>(Inputs!$B$5*(1+(Inputs!$B$6+1)/100))*(F1078/100)</f>
        <v/>
      </c>
      <c r="K1078">
        <f>J1078*(1+((Inputs!$B$11*(1+Inputs!$B$12/100))*0.01+Inputs!$B$13*0.0025)/100)*(1+Inputs!$B$14/100)*(1+IF(Inputs!$B$4="pvp",0,(1-Summary!$B$55)*(Inputs!$B$19+((C1095=TRUE)*(F1095-Calc!F27))+Skills!P10+B1109)+Summary!$B$55*(Inputs!$B$20+Skills!Q10+B1109))/100)*(1+Inputs!$B$15/100)*(5000/(6000+Inputs!$B$7*(1-Inputs!$B$18/100)))*(1+(Inputs!$B$23+((C1098=TRUE)*(F1098-Calc!F30)))/100)*(1+Skills!R10/100)*(1+(IF(Skills!A10="SHOWDOWN",Inputs!$B$16+((C1091=TRUE)*(F1091-Calc!F23)),Inputs!$B$17+((C1097=TRUE)*(F1097-Calc!F29))))/100)*(((1+(((C1089=TRUE)*F1089*IF(AND(Inputs!$B$4&lt;&gt;"pvp",Inputs!$B$35&gt;0),(((S1089-1)*(Skills!Y21*(1+Inputs!$B$33/100))+MIN((Skills!Y21*(1+Inputs!$B$33/100)),MAX(0,Inputs!$B$35-((S1089-1)*Skills!D21))))/Inputs!$B$35),IF(Inputs!$B$4="pvp",MIN((Skills!Y21*(1+Inputs!$B$33/100)),15)/15,(Skills!Y21*(1+Inputs!$B$33/100))/Skills!D21)))+((C1096=TRUE)*(F1096-Calc!F28))+((C1086=TRUE)*(F1086-Calc!F18)))/100)*(1+((C1083=TRUE)*F1083*IF(AND(Inputs!$B$4&lt;&gt;"pvp",Inputs!$B$35&gt;0),(((S1083-1)*(Skills!Y15*(1+Inputs!$B$33/100))+MIN((Skills!Y15*(1+Inputs!$B$33/100)),MAX(0,Inputs!$B$35-((S1083-1)*Skills!D15))))/Inputs!$B$35),IF(Inputs!$B$4="pvp",MIN((Skills!Y15*(1+Inputs!$B$33/100)),15)/15,(Skills!Y15*(1+Inputs!$B$33/100))/Skills!D15)))/100)*(1+((C1074=TRUE)*F1074*B1102)/100))*B1110*I1078)</f>
        <v/>
      </c>
      <c r="L1078">
        <f>K1078*(MIN(Inputs!$B$21+((C1092=TRUE)*(F1092-Calc!F24)),Inputs!$B$22)/100+Inputs!$B$22/100)/2</f>
        <v/>
      </c>
      <c r="M1078">
        <f>L1078*(1+(Inputs!$B$9+((C1094=TRUE)*(F1094-Calc!F26))+B1111)/100)</f>
        <v/>
      </c>
      <c r="N1078">
        <f>L1078*(1-MIN((Inputs!$B$8+((C1093=TRUE)*(F1093-Calc!F25))+B1108),100)/100)+M1078*(MIN((Inputs!$B$8+((C1093=TRUE)*(F1093-Calc!F25))+B1108),100)/100)</f>
        <v/>
      </c>
      <c r="O1078">
        <f>IF(C1078,0.2*SUMPRODUCT((Skills!Z2:Z31=TRUE)*(C1070:C1099=TRUE)*S1070:S1099)*N1078,0)</f>
        <v/>
      </c>
      <c r="P1078">
        <f>IF(B1112=0,0,O1078/B1112)</f>
        <v/>
      </c>
      <c r="Q1078" t="n">
        <v>0</v>
      </c>
      <c r="R1078" t="n">
        <v>0</v>
      </c>
      <c r="S1078" t="n">
        <v>0</v>
      </c>
    </row>
    <row r="1079">
      <c r="A1079">
        <f>Skills!A11</f>
        <v/>
      </c>
      <c r="B1079">
        <f>Skills!B11</f>
        <v/>
      </c>
      <c r="C1079">
        <f>Inputs!$B$3&gt;=60</f>
        <v/>
      </c>
      <c r="D1079">
        <f>IF(Skills!C11=1,60+Inputs!$B$24+Inputs!$B$28,IF(Skills!C11=2,90+Inputs!$B$25+Inputs!$B$28,IF(Skills!C11=3,120+Inputs!$B$26+Inputs!$B$28,MAX(0,(Inputs!$B$3-100)*3)+Inputs!$B$27+Inputs!$B$28)))</f>
        <v/>
      </c>
      <c r="E1079">
        <f>INDEX(FactorTable!$B$2:$Y$301, MATCH(ROUND(MIN(300,MAX(1,D1079)),0), FactorTable!$A$2:$A$301,0), Skills!M11+1)</f>
        <v/>
      </c>
      <c r="F1079">
        <f>IF(Skills!N11=TRUE,(Skills!L11/10)*(E1079/1000),Skills!L11/10)+Skills!O11</f>
        <v/>
      </c>
      <c r="G1079">
        <f>Calc!G11</f>
        <v/>
      </c>
      <c r="H1079">
        <f>Calc!H11</f>
        <v/>
      </c>
      <c r="I1079">
        <f>IF(Skills!AA11&lt;&gt;"",1+(Skills!AA11/10)*(U1071/1000)/100,1)</f>
        <v/>
      </c>
      <c r="J1079" t="inlineStr"/>
      <c r="K1079" t="inlineStr"/>
      <c r="L1079" t="inlineStr"/>
      <c r="M1079" t="inlineStr"/>
      <c r="N1079" t="inlineStr"/>
      <c r="O1079" t="n">
        <v>0</v>
      </c>
      <c r="P1079">
        <f>IF(B1112=0,0,O1079/B1112)</f>
        <v/>
      </c>
      <c r="Q1079" t="n">
        <v>0</v>
      </c>
      <c r="R1079" t="n">
        <v>0</v>
      </c>
      <c r="S1079">
        <f>IFERROR(O1079/N1079,0)</f>
        <v/>
      </c>
    </row>
    <row r="1080">
      <c r="A1080">
        <f>Skills!A12</f>
        <v/>
      </c>
      <c r="B1080">
        <f>Skills!B12</f>
        <v/>
      </c>
      <c r="C1080">
        <f>Inputs!$B$3&gt;=103</f>
        <v/>
      </c>
      <c r="D1080">
        <f>IF(Skills!C12=1,60+Inputs!$B$24+Inputs!$B$28,IF(Skills!C12=2,90+Inputs!$B$25+Inputs!$B$28,IF(Skills!C12=3,120+Inputs!$B$26+Inputs!$B$28,MAX(0,(Inputs!$B$3-100)*3)+Inputs!$B$27+Inputs!$B$28)))</f>
        <v/>
      </c>
      <c r="E1080">
        <f>INDEX(FactorTable!$B$2:$Y$301, MATCH(ROUND(MIN(300,MAX(1,D1080)),0), FactorTable!$A$2:$A$301,0), Skills!M12+1)</f>
        <v/>
      </c>
      <c r="F1080">
        <f>IF(Skills!N12=TRUE,(Skills!L12/10)*(E1080/1000),Skills!L12/10)+Skills!O12</f>
        <v/>
      </c>
      <c r="G1080">
        <f>Calc!G12</f>
        <v/>
      </c>
      <c r="H1080">
        <f>Calc!H12</f>
        <v/>
      </c>
      <c r="I1080">
        <f>IF(Skills!AA12&lt;&gt;"",1+(Skills!AA12/10)*(U1071/1000)/100,1)</f>
        <v/>
      </c>
      <c r="J1080">
        <f>(Inputs!$B$5*(1+(Inputs!$B$6+1)/100))*(F1080/100)</f>
        <v/>
      </c>
      <c r="K1080">
        <f>J1080*(1+((Inputs!$B$11*(1+Inputs!$B$12/100))*0.01+Inputs!$B$13*0.0025)/100)*(1+Inputs!$B$14/100)*(1+IF(Inputs!$B$4="pvp",0,(1-Summary!$B$55)*(Inputs!$B$19+((C1095=TRUE)*(F1095-Calc!F27))+Skills!P12+B1109)+Summary!$B$55*(Inputs!$B$20+Skills!Q12+B1109))/100)*(1+Inputs!$B$15/100)*(5000/(6000+Inputs!$B$7*(1-Inputs!$B$18/100)))*(1+(Inputs!$B$23+((C1098=TRUE)*(F1098-Calc!F30)))/100)*(1+Skills!R12/100)*(1+(IF(Skills!A12="SHOWDOWN",Inputs!$B$16+((C1091=TRUE)*(F1091-Calc!F23)),Inputs!$B$17+((C1097=TRUE)*(F1097-Calc!F29))))/100)*(((1+(((C1089=TRUE)*F1089*IF(AND(Inputs!$B$4&lt;&gt;"pvp",Inputs!$B$35&gt;0),(((S1089-1)*(Skills!Y21*(1+Inputs!$B$33/100))+MIN((Skills!Y21*(1+Inputs!$B$33/100)),MAX(0,Inputs!$B$35-((S1089-1)*Skills!D21))))/Inputs!$B$35),IF(Inputs!$B$4="pvp",MIN((Skills!Y21*(1+Inputs!$B$33/100)),15)/15,(Skills!Y21*(1+Inputs!$B$33/100))/Skills!D21)))+((C1096=TRUE)*(F1096-Calc!F28))+((C1086=TRUE)*(F1086-Calc!F18)))/100)*(1+((C1083=TRUE)*F1083*IF(AND(Inputs!$B$4&lt;&gt;"pvp",Inputs!$B$35&gt;0),(((S1083-1)*(Skills!Y15*(1+Inputs!$B$33/100))+MIN((Skills!Y15*(1+Inputs!$B$33/100)),MAX(0,Inputs!$B$35-((S1083-1)*Skills!D15))))/Inputs!$B$35),IF(Inputs!$B$4="pvp",MIN((Skills!Y15*(1+Inputs!$B$33/100)),15)/15,(Skills!Y15*(1+Inputs!$B$33/100))/Skills!D15)))/100)*(1+((C1074=TRUE)*F1074*B1102)/100))*B1110*I1080)</f>
        <v/>
      </c>
      <c r="L1080">
        <f>K1080*(MIN(Inputs!$B$21+((C1092=TRUE)*(F1092-Calc!F24)),Inputs!$B$22)/100+Inputs!$B$22/100)/2</f>
        <v/>
      </c>
      <c r="M1080">
        <f>L1080*(1+(Inputs!$B$9+((C1094=TRUE)*(F1094-Calc!F26))+B1111)/100)</f>
        <v/>
      </c>
      <c r="N1080">
        <f>L1080*(1-MIN((Inputs!$B$8+((C1093=TRUE)*(F1093-Calc!F25))+B1108),100)/100)+M1080*(MIN((Inputs!$B$8+((C1093=TRUE)*(F1093-Calc!F25))+B1108),100)/100)</f>
        <v/>
      </c>
      <c r="O1080">
        <f>IF(C1080,H1080*N1080*IF(AND(Inputs!$B$4&lt;&gt;"pvp",Inputs!$B$35&gt;0),((Skills!G12*((R1080-1)*IF(Skills!H12&gt;0,Skills!I12/Skills!H12,1)+IF(Skills!H12&gt;0,MIN(Skills!I12,MAX(0,Inputs!$B$35-((R1080-1)*IF(Inputs!$B$4="pvp",15,MAX(0.1,Skills!D12-IF(Skills!E12=TRUE,Inputs!$B$31,0))))))/Skills!H12,1)))/Inputs!$B$35),G1080*Q1080)*IF(Inputs!$B$4="pvp",1,(1-Summary!$B$55)*(1)+Summary!$B$55*(MIN(Skills!W12,Inputs!$B$37))),0)</f>
        <v/>
      </c>
      <c r="P1080">
        <f>IF(B1112=0,0,O1080/B1112)</f>
        <v/>
      </c>
      <c r="Q1080">
        <f>IFERROR(1/IF(Inputs!$B$4="pvp",15,MAX(0.1,Skills!D12-IF(Skills!E12=TRUE,Inputs!$B$31,0))),0)</f>
        <v/>
      </c>
      <c r="R1080">
        <f>IF(AND(Inputs!$B$4&lt;&gt;"pvp",Inputs!$B$35&gt;0),(INT(Inputs!$B$35/IF(Inputs!$B$4="pvp",15,MAX(0.1,Skills!D12-IF(Skills!E12=TRUE,Inputs!$B$31,0))))+1),0)</f>
        <v/>
      </c>
      <c r="S1080">
        <f>IFERROR(O1080/N1080,0)</f>
        <v/>
      </c>
    </row>
    <row r="1081">
      <c r="A1081">
        <f>Skills!A13</f>
        <v/>
      </c>
      <c r="B1081">
        <f>Skills!B13</f>
        <v/>
      </c>
      <c r="C1081">
        <f>Inputs!$B$3&gt;=105</f>
        <v/>
      </c>
      <c r="D1081">
        <f>IF(Skills!C13=1,60+Inputs!$B$24+Inputs!$B$28,IF(Skills!C13=2,90+Inputs!$B$25+Inputs!$B$28,IF(Skills!C13=3,120+Inputs!$B$26+Inputs!$B$28,MAX(0,(Inputs!$B$3-100)*3)+Inputs!$B$27+Inputs!$B$28)))</f>
        <v/>
      </c>
      <c r="E1081">
        <f>INDEX(FactorTable!$B$2:$Y$301, MATCH(ROUND(MIN(300,MAX(1,D1081)),0), FactorTable!$A$2:$A$301,0), Skills!M13+1)</f>
        <v/>
      </c>
      <c r="F1081">
        <f>IF(Skills!N13=TRUE,(Skills!L13/10)*(E1081/1000),Skills!L13/10)+Skills!O13</f>
        <v/>
      </c>
      <c r="G1081">
        <f>Calc!G13</f>
        <v/>
      </c>
      <c r="H1081">
        <f>Calc!H13</f>
        <v/>
      </c>
      <c r="I1081">
        <f>IF(Skills!AA13&lt;&gt;"",1+(Skills!AA13/10)*(U1071/1000)/100,1)</f>
        <v/>
      </c>
      <c r="J1081">
        <f>(Inputs!$B$5*(1+(Inputs!$B$6+1)/100))*(F1081/100)</f>
        <v/>
      </c>
      <c r="K1081">
        <f>J1081*(1+((Inputs!$B$11*(1+Inputs!$B$12/100))*0.01+Inputs!$B$13*0.0025)/100)*(1+Inputs!$B$14/100)*(1+IF(Inputs!$B$4="pvp",0,(1-Summary!$B$55)*(Inputs!$B$19+((C1095=TRUE)*(F1095-Calc!F27))+Skills!P13+B1109)+Summary!$B$55*(Inputs!$B$20+Skills!Q13+B1109))/100)*(1+Inputs!$B$15/100)*(5000/(6000+Inputs!$B$7*(1-Inputs!$B$18/100)))*(1+(Inputs!$B$23+((C1098=TRUE)*(F1098-Calc!F30)))/100)*(1+Skills!R13/100)*(1+(IF(Skills!A13="SHOWDOWN",Inputs!$B$16+((C1091=TRUE)*(F1091-Calc!F23)),Inputs!$B$17+((C1097=TRUE)*(F1097-Calc!F29))))/100)*(((1+(((C1089=TRUE)*F1089*IF(AND(Inputs!$B$4&lt;&gt;"pvp",Inputs!$B$35&gt;0),(((S1089-1)*(Skills!Y21*(1+Inputs!$B$33/100))+MIN((Skills!Y21*(1+Inputs!$B$33/100)),MAX(0,Inputs!$B$35-((S1089-1)*Skills!D21))))/Inputs!$B$35),IF(Inputs!$B$4="pvp",MIN((Skills!Y21*(1+Inputs!$B$33/100)),15)/15,(Skills!Y21*(1+Inputs!$B$33/100))/Skills!D21)))+((C1096=TRUE)*(F1096-Calc!F28))+((C1086=TRUE)*(F1086-Calc!F18)))/100)*(1+((C1083=TRUE)*F1083*IF(AND(Inputs!$B$4&lt;&gt;"pvp",Inputs!$B$35&gt;0),(((S1083-1)*(Skills!Y15*(1+Inputs!$B$33/100))+MIN((Skills!Y15*(1+Inputs!$B$33/100)),MAX(0,Inputs!$B$35-((S1083-1)*Skills!D15))))/Inputs!$B$35),IF(Inputs!$B$4="pvp",MIN((Skills!Y15*(1+Inputs!$B$33/100)),15)/15,(Skills!Y15*(1+Inputs!$B$33/100))/Skills!D15)))/100)*(1+((C1074=TRUE)*F1074*B1102)/100))*B1110*I1081)</f>
        <v/>
      </c>
      <c r="L1081">
        <f>K1081*(MIN(Inputs!$B$21+((C1092=TRUE)*(F1092-Calc!F24)),Inputs!$B$22)/100+Inputs!$B$22/100)/2</f>
        <v/>
      </c>
      <c r="M1081">
        <f>L1081*(1+(Inputs!$B$9+((C1094=TRUE)*(F1094-Calc!F26))+B1111)/100)</f>
        <v/>
      </c>
      <c r="N1081">
        <f>L1081*(1-MIN((Inputs!$B$8+((C1093=TRUE)*(F1093-Calc!F25))+B1108),100)/100)+M1081*(MIN((Inputs!$B$8+((C1093=TRUE)*(F1093-Calc!F25))+B1108),100)/100)</f>
        <v/>
      </c>
      <c r="O1081">
        <f>IF(C1081,H1081*N1081*IF(AND(Inputs!$B$4&lt;&gt;"pvp",Inputs!$B$35&gt;0),((Skills!G13*((R1081-1)*IF(Skills!H13&gt;0,Skills!I13/Skills!H13,1)+IF(Skills!H13&gt;0,MIN(Skills!I13,MAX(0,Inputs!$B$35-((R1081-1)*IF(Inputs!$B$4="pvp",15,MAX(0.1,Skills!D13-IF(Skills!E13=TRUE,Inputs!$B$31,0))))))/Skills!H13,1)))/Inputs!$B$35),G1081*Q1081)*IF(Inputs!$B$4="pvp",1,(1-Summary!$B$55)*(1)+Summary!$B$55*(MIN(Skills!W13,Inputs!$B$37))),0)</f>
        <v/>
      </c>
      <c r="P1081">
        <f>IF(B1112=0,0,O1081/B1112)</f>
        <v/>
      </c>
      <c r="Q1081">
        <f>IFERROR(1/IF(Inputs!$B$4="pvp",15,MAX(0.1,Skills!D13-IF(Skills!E13=TRUE,Inputs!$B$31,0))),0)</f>
        <v/>
      </c>
      <c r="R1081">
        <f>IF(AND(Inputs!$B$4&lt;&gt;"pvp",Inputs!$B$35&gt;0),(INT(Inputs!$B$35/IF(Inputs!$B$4="pvp",15,MAX(0.1,Skills!D13-IF(Skills!E13=TRUE,Inputs!$B$31,0))))+1),0)</f>
        <v/>
      </c>
      <c r="S1081">
        <f>IFERROR(O1081/N1081,0)</f>
        <v/>
      </c>
    </row>
    <row r="1082">
      <c r="A1082">
        <f>Skills!A14</f>
        <v/>
      </c>
      <c r="B1082">
        <f>Skills!B14</f>
        <v/>
      </c>
      <c r="C1082">
        <f>Inputs!$B$3&gt;=105</f>
        <v/>
      </c>
      <c r="D1082">
        <f>IF(Skills!C14=1,60+Inputs!$B$24+Inputs!$B$28,IF(Skills!C14=2,90+Inputs!$B$25+Inputs!$B$28,IF(Skills!C14=3,120+Inputs!$B$26+Inputs!$B$28,MAX(0,(Inputs!$B$3-100)*3)+Inputs!$B$27+Inputs!$B$28)))</f>
        <v/>
      </c>
      <c r="E1082">
        <f>INDEX(FactorTable!$B$2:$Y$301, MATCH(ROUND(MIN(300,MAX(1,D1082)),0), FactorTable!$A$2:$A$301,0), Skills!M14+1)</f>
        <v/>
      </c>
      <c r="F1082">
        <f>IF(Skills!N14=TRUE,(Skills!L14/10)*(E1082/1000),Skills!L14/10)+Skills!O14</f>
        <v/>
      </c>
      <c r="G1082">
        <f>Calc!G14</f>
        <v/>
      </c>
      <c r="H1082">
        <f>Calc!H14</f>
        <v/>
      </c>
      <c r="I1082">
        <f>IF(Skills!AA14&lt;&gt;"",1+(Skills!AA14/10)*(U1071/1000)/100,1)</f>
        <v/>
      </c>
      <c r="J1082">
        <f>(Inputs!$B$5*(1+(Inputs!$B$6+1)/100))*(F1082/100)</f>
        <v/>
      </c>
      <c r="K1082">
        <f>J1082*(1+((Inputs!$B$11*(1+Inputs!$B$12/100))*0.01+Inputs!$B$13*0.0025)/100)*(1+Inputs!$B$14/100)*(1+IF(Inputs!$B$4="pvp",0,(1-Summary!$B$55)*(Inputs!$B$19+((C1095=TRUE)*(F1095-Calc!F27))+Skills!P14+B1109)+Summary!$B$55*(Inputs!$B$20+Skills!Q14+B1109))/100)*(1+Inputs!$B$15/100)*(5000/(6000+Inputs!$B$7*(1-Inputs!$B$18/100)))*(1+(Inputs!$B$23+((C1098=TRUE)*(F1098-Calc!F30)))/100)*(1+Skills!R14/100)*(1+(IF(Skills!A14="SHOWDOWN",Inputs!$B$16+((C1091=TRUE)*(F1091-Calc!F23)),Inputs!$B$17+((C1097=TRUE)*(F1097-Calc!F29))))/100)*(((1+(((C1089=TRUE)*F1089*IF(AND(Inputs!$B$4&lt;&gt;"pvp",Inputs!$B$35&gt;0),(((S1089-1)*(Skills!Y21*(1+Inputs!$B$33/100))+MIN((Skills!Y21*(1+Inputs!$B$33/100)),MAX(0,Inputs!$B$35-((S1089-1)*Skills!D21))))/Inputs!$B$35),IF(Inputs!$B$4="pvp",MIN((Skills!Y21*(1+Inputs!$B$33/100)),15)/15,(Skills!Y21*(1+Inputs!$B$33/100))/Skills!D21)))+((C1096=TRUE)*(F1096-Calc!F28))+((C1086=TRUE)*(F1086-Calc!F18)))/100)*(1+((C1083=TRUE)*F1083*IF(AND(Inputs!$B$4&lt;&gt;"pvp",Inputs!$B$35&gt;0),(((S1083-1)*(Skills!Y15*(1+Inputs!$B$33/100))+MIN((Skills!Y15*(1+Inputs!$B$33/100)),MAX(0,Inputs!$B$35-((S1083-1)*Skills!D15))))/Inputs!$B$35),IF(Inputs!$B$4="pvp",MIN((Skills!Y15*(1+Inputs!$B$33/100)),15)/15,(Skills!Y15*(1+Inputs!$B$33/100))/Skills!D15)))/100)*(1+((C1074=TRUE)*F1074*B1102)/100))*B1110*I1082)</f>
        <v/>
      </c>
      <c r="L1082">
        <f>K1082*(MIN(Inputs!$B$21+((C1092=TRUE)*(F1092-Calc!F24)),Inputs!$B$22)/100+Inputs!$B$22/100)/2</f>
        <v/>
      </c>
      <c r="M1082">
        <f>L1082*(1+(Inputs!$B$9+((C1094=TRUE)*(F1094-Calc!F26))+B1111)/100)</f>
        <v/>
      </c>
      <c r="N1082">
        <f>L1082*(1-MIN((Inputs!$B$8+((C1093=TRUE)*(F1093-Calc!F25))+B1108),100)/100)+M1082*(MIN((Inputs!$B$8+((C1093=TRUE)*(F1093-Calc!F25))+B1108),100)/100)</f>
        <v/>
      </c>
      <c r="O1082">
        <f>IF(C1082,H1082*N1082*IF(AND(Inputs!$B$4&lt;&gt;"pvp",Inputs!$B$35&gt;0),((Skills!G14*((R1082-1)*IF(Skills!H14&gt;0,Skills!I14/Skills!H14,1)+IF(Skills!H14&gt;0,MIN(Skills!I14,MAX(0,Inputs!$B$35-((R1082-1)*IF(Inputs!$B$4="pvp",15,MAX(0.1,Skills!D14-IF(Skills!E14=TRUE,Inputs!$B$31,0))))))/Skills!H14,1)))/Inputs!$B$35),G1082*Q1082)*IF(Inputs!$B$4="pvp",1,(1-Summary!$B$55)*(1)+Summary!$B$55*(MIN(Skills!W14,Inputs!$B$37))),0)</f>
        <v/>
      </c>
      <c r="P1082">
        <f>IF(B1112=0,0,O1082/B1112)</f>
        <v/>
      </c>
      <c r="Q1082">
        <f>IFERROR(1/IF(Inputs!$B$4="pvp",15,MAX(0.1,Skills!D14-IF(Skills!E14=TRUE,Inputs!$B$31,0))),0)</f>
        <v/>
      </c>
      <c r="R1082">
        <f>IF(AND(Inputs!$B$4&lt;&gt;"pvp",Inputs!$B$35&gt;0),(INT(Inputs!$B$35/IF(Inputs!$B$4="pvp",15,MAX(0.1,Skills!D14-IF(Skills!E14=TRUE,Inputs!$B$31,0))))+1),0)</f>
        <v/>
      </c>
      <c r="S1082">
        <f>IFERROR(O1082/N1082,0)</f>
        <v/>
      </c>
    </row>
    <row r="1083">
      <c r="A1083">
        <f>Skills!A15</f>
        <v/>
      </c>
      <c r="B1083">
        <f>Skills!B15</f>
        <v/>
      </c>
      <c r="C1083">
        <f>Inputs!$B$3&gt;=110</f>
        <v/>
      </c>
      <c r="D1083">
        <f>IF(Skills!C15=1,60+Inputs!$B$24+Inputs!$B$28,IF(Skills!C15=2,90+Inputs!$B$25+Inputs!$B$28,IF(Skills!C15=3,120+Inputs!$B$26+Inputs!$B$28,MAX(0,(Inputs!$B$3-100)*3)+Inputs!$B$27+Inputs!$B$28)))</f>
        <v/>
      </c>
      <c r="E1083">
        <f>INDEX(FactorTable!$B$2:$Y$301, MATCH(ROUND(MIN(300,MAX(1,D1083)),0), FactorTable!$A$2:$A$301,0), Skills!M15+1)</f>
        <v/>
      </c>
      <c r="F1083">
        <f>IF(Skills!N15=TRUE,(Skills!L15/10)*(E1083/1000),Skills!L15/10)+Skills!O15</f>
        <v/>
      </c>
      <c r="G1083">
        <f>Calc!G15</f>
        <v/>
      </c>
      <c r="H1083">
        <f>Calc!H15</f>
        <v/>
      </c>
      <c r="I1083">
        <f>IF(Skills!AA15&lt;&gt;"",1+(Skills!AA15/10)*(U1071/1000)/100,1)</f>
        <v/>
      </c>
      <c r="J1083" t="inlineStr"/>
      <c r="K1083" t="inlineStr"/>
      <c r="L1083" t="inlineStr"/>
      <c r="M1083" t="inlineStr"/>
      <c r="N1083" t="inlineStr"/>
      <c r="O1083" t="n">
        <v>0</v>
      </c>
      <c r="P1083">
        <f>IF(B1112=0,0,O1083/B1112)</f>
        <v/>
      </c>
      <c r="Q1083">
        <f>IFERROR(1/IF(Inputs!$B$4="pvp",15,MAX(0.1,Skills!D15-IF(Skills!E15=TRUE,Inputs!$B$31,0))),0)</f>
        <v/>
      </c>
      <c r="R1083">
        <f>IF(AND(Inputs!$B$4&lt;&gt;"pvp",Inputs!$B$35&gt;0),(INT(Inputs!$B$35/IF(Inputs!$B$4="pvp",15,MAX(0.1,Skills!D15-IF(Skills!E15=TRUE,Inputs!$B$31,0))))+1),0)</f>
        <v/>
      </c>
      <c r="S1083">
        <f>IFERROR(O1083/N1083,0)</f>
        <v/>
      </c>
    </row>
    <row r="1084">
      <c r="A1084">
        <f>Skills!A16</f>
        <v/>
      </c>
      <c r="B1084">
        <f>Skills!B16</f>
        <v/>
      </c>
      <c r="C1084">
        <f>Inputs!$B$3&gt;=110</f>
        <v/>
      </c>
      <c r="D1084">
        <f>IF(Skills!C16=1,60+Inputs!$B$24+Inputs!$B$28,IF(Skills!C16=2,90+Inputs!$B$25+Inputs!$B$28,IF(Skills!C16=3,120+Inputs!$B$26+Inputs!$B$28,MAX(0,(Inputs!$B$3-100)*3)+Inputs!$B$27+Inputs!$B$28)))</f>
        <v/>
      </c>
      <c r="E1084">
        <f>INDEX(FactorTable!$B$2:$Y$301, MATCH(ROUND(MIN(300,MAX(1,D1084)),0), FactorTable!$A$2:$A$301,0), Skills!M16+1)</f>
        <v/>
      </c>
      <c r="F1084">
        <f>IF(Skills!N16=TRUE,(Skills!L16/10)*(E1084/1000),Skills!L16/10)+Skills!O16</f>
        <v/>
      </c>
      <c r="G1084">
        <f>Calc!G16</f>
        <v/>
      </c>
      <c r="H1084">
        <f>Calc!H16</f>
        <v/>
      </c>
      <c r="I1084">
        <f>IF(Skills!AA16&lt;&gt;"",1+(Skills!AA16/10)*(U1071/1000)/100,1)</f>
        <v/>
      </c>
      <c r="J1084" t="inlineStr"/>
      <c r="K1084" t="inlineStr"/>
      <c r="L1084" t="inlineStr"/>
      <c r="M1084" t="inlineStr"/>
      <c r="N1084" t="inlineStr"/>
      <c r="O1084" t="n">
        <v>0</v>
      </c>
      <c r="P1084">
        <f>IF(B1112=0,0,O1084/B1112)</f>
        <v/>
      </c>
      <c r="Q1084">
        <f>IFERROR(1/IF(Inputs!$B$4="pvp",15,MAX(0.1,Skills!D16-IF(Skills!E16=TRUE,Inputs!$B$31,0))),0)</f>
        <v/>
      </c>
      <c r="R1084">
        <f>IF(AND(Inputs!$B$4&lt;&gt;"pvp",Inputs!$B$35&gt;0),(INT(Inputs!$B$35/IF(Inputs!$B$4="pvp",15,MAX(0.1,Skills!D16-IF(Skills!E16=TRUE,Inputs!$B$31,0))))+1),0)</f>
        <v/>
      </c>
      <c r="S1084">
        <f>IFERROR(O1084/N1084,0)</f>
        <v/>
      </c>
    </row>
    <row r="1085">
      <c r="A1085">
        <f>Skills!A17</f>
        <v/>
      </c>
      <c r="B1085">
        <f>Skills!B17</f>
        <v/>
      </c>
      <c r="C1085">
        <f>Inputs!$B$3&gt;=115</f>
        <v/>
      </c>
      <c r="D1085">
        <f>IF(Skills!C17=1,60+Inputs!$B$24+Inputs!$B$28,IF(Skills!C17=2,90+Inputs!$B$25+Inputs!$B$28,IF(Skills!C17=3,120+Inputs!$B$26+Inputs!$B$28,MAX(0,(Inputs!$B$3-100)*3)+Inputs!$B$27+Inputs!$B$28)))</f>
        <v/>
      </c>
      <c r="E1085">
        <f>INDEX(FactorTable!$B$2:$Y$301, MATCH(ROUND(MIN(300,MAX(1,D1085)),0), FactorTable!$A$2:$A$301,0), Skills!M17+1)</f>
        <v/>
      </c>
      <c r="F1085">
        <f>IF(Skills!N17=TRUE,(Skills!L17/10)*(E1085/1000),Skills!L17/10)+Skills!O17</f>
        <v/>
      </c>
      <c r="G1085">
        <f>Calc!G17</f>
        <v/>
      </c>
      <c r="H1085">
        <f>Calc!H17</f>
        <v/>
      </c>
      <c r="I1085">
        <f>IF(Skills!AA17&lt;&gt;"",1+(Skills!AA17/10)*(U1071/1000)/100,1)</f>
        <v/>
      </c>
      <c r="J1085">
        <f>(Inputs!$B$5*(1+(Inputs!$B$6+1)/100))*(F1085/100)</f>
        <v/>
      </c>
      <c r="K1085">
        <f>J1085*(1+((Inputs!$B$11*(1+Inputs!$B$12/100))*0.01+Inputs!$B$13*0.0025)/100)*(1+Inputs!$B$14/100)*(1+IF(Inputs!$B$4="pvp",0,(1-Summary!$B$55)*(Inputs!$B$19+((C1095=TRUE)*(F1095-Calc!F27))+Skills!P17+B1109)+Summary!$B$55*(Inputs!$B$20+Skills!Q17+B1109))/100)*(1+Inputs!$B$15/100)*(5000/(6000+Inputs!$B$7*(1-Inputs!$B$18/100)))*(1+(Inputs!$B$23+((C1098=TRUE)*(F1098-Calc!F30)))/100)*(1+Skills!R17/100)*(1+(IF(Skills!A17="SHOWDOWN",Inputs!$B$16+((C1091=TRUE)*(F1091-Calc!F23)),Inputs!$B$17+((C1097=TRUE)*(F1097-Calc!F29))))/100)*(((1+(((C1089=TRUE)*F1089*IF(AND(Inputs!$B$4&lt;&gt;"pvp",Inputs!$B$35&gt;0),(((S1089-1)*(Skills!Y21*(1+Inputs!$B$33/100))+MIN((Skills!Y21*(1+Inputs!$B$33/100)),MAX(0,Inputs!$B$35-((S1089-1)*Skills!D21))))/Inputs!$B$35),IF(Inputs!$B$4="pvp",MIN((Skills!Y21*(1+Inputs!$B$33/100)),15)/15,(Skills!Y21*(1+Inputs!$B$33/100))/Skills!D21)))+((C1096=TRUE)*(F1096-Calc!F28))+((C1086=TRUE)*(F1086-Calc!F18)))/100)*(1+((C1083=TRUE)*F1083*IF(AND(Inputs!$B$4&lt;&gt;"pvp",Inputs!$B$35&gt;0),(((S1083-1)*(Skills!Y15*(1+Inputs!$B$33/100))+MIN((Skills!Y15*(1+Inputs!$B$33/100)),MAX(0,Inputs!$B$35-((S1083-1)*Skills!D15))))/Inputs!$B$35),IF(Inputs!$B$4="pvp",MIN((Skills!Y15*(1+Inputs!$B$33/100)),15)/15,(Skills!Y15*(1+Inputs!$B$33/100))/Skills!D15)))/100)*(1+((C1074=TRUE)*F1074*B1102)/100))*B1110*I1085)</f>
        <v/>
      </c>
      <c r="L1085">
        <f>K1085*(MIN(Inputs!$B$21+((C1092=TRUE)*(F1092-Calc!F24)),Inputs!$B$22)/100+Inputs!$B$22/100)/2</f>
        <v/>
      </c>
      <c r="M1085">
        <f>L1085*(1+(Inputs!$B$9+((C1094=TRUE)*(F1094-Calc!F26))+B1111)/100)</f>
        <v/>
      </c>
      <c r="N1085">
        <f>L1085*(1-MIN((Inputs!$B$8+((C1093=TRUE)*(F1093-Calc!F25))+B1108),100)/100)+M1085*(MIN((Inputs!$B$8+((C1093=TRUE)*(F1093-Calc!F25))+B1108),100)/100)</f>
        <v/>
      </c>
      <c r="O1085">
        <f>IF(C1085,Inputs!$B$38*0.2*N1085,0)</f>
        <v/>
      </c>
      <c r="P1085">
        <f>IF(B1112=0,0,O1085/B1112)</f>
        <v/>
      </c>
      <c r="Q1085" t="n">
        <v>0</v>
      </c>
      <c r="R1085" t="n">
        <v>0</v>
      </c>
      <c r="S1085">
        <f>IFERROR(O1085/N1085,0)</f>
        <v/>
      </c>
    </row>
    <row r="1086">
      <c r="A1086">
        <f>Skills!A18</f>
        <v/>
      </c>
      <c r="B1086">
        <f>Skills!B18</f>
        <v/>
      </c>
      <c r="C1086">
        <f>Inputs!$B$3&gt;=115</f>
        <v/>
      </c>
      <c r="D1086">
        <f>IF(Skills!C18=1,60+Inputs!$B$24+Inputs!$B$28,IF(Skills!C18=2,90+Inputs!$B$25+Inputs!$B$28,IF(Skills!C18=3,120+Inputs!$B$26+Inputs!$B$28,MAX(0,(Inputs!$B$3-100)*3)+Inputs!$B$27+Inputs!$B$28)))</f>
        <v/>
      </c>
      <c r="E1086">
        <f>INDEX(FactorTable!$B$2:$Y$301, MATCH(ROUND(MIN(300,MAX(1,D1086)),0), FactorTable!$A$2:$A$301,0), Skills!M18+1)</f>
        <v/>
      </c>
      <c r="F1086">
        <f>IF(Skills!N18=TRUE,(Skills!L18/10)*(E1086/1000),Skills!L18/10)+Skills!O18</f>
        <v/>
      </c>
      <c r="G1086">
        <f>Calc!G18</f>
        <v/>
      </c>
      <c r="H1086">
        <f>Calc!H18</f>
        <v/>
      </c>
      <c r="I1086">
        <f>IF(Skills!AA18&lt;&gt;"",1+(Skills!AA18/10)*(U1071/1000)/100,1)</f>
        <v/>
      </c>
      <c r="J1086" t="inlineStr"/>
      <c r="K1086" t="inlineStr"/>
      <c r="L1086" t="inlineStr"/>
      <c r="M1086" t="inlineStr"/>
      <c r="N1086" t="inlineStr"/>
      <c r="O1086" t="n">
        <v>0</v>
      </c>
      <c r="P1086">
        <f>IF(B1112=0,0,O1086/B1112)</f>
        <v/>
      </c>
      <c r="Q1086" t="n">
        <v>0</v>
      </c>
      <c r="R1086" t="n">
        <v>0</v>
      </c>
      <c r="S1086">
        <f>IFERROR(O1086/N1086,0)</f>
        <v/>
      </c>
    </row>
    <row r="1087">
      <c r="A1087">
        <f>Skills!A19</f>
        <v/>
      </c>
      <c r="B1087">
        <f>Skills!B19</f>
        <v/>
      </c>
      <c r="C1087">
        <f>TRUE</f>
        <v/>
      </c>
      <c r="D1087">
        <f>IF(Skills!C19=1,60+Inputs!$B$24+Inputs!$B$28,IF(Skills!C19=2,90+Inputs!$B$25+Inputs!$B$28,IF(Skills!C19=3,120+Inputs!$B$26+Inputs!$B$28,MAX(0,(Inputs!$B$3-100)*3)+Inputs!$B$27+Inputs!$B$28)))</f>
        <v/>
      </c>
      <c r="E1087">
        <f>INDEX(FactorTable!$B$2:$Y$301, MATCH(ROUND(MIN(300,MAX(1,D1087)),0), FactorTable!$A$2:$A$301,0), Skills!M19+1)</f>
        <v/>
      </c>
      <c r="F1087">
        <f>IF(Skills!N19=TRUE,(Skills!L19/10)*(E1087/1000),Skills!L19/10)+Skills!O19</f>
        <v/>
      </c>
      <c r="G1087">
        <f>Calc!G19</f>
        <v/>
      </c>
      <c r="H1087">
        <f>Calc!H19</f>
        <v/>
      </c>
      <c r="I1087">
        <f>IF(Skills!AA19&lt;&gt;"",1+(Skills!AA19/10)*(U1071/1000)/100,1)</f>
        <v/>
      </c>
      <c r="J1087" t="inlineStr"/>
      <c r="K1087" t="inlineStr"/>
      <c r="L1087" t="inlineStr"/>
      <c r="M1087" t="inlineStr"/>
      <c r="N1087" t="inlineStr"/>
      <c r="O1087" t="n">
        <v>0</v>
      </c>
      <c r="P1087">
        <f>IF(B1112=0,0,O1087/B1112)</f>
        <v/>
      </c>
      <c r="Q1087">
        <f>IFERROR(1/IF(Inputs!$B$4="pvp",15,MAX(0.1,Skills!D19-IF(Skills!E19=TRUE,Inputs!$B$31,0))),0)</f>
        <v/>
      </c>
      <c r="R1087">
        <f>IF(AND(Inputs!$B$4&lt;&gt;"pvp",Inputs!$B$35&gt;0),(INT(Inputs!$B$35/IF(Inputs!$B$4="pvp",15,MAX(0.1,Skills!D19-IF(Skills!E19=TRUE,Inputs!$B$31,0))))+1),0)</f>
        <v/>
      </c>
      <c r="S1087">
        <f>IFERROR(O1087/N1087,0)</f>
        <v/>
      </c>
    </row>
    <row r="1088">
      <c r="A1088">
        <f>Skills!A20</f>
        <v/>
      </c>
      <c r="B1088">
        <f>Skills!B20</f>
        <v/>
      </c>
      <c r="C1088">
        <f>Inputs!$B$3&gt;=15</f>
        <v/>
      </c>
      <c r="D1088">
        <f>IF(Skills!C20=1,60+Inputs!$B$24+Inputs!$B$28,IF(Skills!C20=2,90+Inputs!$B$25+Inputs!$B$28,IF(Skills!C20=3,120+Inputs!$B$26+Inputs!$B$28,MAX(0,(Inputs!$B$3-100)*3)+Inputs!$B$27+Inputs!$B$28)))</f>
        <v/>
      </c>
      <c r="E1088">
        <f>INDEX(FactorTable!$B$2:$Y$301, MATCH(ROUND(MIN(300,MAX(1,D1088)),0), FactorTable!$A$2:$A$301,0), Skills!M20+1)</f>
        <v/>
      </c>
      <c r="F1088">
        <f>IF(Skills!N20=TRUE,(Skills!L20/10)*(E1088/1000),Skills!L20/10)+Skills!O20</f>
        <v/>
      </c>
      <c r="G1088">
        <f>Calc!G20</f>
        <v/>
      </c>
      <c r="H1088">
        <f>Calc!H20</f>
        <v/>
      </c>
      <c r="I1088">
        <f>IF(Skills!AA20&lt;&gt;"",1+(Skills!AA20/10)*(U1071/1000)/100,1)</f>
        <v/>
      </c>
      <c r="J1088" t="inlineStr"/>
      <c r="K1088" t="inlineStr"/>
      <c r="L1088" t="inlineStr"/>
      <c r="M1088" t="inlineStr"/>
      <c r="N1088" t="inlineStr"/>
      <c r="O1088" t="n">
        <v>0</v>
      </c>
      <c r="P1088">
        <f>IF(B1112=0,0,O1088/B1112)</f>
        <v/>
      </c>
      <c r="Q1088">
        <f>IFERROR(1/IF(Inputs!$B$4="pvp",15,MAX(0.1,Skills!D20-IF(Skills!E20=TRUE,Inputs!$B$31,0))),0)</f>
        <v/>
      </c>
      <c r="R1088">
        <f>IF(AND(Inputs!$B$4&lt;&gt;"pvp",Inputs!$B$35&gt;0),(INT(Inputs!$B$35/IF(Inputs!$B$4="pvp",15,MAX(0.1,Skills!D20-IF(Skills!E20=TRUE,Inputs!$B$31,0))))+1),0)</f>
        <v/>
      </c>
      <c r="S1088">
        <f>IFERROR(O1088/N1088,0)</f>
        <v/>
      </c>
    </row>
    <row r="1089">
      <c r="A1089">
        <f>Skills!A21</f>
        <v/>
      </c>
      <c r="B1089">
        <f>Skills!B21</f>
        <v/>
      </c>
      <c r="C1089">
        <f>Inputs!$B$3&gt;=15</f>
        <v/>
      </c>
      <c r="D1089">
        <f>IF(Skills!C21=1,60+Inputs!$B$24+Inputs!$B$28,IF(Skills!C21=2,90+Inputs!$B$25+Inputs!$B$28,IF(Skills!C21=3,120+Inputs!$B$26+Inputs!$B$28,MAX(0,(Inputs!$B$3-100)*3)+Inputs!$B$27+Inputs!$B$28)))</f>
        <v/>
      </c>
      <c r="E1089">
        <f>INDEX(FactorTable!$B$2:$Y$301, MATCH(ROUND(MIN(300,MAX(1,D1089)),0), FactorTable!$A$2:$A$301,0), Skills!M21+1)</f>
        <v/>
      </c>
      <c r="F1089">
        <f>IF(Skills!N21=TRUE,(Skills!L21/10)*(E1089/1000),Skills!L21/10)+Skills!O21</f>
        <v/>
      </c>
      <c r="G1089">
        <f>Calc!G21</f>
        <v/>
      </c>
      <c r="H1089">
        <f>Calc!H21</f>
        <v/>
      </c>
      <c r="I1089">
        <f>IF(Skills!AA21&lt;&gt;"",1+(Skills!AA21/10)*(U1071/1000)/100,1)</f>
        <v/>
      </c>
      <c r="J1089" t="inlineStr"/>
      <c r="K1089" t="inlineStr"/>
      <c r="L1089" t="inlineStr"/>
      <c r="M1089" t="inlineStr"/>
      <c r="N1089" t="inlineStr"/>
      <c r="O1089" t="n">
        <v>0</v>
      </c>
      <c r="P1089">
        <f>IF(B1112=0,0,O1089/B1112)</f>
        <v/>
      </c>
      <c r="Q1089">
        <f>IFERROR(1/IF(Inputs!$B$4="pvp",15,MAX(0.1,Skills!D21-IF(Skills!E21=TRUE,Inputs!$B$31,0))),0)</f>
        <v/>
      </c>
      <c r="R1089">
        <f>IF(AND(Inputs!$B$4&lt;&gt;"pvp",Inputs!$B$35&gt;0),(INT(Inputs!$B$35/IF(Inputs!$B$4="pvp",15,MAX(0.1,Skills!D21-IF(Skills!E21=TRUE,Inputs!$B$31,0))))+1),0)</f>
        <v/>
      </c>
      <c r="S1089">
        <f>IFERROR(O1089/N1089,0)</f>
        <v/>
      </c>
    </row>
    <row r="1090">
      <c r="A1090">
        <f>Skills!A22</f>
        <v/>
      </c>
      <c r="B1090">
        <f>Skills!B22</f>
        <v/>
      </c>
      <c r="C1090">
        <f>Inputs!$B$3&gt;=33</f>
        <v/>
      </c>
      <c r="D1090">
        <f>IF(Skills!C22=1,60+Inputs!$B$24+Inputs!$B$28,IF(Skills!C22=2,90+Inputs!$B$25+Inputs!$B$28,IF(Skills!C22=3,120+Inputs!$B$26+Inputs!$B$28,MAX(0,(Inputs!$B$3-100)*3)+Inputs!$B$27+Inputs!$B$28)))</f>
        <v/>
      </c>
      <c r="E1090">
        <f>INDEX(FactorTable!$B$2:$Y$301, MATCH(ROUND(MIN(300,MAX(1,D1090)),0), FactorTable!$A$2:$A$301,0), Skills!M22+1)</f>
        <v/>
      </c>
      <c r="F1090">
        <f>IF(Skills!N22=TRUE,(Skills!L22/10)*(E1090/1000),Skills!L22/10)+Skills!O22</f>
        <v/>
      </c>
      <c r="G1090">
        <f>Calc!G22</f>
        <v/>
      </c>
      <c r="H1090">
        <f>Calc!H22</f>
        <v/>
      </c>
      <c r="I1090">
        <f>IF(Skills!AA22&lt;&gt;"",1+(Skills!AA22/10)*(U1071/1000)/100,1)</f>
        <v/>
      </c>
      <c r="J1090" t="inlineStr"/>
      <c r="K1090" t="inlineStr"/>
      <c r="L1090" t="inlineStr"/>
      <c r="M1090" t="inlineStr"/>
      <c r="N1090" t="inlineStr"/>
      <c r="O1090" t="n">
        <v>0</v>
      </c>
      <c r="P1090">
        <f>IF(B1112=0,0,O1090/B1112)</f>
        <v/>
      </c>
      <c r="Q1090" t="n">
        <v>0</v>
      </c>
      <c r="R1090" t="n">
        <v>0</v>
      </c>
      <c r="S1090">
        <f>IFERROR(O1090/N1090,0)</f>
        <v/>
      </c>
    </row>
    <row r="1091">
      <c r="A1091">
        <f>Skills!A23</f>
        <v/>
      </c>
      <c r="B1091">
        <f>Skills!B23</f>
        <v/>
      </c>
      <c r="C1091">
        <f>Inputs!$B$3&gt;=38</f>
        <v/>
      </c>
      <c r="D1091">
        <f>IF(Skills!C23=1,60+Inputs!$B$24+Inputs!$B$28,IF(Skills!C23=2,90+Inputs!$B$25+Inputs!$B$28,IF(Skills!C23=3,120+Inputs!$B$26+Inputs!$B$28,MAX(0,(Inputs!$B$3-100)*3)+Inputs!$B$27+Inputs!$B$28)))</f>
        <v/>
      </c>
      <c r="E1091">
        <f>INDEX(FactorTable!$B$2:$Y$301, MATCH(ROUND(MIN(300,MAX(1,D1091)),0), FactorTable!$A$2:$A$301,0), Skills!M23+1)</f>
        <v/>
      </c>
      <c r="F1091">
        <f>IF(Skills!N23=TRUE,(Skills!L23/10)*(E1091/1000),Skills!L23/10)+Skills!O23</f>
        <v/>
      </c>
      <c r="G1091">
        <f>Calc!G23</f>
        <v/>
      </c>
      <c r="H1091">
        <f>Calc!H23</f>
        <v/>
      </c>
      <c r="I1091">
        <f>IF(Skills!AA23&lt;&gt;"",1+(Skills!AA23/10)*(U1071/1000)/100,1)</f>
        <v/>
      </c>
      <c r="J1091" t="inlineStr"/>
      <c r="K1091" t="inlineStr"/>
      <c r="L1091" t="inlineStr"/>
      <c r="M1091" t="inlineStr"/>
      <c r="N1091" t="inlineStr"/>
      <c r="O1091" t="n">
        <v>0</v>
      </c>
      <c r="P1091">
        <f>IF(B1112=0,0,O1091/B1112)</f>
        <v/>
      </c>
      <c r="Q1091" t="n">
        <v>0</v>
      </c>
      <c r="R1091" t="n">
        <v>0</v>
      </c>
      <c r="S1091">
        <f>IFERROR(O1091/N1091,0)</f>
        <v/>
      </c>
    </row>
    <row r="1092">
      <c r="A1092">
        <f>Skills!A24</f>
        <v/>
      </c>
      <c r="B1092">
        <f>Skills!B24</f>
        <v/>
      </c>
      <c r="C1092">
        <f>Inputs!$B$3&gt;=40</f>
        <v/>
      </c>
      <c r="D1092">
        <f>IF(Skills!C24=1,60+Inputs!$B$24+Inputs!$B$28,IF(Skills!C24=2,90+Inputs!$B$25+Inputs!$B$28,IF(Skills!C24=3,120+Inputs!$B$26+Inputs!$B$28,MAX(0,(Inputs!$B$3-100)*3)+Inputs!$B$27+Inputs!$B$28)))</f>
        <v/>
      </c>
      <c r="E1092">
        <f>INDEX(FactorTable!$B$2:$Y$301, MATCH(ROUND(MIN(300,MAX(1,D1092)),0), FactorTable!$A$2:$A$301,0), Skills!M24+1)</f>
        <v/>
      </c>
      <c r="F1092">
        <f>IF(Skills!N24=TRUE,(Skills!L24/10)*(E1092/1000),Skills!L24/10)+Skills!O24</f>
        <v/>
      </c>
      <c r="G1092">
        <f>Calc!G24</f>
        <v/>
      </c>
      <c r="H1092">
        <f>Calc!H24</f>
        <v/>
      </c>
      <c r="I1092">
        <f>IF(Skills!AA24&lt;&gt;"",1+(Skills!AA24/10)*(U1071/1000)/100,1)</f>
        <v/>
      </c>
      <c r="J1092" t="inlineStr"/>
      <c r="K1092" t="inlineStr"/>
      <c r="L1092" t="inlineStr"/>
      <c r="M1092" t="inlineStr"/>
      <c r="N1092" t="inlineStr"/>
      <c r="O1092" t="n">
        <v>0</v>
      </c>
      <c r="P1092">
        <f>IF(B1112=0,0,O1092/B1112)</f>
        <v/>
      </c>
      <c r="Q1092" t="n">
        <v>0</v>
      </c>
      <c r="R1092" t="n">
        <v>0</v>
      </c>
      <c r="S1092">
        <f>IFERROR(O1092/N1092,0)</f>
        <v/>
      </c>
    </row>
    <row r="1093">
      <c r="A1093">
        <f>Skills!A25</f>
        <v/>
      </c>
      <c r="B1093">
        <f>Skills!B25</f>
        <v/>
      </c>
      <c r="C1093">
        <f>Inputs!$B$3&gt;=45</f>
        <v/>
      </c>
      <c r="D1093">
        <f>IF(Skills!C25=1,60+Inputs!$B$24+Inputs!$B$28,IF(Skills!C25=2,90+Inputs!$B$25+Inputs!$B$28,IF(Skills!C25=3,120+Inputs!$B$26+Inputs!$B$28,MAX(0,(Inputs!$B$3-100)*3)+Inputs!$B$27+Inputs!$B$28)))</f>
        <v/>
      </c>
      <c r="E1093">
        <f>INDEX(FactorTable!$B$2:$Y$301, MATCH(ROUND(MIN(300,MAX(1,D1093)),0), FactorTable!$A$2:$A$301,0), Skills!M25+1)</f>
        <v/>
      </c>
      <c r="F1093">
        <f>IF(Skills!N25=TRUE,(Skills!L25/10)*(E1093/1000),Skills!L25/10)+Skills!O25</f>
        <v/>
      </c>
      <c r="G1093">
        <f>Calc!G25</f>
        <v/>
      </c>
      <c r="H1093">
        <f>Calc!H25</f>
        <v/>
      </c>
      <c r="I1093">
        <f>IF(Skills!AA25&lt;&gt;"",1+(Skills!AA25/10)*(U1071/1000)/100,1)</f>
        <v/>
      </c>
      <c r="J1093" t="inlineStr"/>
      <c r="K1093" t="inlineStr"/>
      <c r="L1093" t="inlineStr"/>
      <c r="M1093" t="inlineStr"/>
      <c r="N1093" t="inlineStr"/>
      <c r="O1093" t="n">
        <v>0</v>
      </c>
      <c r="P1093">
        <f>IF(B1112=0,0,O1093/B1112)</f>
        <v/>
      </c>
      <c r="Q1093" t="n">
        <v>0</v>
      </c>
      <c r="R1093" t="n">
        <v>0</v>
      </c>
      <c r="S1093">
        <f>IFERROR(O1093/N1093,0)</f>
        <v/>
      </c>
    </row>
    <row r="1094">
      <c r="A1094">
        <f>Skills!A26</f>
        <v/>
      </c>
      <c r="B1094">
        <f>Skills!B26</f>
        <v/>
      </c>
      <c r="C1094">
        <f>Inputs!$B$3&gt;=45</f>
        <v/>
      </c>
      <c r="D1094">
        <f>IF(Skills!C26=1,60+Inputs!$B$24+Inputs!$B$28,IF(Skills!C26=2,90+Inputs!$B$25+Inputs!$B$28,IF(Skills!C26=3,120+Inputs!$B$26+Inputs!$B$28,MAX(0,(Inputs!$B$3-100)*3)+Inputs!$B$27+Inputs!$B$28)))</f>
        <v/>
      </c>
      <c r="E1094">
        <f>INDEX(FactorTable!$B$2:$Y$301, MATCH(ROUND(MIN(300,MAX(1,D1094)),0), FactorTable!$A$2:$A$301,0), Skills!M26+1)</f>
        <v/>
      </c>
      <c r="F1094">
        <f>IF(Skills!N26=TRUE,(Skills!L26/10)*(E1094/1000),Skills!L26/10)+Skills!O26</f>
        <v/>
      </c>
      <c r="G1094">
        <f>Calc!G26</f>
        <v/>
      </c>
      <c r="H1094">
        <f>Calc!H26</f>
        <v/>
      </c>
      <c r="I1094">
        <f>IF(Skills!AA26&lt;&gt;"",1+(Skills!AA26/10)*(U1071/1000)/100,1)</f>
        <v/>
      </c>
      <c r="J1094" t="inlineStr"/>
      <c r="K1094" t="inlineStr"/>
      <c r="L1094" t="inlineStr"/>
      <c r="M1094" t="inlineStr"/>
      <c r="N1094" t="inlineStr"/>
      <c r="O1094" t="n">
        <v>0</v>
      </c>
      <c r="P1094">
        <f>IF(B1112=0,0,O1094/B1112)</f>
        <v/>
      </c>
      <c r="Q1094" t="n">
        <v>0</v>
      </c>
      <c r="R1094" t="n">
        <v>0</v>
      </c>
      <c r="S1094">
        <f>IFERROR(O1094/N1094,0)</f>
        <v/>
      </c>
    </row>
    <row r="1095">
      <c r="A1095">
        <f>Skills!A27</f>
        <v/>
      </c>
      <c r="B1095">
        <f>Skills!B27</f>
        <v/>
      </c>
      <c r="C1095">
        <f>Inputs!$B$3&gt;=72</f>
        <v/>
      </c>
      <c r="D1095">
        <f>IF(Skills!C27=1,60+Inputs!$B$24+Inputs!$B$28,IF(Skills!C27=2,90+Inputs!$B$25+Inputs!$B$28,IF(Skills!C27=3,120+Inputs!$B$26+Inputs!$B$28,MAX(0,(Inputs!$B$3-100)*3)+Inputs!$B$27+Inputs!$B$28)))</f>
        <v/>
      </c>
      <c r="E1095">
        <f>INDEX(FactorTable!$B$2:$Y$301, MATCH(ROUND(MIN(300,MAX(1,D1095)),0), FactorTable!$A$2:$A$301,0), Skills!M27+1)</f>
        <v/>
      </c>
      <c r="F1095">
        <f>IF(Skills!N27=TRUE,(Skills!L27/10)*(E1095/1000),Skills!L27/10)+Skills!O27</f>
        <v/>
      </c>
      <c r="G1095">
        <f>Calc!G27</f>
        <v/>
      </c>
      <c r="H1095">
        <f>Calc!H27</f>
        <v/>
      </c>
      <c r="I1095">
        <f>IF(Skills!AA27&lt;&gt;"",1+(Skills!AA27/10)*(U1071/1000)/100,1)</f>
        <v/>
      </c>
      <c r="J1095" t="inlineStr"/>
      <c r="K1095" t="inlineStr"/>
      <c r="L1095" t="inlineStr"/>
      <c r="M1095" t="inlineStr"/>
      <c r="N1095" t="inlineStr"/>
      <c r="O1095" t="n">
        <v>0</v>
      </c>
      <c r="P1095">
        <f>IF(B1112=0,0,O1095/B1112)</f>
        <v/>
      </c>
      <c r="Q1095" t="n">
        <v>0</v>
      </c>
      <c r="R1095" t="n">
        <v>0</v>
      </c>
      <c r="S1095">
        <f>IFERROR(O1095/N1095,0)</f>
        <v/>
      </c>
    </row>
    <row r="1096">
      <c r="A1096">
        <f>Skills!A28</f>
        <v/>
      </c>
      <c r="B1096">
        <f>Skills!B28</f>
        <v/>
      </c>
      <c r="C1096">
        <f>Inputs!$B$3&gt;=75</f>
        <v/>
      </c>
      <c r="D1096">
        <f>IF(Skills!C28=1,60+Inputs!$B$24+Inputs!$B$28,IF(Skills!C28=2,90+Inputs!$B$25+Inputs!$B$28,IF(Skills!C28=3,120+Inputs!$B$26+Inputs!$B$28,MAX(0,(Inputs!$B$3-100)*3)+Inputs!$B$27+Inputs!$B$28)))</f>
        <v/>
      </c>
      <c r="E1096">
        <f>INDEX(FactorTable!$B$2:$Y$301, MATCH(ROUND(MIN(300,MAX(1,D1096)),0), FactorTable!$A$2:$A$301,0), Skills!M28+1)</f>
        <v/>
      </c>
      <c r="F1096">
        <f>IF(Skills!N28=TRUE,(Skills!L28/10)*(E1096/1000),Skills!L28/10)+Skills!O28</f>
        <v/>
      </c>
      <c r="G1096">
        <f>Calc!G28</f>
        <v/>
      </c>
      <c r="H1096">
        <f>Calc!H28</f>
        <v/>
      </c>
      <c r="I1096">
        <f>IF(Skills!AA28&lt;&gt;"",1+(Skills!AA28/10)*(U1071/1000)/100,1)</f>
        <v/>
      </c>
      <c r="J1096" t="inlineStr"/>
      <c r="K1096" t="inlineStr"/>
      <c r="L1096" t="inlineStr"/>
      <c r="M1096" t="inlineStr"/>
      <c r="N1096" t="inlineStr"/>
      <c r="O1096" t="n">
        <v>0</v>
      </c>
      <c r="P1096">
        <f>IF(B1112=0,0,O1096/B1112)</f>
        <v/>
      </c>
      <c r="Q1096" t="n">
        <v>0</v>
      </c>
      <c r="R1096" t="n">
        <v>0</v>
      </c>
      <c r="S1096">
        <f>IFERROR(O1096/N1096,0)</f>
        <v/>
      </c>
    </row>
    <row r="1097">
      <c r="A1097">
        <f>Skills!A29</f>
        <v/>
      </c>
      <c r="B1097">
        <f>Skills!B29</f>
        <v/>
      </c>
      <c r="C1097">
        <f>Inputs!$B$3&gt;=120</f>
        <v/>
      </c>
      <c r="D1097">
        <f>IF(Skills!C29=1,60+Inputs!$B$24+Inputs!$B$28,IF(Skills!C29=2,90+Inputs!$B$25+Inputs!$B$28,IF(Skills!C29=3,120+Inputs!$B$26+Inputs!$B$28,MAX(0,(Inputs!$B$3-100)*3)+Inputs!$B$27+Inputs!$B$28)))</f>
        <v/>
      </c>
      <c r="E1097">
        <f>INDEX(FactorTable!$B$2:$Y$301, MATCH(ROUND(MIN(300,MAX(1,D1097)),0), FactorTable!$A$2:$A$301,0), Skills!M29+1)</f>
        <v/>
      </c>
      <c r="F1097">
        <f>IF(Skills!N29=TRUE,(Skills!L29/10)*(E1097/1000),Skills!L29/10)+Skills!O29</f>
        <v/>
      </c>
      <c r="G1097">
        <f>Calc!G29</f>
        <v/>
      </c>
      <c r="H1097">
        <f>Calc!H29</f>
        <v/>
      </c>
      <c r="I1097">
        <f>IF(Skills!AA29&lt;&gt;"",1+(Skills!AA29/10)*(U1071/1000)/100,1)</f>
        <v/>
      </c>
      <c r="J1097" t="inlineStr"/>
      <c r="K1097" t="inlineStr"/>
      <c r="L1097" t="inlineStr"/>
      <c r="M1097" t="inlineStr"/>
      <c r="N1097" t="inlineStr"/>
      <c r="O1097" t="n">
        <v>0</v>
      </c>
      <c r="P1097">
        <f>IF(B1112=0,0,O1097/B1112)</f>
        <v/>
      </c>
      <c r="Q1097" t="n">
        <v>0</v>
      </c>
      <c r="R1097" t="n">
        <v>0</v>
      </c>
      <c r="S1097">
        <f>IFERROR(O1097/N1097,0)</f>
        <v/>
      </c>
    </row>
    <row r="1098">
      <c r="A1098">
        <f>Skills!A30</f>
        <v/>
      </c>
      <c r="B1098">
        <f>Skills!B30</f>
        <v/>
      </c>
      <c r="C1098">
        <f>Inputs!$B$3&gt;=125</f>
        <v/>
      </c>
      <c r="D1098">
        <f>IF(Skills!C30=1,60+Inputs!$B$24+Inputs!$B$28,IF(Skills!C30=2,90+Inputs!$B$25+Inputs!$B$28,IF(Skills!C30=3,120+Inputs!$B$26+Inputs!$B$28,MAX(0,(Inputs!$B$3-100)*3)+Inputs!$B$27+Inputs!$B$28)))</f>
        <v/>
      </c>
      <c r="E1098">
        <f>INDEX(FactorTable!$B$2:$Y$301, MATCH(ROUND(MIN(300,MAX(1,D1098)),0), FactorTable!$A$2:$A$301,0), Skills!M30+1)</f>
        <v/>
      </c>
      <c r="F1098">
        <f>IF(Skills!N30=TRUE,(Skills!L30/10)*(E1098/1000),Skills!L30/10)+Skills!O30</f>
        <v/>
      </c>
      <c r="G1098">
        <f>Calc!G30</f>
        <v/>
      </c>
      <c r="H1098">
        <f>Calc!H30</f>
        <v/>
      </c>
      <c r="I1098">
        <f>IF(Skills!AA30&lt;&gt;"",1+(Skills!AA30/10)*(U1071/1000)/100,1)</f>
        <v/>
      </c>
      <c r="J1098" t="inlineStr"/>
      <c r="K1098" t="inlineStr"/>
      <c r="L1098" t="inlineStr"/>
      <c r="M1098" t="inlineStr"/>
      <c r="N1098" t="inlineStr"/>
      <c r="O1098" t="n">
        <v>0</v>
      </c>
      <c r="P1098">
        <f>IF(B1112=0,0,O1098/B1112)</f>
        <v/>
      </c>
      <c r="Q1098" t="n">
        <v>0</v>
      </c>
      <c r="R1098" t="n">
        <v>0</v>
      </c>
      <c r="S1098">
        <f>IFERROR(O1098/N1098,0)</f>
        <v/>
      </c>
    </row>
    <row r="1099">
      <c r="A1099">
        <f>Skills!A31</f>
        <v/>
      </c>
      <c r="B1099">
        <f>Skills!B31</f>
        <v/>
      </c>
      <c r="C1099">
        <f>Inputs!$B$3&gt;=107</f>
        <v/>
      </c>
      <c r="D1099">
        <f>IF(Skills!C31=1,60+Inputs!$B$24+Inputs!$B$28,IF(Skills!C31=2,90+Inputs!$B$25+Inputs!$B$28,IF(Skills!C31=3,120+Inputs!$B$26+Inputs!$B$28,MAX(0,(Inputs!$B$3-100)*3)+Inputs!$B$27+Inputs!$B$28)))</f>
        <v/>
      </c>
      <c r="E1099">
        <f>INDEX(FactorTable!$B$2:$Y$301, MATCH(ROUND(MIN(300,MAX(1,D1099)),0), FactorTable!$A$2:$A$301,0), Skills!M31+1)</f>
        <v/>
      </c>
      <c r="F1099">
        <f>IF(Skills!N31=TRUE,(Skills!L31/10)*(E1099/1000),Skills!L31/10)+Skills!O31</f>
        <v/>
      </c>
      <c r="G1099">
        <f>Calc!G31</f>
        <v/>
      </c>
      <c r="H1099">
        <f>Calc!H31</f>
        <v/>
      </c>
      <c r="I1099">
        <f>IF(Skills!AA31&lt;&gt;"",1+(Skills!AA31/10)*(U1071/1000)/100,1)</f>
        <v/>
      </c>
      <c r="J1099" t="inlineStr"/>
      <c r="K1099" t="inlineStr"/>
      <c r="L1099" t="inlineStr"/>
      <c r="M1099" t="inlineStr"/>
      <c r="N1099" t="inlineStr"/>
      <c r="O1099" t="n">
        <v>0</v>
      </c>
      <c r="P1099">
        <f>IF(B1112=0,0,O1099/B1112)</f>
        <v/>
      </c>
      <c r="Q1099" t="n">
        <v>0</v>
      </c>
      <c r="R1099" t="n">
        <v>0</v>
      </c>
      <c r="S1099">
        <f>IFERROR(O1099/N1099,0)</f>
        <v/>
      </c>
    </row>
    <row r="1101">
      <c r="A1101" t="inlineStr">
        <is>
          <t>Actions Per Second (pre-Adrenalin)</t>
        </is>
      </c>
      <c r="B1101">
        <f>1+MIN(150,150*(1-(1-(Inputs!$B$10+((C1090=TRUE)*(F1090-Calc!F22)))/150)*(1-((C1087=TRUE)*F1087*IF(AND(Inputs!$B$4&lt;&gt;"pvp",Inputs!$B$35&gt;0),(((S1087-1)*(Skills!Y19*(1+Inputs!$B$33/100))+MIN((Skills!Y19*(1+Inputs!$B$33/100)),MAX(0,Inputs!$B$35-((S1087-1)*Skills!D19))))/Inputs!$B$35),IF(Inputs!$B$4="pvp",MIN((Skills!Y19*(1+Inputs!$B$33/100)),15)/15,(Skills!Y19*(1+Inputs!$B$33/100))/Skills!D19)))/150)))/100</f>
        <v/>
      </c>
    </row>
    <row r="1102">
      <c r="A1102" t="inlineStr">
        <is>
          <t>Alchemic Adrenaline Uptime</t>
        </is>
      </c>
      <c r="B1102">
        <f>(Skills!Y6*(1+Inputs!$B$33/100))/((Skills!Y6*(1+Inputs!$B$33/100))+(5/B1101))</f>
        <v/>
      </c>
    </row>
    <row r="1103">
      <c r="A1103" t="inlineStr">
        <is>
          <t>Attack Speed Buff Bonus %</t>
        </is>
      </c>
      <c r="B1103">
        <f>((C1087=TRUE)*F1087*IF(AND(Inputs!$B$4&lt;&gt;"pvp",Inputs!$B$35&gt;0),(((S1087-1)*(Skills!Y19*(1+Inputs!$B$33/100))+MIN((Skills!Y19*(1+Inputs!$B$33/100)),MAX(0,Inputs!$B$35-((S1087-1)*Skills!D19))))/Inputs!$B$35),IF(Inputs!$B$4="pvp",MIN((Skills!Y19*(1+Inputs!$B$33/100)),15)/15,(Skills!Y19*(1+Inputs!$B$33/100))/Skills!D19)))+((C1075=TRUE)*F1075*B1102)</f>
        <v/>
      </c>
    </row>
    <row r="1104">
      <c r="A1104" t="inlineStr">
        <is>
          <t>Actions Per Second (final)</t>
        </is>
      </c>
      <c r="B1104">
        <f>1+MIN(150,150*(1-(1-(Inputs!$B$10+((C1090=TRUE)*(F1090-Calc!F22)))/150)*(1-B1103/150)))/100</f>
        <v/>
      </c>
    </row>
    <row r="1105">
      <c r="A1105" t="inlineStr">
        <is>
          <t>Skill + Buff Cast Rate</t>
        </is>
      </c>
      <c r="B1105">
        <f>IF(AND(Inputs!$B$4&lt;&gt;"pvp",Inputs!$B$35&gt;0),SUMPRODUCT((Skills!E2:E31=TRUE)*(C1070:C1099=TRUE)*R1070:R1099*Skills!F2:F31)/Inputs!$B$35,SUMPRODUCT((Skills!E2:E31=TRUE)*(C1070:C1099=TRUE)*Q1070:Q1099*Skills!F2:F31))</f>
        <v/>
      </c>
    </row>
    <row r="1106">
      <c r="A1106" t="inlineStr">
        <is>
          <t>Showdown Casts Per Second</t>
        </is>
      </c>
      <c r="B1106">
        <f>MAX(0,B1104-B1105)</f>
        <v/>
      </c>
    </row>
    <row r="1107">
      <c r="A1107" t="inlineStr">
        <is>
          <t>Average Buff Multiplier</t>
        </is>
      </c>
      <c r="B1107">
        <f>(1+(((C1089=TRUE)*F1089*IF(AND(Inputs!$B$4&lt;&gt;"pvp",Inputs!$B$35&gt;0),(((S1089-1)*(Skills!Y21*(1+Inputs!$B$33/100))+MIN((Skills!Y21*(1+Inputs!$B$33/100)),MAX(0,Inputs!$B$35-((S1089-1)*Skills!D21))))/Inputs!$B$35),IF(Inputs!$B$4="pvp",MIN((Skills!Y21*(1+Inputs!$B$33/100)),15)/15,(Skills!Y21*(1+Inputs!$B$33/100))/Skills!D21)))+((C1096=TRUE)*(F1096-Calc!F28))+((C1086=TRUE)*(F1086-Calc!F18)))/100)*(1+((C1083=TRUE)*F1083*IF(AND(Inputs!$B$4&lt;&gt;"pvp",Inputs!$B$35&gt;0),(((S1083-1)*(Skills!Y15*(1+Inputs!$B$33/100))+MIN((Skills!Y15*(1+Inputs!$B$33/100)),MAX(0,Inputs!$B$35-((S1083-1)*Skills!D15))))/Inputs!$B$35),IF(Inputs!$B$4="pvp",MIN((Skills!Y15*(1+Inputs!$B$33/100)),15)/15,(Skills!Y15*(1+Inputs!$B$33/100))/Skills!D15)))/100)*(1+((C1074=TRUE)*F1074*B1102)/100)</f>
        <v/>
      </c>
    </row>
    <row r="1108">
      <c r="A1108" t="inlineStr">
        <is>
          <t>Global Crit Rate Bonus %</t>
        </is>
      </c>
      <c r="B1108">
        <f>IF(Inputs!$B$3&gt;=47,8,0)+((C1088=TRUE)*F1088*IF(AND(Inputs!$B$4&lt;&gt;"pvp",Inputs!$B$35&gt;0),(((S1088-1)*(Skills!Y20*(1+Inputs!$B$33/100))+MIN((Skills!Y20*(1+Inputs!$B$33/100)),MAX(0,Inputs!$B$35-((S1088-1)*Skills!D20))))/Inputs!$B$35),IF(Inputs!$B$4="pvp",MIN((Skills!Y20*(1+Inputs!$B$33/100)),15)/15,(Skills!Y20*(1+Inputs!$B$33/100))/Skills!D20)))</f>
        <v/>
      </c>
    </row>
    <row r="1109">
      <c r="A1109" t="inlineStr">
        <is>
          <t>Global Monster Damage-Taken Bonus %</t>
        </is>
      </c>
      <c r="B1109">
        <f>IF(Inputs!$B$3&gt;=82,15,0)+((C1084=TRUE)*F1084*IF(AND(Inputs!$B$4&lt;&gt;"pvp",Inputs!$B$35&gt;0),(((S1084-1)*(Skills!Y16*(1+Inputs!$B$33/100))+MIN((Skills!Y16*(1+Inputs!$B$33/100)),MAX(0,Inputs!$B$35-((S1084-1)*Skills!D16))))/Inputs!$B$35),IF(Inputs!$B$4="pvp",MIN((Skills!Y16*(1+Inputs!$B$33/100)),15)/15,(Skills!Y16*(1+Inputs!$B$33/100))/Skills!D16)))</f>
        <v/>
      </c>
    </row>
    <row r="1110">
      <c r="A1110" t="inlineStr">
        <is>
          <t>Shadow Partner Average Multiplier</t>
        </is>
      </c>
      <c r="B1110">
        <f>1+((C1079=TRUE)*F1079*I1079*Skills!J11/100)/100</f>
        <v/>
      </c>
    </row>
    <row r="1111">
      <c r="A1111" t="inlineStr">
        <is>
          <t>Global Critical Damage Bonus % (Frailty Curse Mastery Lv.111)</t>
        </is>
      </c>
      <c r="B1111">
        <f>IF(Inputs!$B$3&gt;=111,30,0)*IF(AND(Inputs!$B$4&lt;&gt;"pvp",Inputs!$B$35&gt;0),(((S1084-1)*(Skills!Y16*(1+Inputs!$B$33/100))+MIN((Skills!Y16*(1+Inputs!$B$33/100)),MAX(0,Inputs!$B$35-((S1084-1)*Skills!D16))))/Inputs!$B$35),IF(Inputs!$B$4="pvp",MIN((Skills!Y16*(1+Inputs!$B$33/100)),15)/15,(Skills!Y16*(1+Inputs!$B$33/100))/Skills!D16))</f>
        <v/>
      </c>
    </row>
    <row r="1112">
      <c r="A1112" s="5" t="inlineStr">
        <is>
          <t>TOTAL DPS</t>
        </is>
      </c>
      <c r="B1112" s="5">
        <f>SUM(O1070:O1099)</f>
        <v/>
      </c>
    </row>
    <row r="1115">
      <c r="A1115" s="5" t="inlineStr">
        <is>
          <t>Stat: Skill Cooldown Decrease (seconds)</t>
        </is>
      </c>
    </row>
    <row r="1116">
      <c r="A1116" s="8" t="inlineStr">
        <is>
          <t>Key</t>
        </is>
      </c>
      <c r="B1116" s="8" t="inlineStr">
        <is>
          <t>Name</t>
        </is>
      </c>
      <c r="C1116" s="8" t="inlineStr">
        <is>
          <t>Unlocked</t>
        </is>
      </c>
      <c r="D1116" s="8" t="inlineStr">
        <is>
          <t>InputLevel</t>
        </is>
      </c>
      <c r="E1116" s="8" t="inlineStr">
        <is>
          <t>Factor</t>
        </is>
      </c>
      <c r="F1116" s="8" t="inlineStr">
        <is>
          <t>CoefficientPercent</t>
        </is>
      </c>
      <c r="G1116" s="8" t="inlineStr">
        <is>
          <t>EffectiveHits</t>
        </is>
      </c>
      <c r="H1116" s="8" t="inlineStr">
        <is>
          <t>ProcProbability</t>
        </is>
      </c>
      <c r="I1116" s="8" t="inlineStr">
        <is>
          <t>MapleHeroMultiplier</t>
        </is>
      </c>
      <c r="J1116" s="8" t="inlineStr">
        <is>
          <t>BaseDamage</t>
        </is>
      </c>
      <c r="K1116" s="8" t="inlineStr">
        <is>
          <t>BaseHitDamage</t>
        </is>
      </c>
      <c r="L1116" s="8" t="inlineStr">
        <is>
          <t>NonCritAvg</t>
        </is>
      </c>
      <c r="M1116" s="8" t="inlineStr">
        <is>
          <t>CritAvg</t>
        </is>
      </c>
      <c r="N1116" s="8" t="inlineStr">
        <is>
          <t>ExpectedDamage(perHit)</t>
        </is>
      </c>
      <c r="O1116" s="8" t="inlineStr">
        <is>
          <t>DPS</t>
        </is>
      </c>
      <c r="P1116" s="8" t="inlineStr">
        <is>
          <t>% of Total</t>
        </is>
      </c>
      <c r="Q1116" s="8" t="inlineStr">
        <is>
          <t>InvCooldown</t>
        </is>
      </c>
      <c r="R1116" s="8" t="inlineStr">
        <is>
          <t>CastsInFight</t>
        </is>
      </c>
      <c r="S1116" s="8" t="inlineStr">
        <is>
          <t>HitRate(perSec)</t>
        </is>
      </c>
      <c r="U1116" t="inlineStr">
        <is>
          <t>helpers</t>
        </is>
      </c>
    </row>
    <row r="1117">
      <c r="A1117">
        <f>Skills!A2</f>
        <v/>
      </c>
      <c r="B1117">
        <f>Skills!B2</f>
        <v/>
      </c>
      <c r="C1117">
        <f>Inputs!$B$3&gt;=100</f>
        <v/>
      </c>
      <c r="D1117" t="inlineStr"/>
      <c r="E1117" t="inlineStr"/>
      <c r="F1117">
        <f>U1121+Skills!O2</f>
        <v/>
      </c>
      <c r="G1117">
        <f>Calc!G2</f>
        <v/>
      </c>
      <c r="H1117">
        <f>Calc!H2</f>
        <v/>
      </c>
      <c r="I1117">
        <f>IF(Skills!AA2&lt;&gt;"",1+(Skills!AA2/10)*(U1118/1000)/100,1)</f>
        <v/>
      </c>
      <c r="J1117">
        <f>(Inputs!$B$5*(1+Inputs!$B$6/100))*(F1117/100)</f>
        <v/>
      </c>
      <c r="K1117">
        <f>J1117*(1+((Inputs!$B$11*(1+Inputs!$B$12/100))*0.01+Inputs!$B$13*0.0025)/100)*(1+Inputs!$B$14/100)*(1+IF(Inputs!$B$4="pvp",0,(1-Summary!$B$55)*(Inputs!$B$19+((C1142=TRUE)*(F1142-Calc!F27))+Skills!P2+B1156)+Summary!$B$55*(Inputs!$B$20+Skills!Q2+B1156))/100)*(1+Inputs!$B$15/100)*(5000/(6000+Inputs!$B$7*(1-Inputs!$B$18/100)))*(1+(Inputs!$B$23+((C1145=TRUE)*(F1145-Calc!F30)))/100)*(1+Skills!R2/100)*(1+(IF(Skills!A2="SHOWDOWN",Inputs!$B$16+((C1138=TRUE)*(F1138-Calc!F23)),Inputs!$B$17+((C1144=TRUE)*(F1144-Calc!F29))))/100)*(((1+(((C1136=TRUE)*F1136*IF(AND(Inputs!$B$4&lt;&gt;"pvp",Inputs!$B$35&gt;0),(((S1136-1)*(Skills!Y21*(1+Inputs!$B$33/100))+MIN((Skills!Y21*(1+Inputs!$B$33/100)),MAX(0,Inputs!$B$35-((S1136-1)*Skills!D21))))/Inputs!$B$35),IF(Inputs!$B$4="pvp",MIN((Skills!Y21*(1+Inputs!$B$33/100)),15)/15,(Skills!Y21*(1+Inputs!$B$33/100))/Skills!D21)))+((C1143=TRUE)*(F1143-Calc!F28))+((C1133=TRUE)*(F1133-Calc!F18)))/100)*(1+((C1130=TRUE)*F1130*IF(AND(Inputs!$B$4&lt;&gt;"pvp",Inputs!$B$35&gt;0),(((S1130-1)*(Skills!Y15*(1+Inputs!$B$33/100))+MIN((Skills!Y15*(1+Inputs!$B$33/100)),MAX(0,Inputs!$B$35-((S1130-1)*Skills!D15))))/Inputs!$B$35),IF(Inputs!$B$4="pvp",MIN((Skills!Y15*(1+Inputs!$B$33/100)),15)/15,(Skills!Y15*(1+Inputs!$B$33/100))/Skills!D15)))/100)*(1+((C1121=TRUE)*F1121*B1149)/100))*B1157*I1117)</f>
        <v/>
      </c>
      <c r="L1117">
        <f>K1117*(MIN(Inputs!$B$21+((C1139=TRUE)*(F1139-Calc!F24)),Inputs!$B$22)/100+Inputs!$B$22/100)/2</f>
        <v/>
      </c>
      <c r="M1117">
        <f>L1117*(1+(Inputs!$B$9+((C1141=TRUE)*(F1141-Calc!F26))+B1158)/100)</f>
        <v/>
      </c>
      <c r="N1117">
        <f>L1117*(1-MIN((Inputs!$B$8+((C1140=TRUE)*(F1140-Calc!F25))+B1155),100)/100)+M1117*(MIN((Inputs!$B$8+((C1140=TRUE)*(F1140-Calc!F25))+B1155),100)/100)</f>
        <v/>
      </c>
      <c r="O1117">
        <f>IF(C1117,Skills!G2*N1117*B1153*IF(Inputs!$B$4="pvp",1,(1-Summary!$B$55)*(1)+Summary!$B$55*(MIN((6+Inputs!$B$32),Inputs!$B$37))),0)</f>
        <v/>
      </c>
      <c r="P1117">
        <f>IF(B1159=0,0,O1117/B1159)</f>
        <v/>
      </c>
      <c r="Q1117" t="n">
        <v>0</v>
      </c>
      <c r="R1117" t="n">
        <v>0</v>
      </c>
      <c r="S1117">
        <f>IFERROR(O1117/N1117,0)</f>
        <v/>
      </c>
      <c r="U1117">
        <f>MAX(0,(Inputs!$B$3-100)*3)+Inputs!$B$27+Inputs!$B$28</f>
        <v/>
      </c>
    </row>
    <row r="1118">
      <c r="A1118">
        <f>Skills!A3</f>
        <v/>
      </c>
      <c r="B1118">
        <f>Skills!B3</f>
        <v/>
      </c>
      <c r="C1118">
        <f>Inputs!$B$3&gt;=35</f>
        <v/>
      </c>
      <c r="D1118">
        <f>IF(Skills!C3=1,60+Inputs!$B$24+Inputs!$B$28,IF(Skills!C3=2,90+Inputs!$B$25+Inputs!$B$28,IF(Skills!C3=3,120+Inputs!$B$26+Inputs!$B$28,MAX(0,(Inputs!$B$3-100)*3)+Inputs!$B$27+Inputs!$B$28)))</f>
        <v/>
      </c>
      <c r="E1118">
        <f>INDEX(FactorTable!$B$2:$Y$301, MATCH(ROUND(MIN(300,MAX(1,D1118)),0), FactorTable!$A$2:$A$301,0), Skills!M3+1)</f>
        <v/>
      </c>
      <c r="F1118">
        <f>IF(Skills!N3=TRUE,(Skills!L3/10)*(E1118/1000),Skills!L3/10)+Skills!O3</f>
        <v/>
      </c>
      <c r="G1118">
        <f>Calc!G3</f>
        <v/>
      </c>
      <c r="H1118">
        <f>Calc!H3</f>
        <v/>
      </c>
      <c r="I1118">
        <f>IF(Skills!AA3&lt;&gt;"",1+(Skills!AA3/10)*(U1118/1000)/100,1)</f>
        <v/>
      </c>
      <c r="J1118">
        <f>(Inputs!$B$5*(1+Inputs!$B$6/100))*(F1118/100)</f>
        <v/>
      </c>
      <c r="K1118">
        <f>J1118*(1+((Inputs!$B$11*(1+Inputs!$B$12/100))*0.01+Inputs!$B$13*0.0025)/100)*(1+Inputs!$B$14/100)*(1+IF(Inputs!$B$4="pvp",0,(1-Summary!$B$55)*(Inputs!$B$19+((C1142=TRUE)*(F1142-Calc!F27))+Skills!P3+B1156)+Summary!$B$55*(Inputs!$B$20+Skills!Q3+B1156))/100)*(1+Inputs!$B$15/100)*(5000/(6000+Inputs!$B$7*(1-Inputs!$B$18/100)))*(1+(Inputs!$B$23+((C1145=TRUE)*(F1145-Calc!F30)))/100)*(1+Skills!R3/100)*(1+(IF(Skills!A3="SHOWDOWN",Inputs!$B$16+((C1138=TRUE)*(F1138-Calc!F23)),Inputs!$B$17+((C1144=TRUE)*(F1144-Calc!F29))))/100)*(((1+(((C1136=TRUE)*F1136*IF(AND(Inputs!$B$4&lt;&gt;"pvp",Inputs!$B$35&gt;0),(((S1136-1)*(Skills!Y21*(1+Inputs!$B$33/100))+MIN((Skills!Y21*(1+Inputs!$B$33/100)),MAX(0,Inputs!$B$35-((S1136-1)*Skills!D21))))/Inputs!$B$35),IF(Inputs!$B$4="pvp",MIN((Skills!Y21*(1+Inputs!$B$33/100)),15)/15,(Skills!Y21*(1+Inputs!$B$33/100))/Skills!D21)))+((C1143=TRUE)*(F1143-Calc!F28))+((C1133=TRUE)*(F1133-Calc!F18)))/100)*(1+((C1130=TRUE)*F1130*IF(AND(Inputs!$B$4&lt;&gt;"pvp",Inputs!$B$35&gt;0),(((S1130-1)*(Skills!Y15*(1+Inputs!$B$33/100))+MIN((Skills!Y15*(1+Inputs!$B$33/100)),MAX(0,Inputs!$B$35-((S1130-1)*Skills!D15))))/Inputs!$B$35),IF(Inputs!$B$4="pvp",MIN((Skills!Y15*(1+Inputs!$B$33/100)),15)/15,(Skills!Y15*(1+Inputs!$B$33/100))/Skills!D15)))/100)*(1+((C1121=TRUE)*F1121*B1149)/100))*B1157*I1118)</f>
        <v/>
      </c>
      <c r="L1118">
        <f>K1118*(MIN(Inputs!$B$21+((C1139=TRUE)*(F1139-Calc!F24)),Inputs!$B$22)/100+Inputs!$B$22/100)/2</f>
        <v/>
      </c>
      <c r="M1118">
        <f>L1118*(1+(Inputs!$B$9+((C1141=TRUE)*(F1141-Calc!F26))+B1158)/100)</f>
        <v/>
      </c>
      <c r="N1118">
        <f>L1118*(1-MIN((Inputs!$B$8+((C1140=TRUE)*(F1140-Calc!F25))+B1155),100)/100)+M1118*(MIN((Inputs!$B$8+((C1140=TRUE)*(F1140-Calc!F25))+B1155),100)/100)</f>
        <v/>
      </c>
      <c r="O1118">
        <f>IF(C1118,H1118*N1118*IF(AND(Inputs!$B$4&lt;&gt;"pvp",Inputs!$B$35&gt;0),((Skills!G3*((R1118-1)*IF(Skills!H3&gt;0,Skills!I3/Skills!H3,1)+IF(Skills!H3&gt;0,MIN(Skills!I3,MAX(0,Inputs!$B$35-((R1118-1)*IF(Inputs!$B$4="pvp",15,MAX(0.1,Skills!D3-IF(Skills!E3=TRUE,(Inputs!$B$31+1),0))))))/Skills!H3,1)))/Inputs!$B$35),G1118*Q1118)*IF(Inputs!$B$4="pvp",1,(1-Summary!$B$55)*(1)+Summary!$B$55*(MIN(Skills!W3,Inputs!$B$37))),0)</f>
        <v/>
      </c>
      <c r="P1118">
        <f>IF(B1159=0,0,O1118/B1159)</f>
        <v/>
      </c>
      <c r="Q1118">
        <f>IFERROR(1/IF(Inputs!$B$4="pvp",15,MAX(0.1,Skills!D3-IF(Skills!E3=TRUE,(Inputs!$B$31+1),0))),0)</f>
        <v/>
      </c>
      <c r="R1118">
        <f>IF(AND(Inputs!$B$4&lt;&gt;"pvp",Inputs!$B$35&gt;0),(INT(Inputs!$B$35/IF(Inputs!$B$4="pvp",15,MAX(0.1,Skills!D3-IF(Skills!E3=TRUE,(Inputs!$B$31+1),0))))+1),0)</f>
        <v/>
      </c>
      <c r="S1118">
        <f>IFERROR(O1118/N1118,0)</f>
        <v/>
      </c>
      <c r="U1118">
        <f>INDEX(FactorTable!$B$2:$Y$301, MATCH(ROUND(MIN(300,MAX(1,U1117)),0), FactorTable!$A$2:$A$301,0), 24)</f>
        <v/>
      </c>
    </row>
    <row r="1119">
      <c r="A1119">
        <f>Skills!A4</f>
        <v/>
      </c>
      <c r="B1119">
        <f>Skills!B4</f>
        <v/>
      </c>
      <c r="C1119">
        <f>Inputs!$B$3&gt;=40</f>
        <v/>
      </c>
      <c r="D1119">
        <f>IF(Skills!C4=1,60+Inputs!$B$24+Inputs!$B$28,IF(Skills!C4=2,90+Inputs!$B$25+Inputs!$B$28,IF(Skills!C4=3,120+Inputs!$B$26+Inputs!$B$28,MAX(0,(Inputs!$B$3-100)*3)+Inputs!$B$27+Inputs!$B$28)))</f>
        <v/>
      </c>
      <c r="E1119">
        <f>INDEX(FactorTable!$B$2:$Y$301, MATCH(ROUND(MIN(300,MAX(1,D1119)),0), FactorTable!$A$2:$A$301,0), Skills!M4+1)</f>
        <v/>
      </c>
      <c r="F1119">
        <f>IF(Skills!N4=TRUE,(Skills!L4/10)*(E1119/1000),Skills!L4/10)+Skills!O4</f>
        <v/>
      </c>
      <c r="G1119">
        <f>Calc!G4</f>
        <v/>
      </c>
      <c r="H1119">
        <f>Calc!H4</f>
        <v/>
      </c>
      <c r="I1119">
        <f>IF(Skills!AA4&lt;&gt;"",1+(Skills!AA4/10)*(U1118/1000)/100,1)</f>
        <v/>
      </c>
      <c r="J1119">
        <f>(Inputs!$B$5*(1+Inputs!$B$6/100))*(F1119/100)</f>
        <v/>
      </c>
      <c r="K1119">
        <f>J1119*(1+((Inputs!$B$11*(1+Inputs!$B$12/100))*0.01+Inputs!$B$13*0.0025)/100)*(1+Inputs!$B$14/100)*(1+IF(Inputs!$B$4="pvp",0,(1-Summary!$B$55)*(Inputs!$B$19+((C1142=TRUE)*(F1142-Calc!F27))+Skills!P4+B1156)+Summary!$B$55*(Inputs!$B$20+Skills!Q4+B1156))/100)*(1+Inputs!$B$15/100)*(5000/(6000+Inputs!$B$7*(1-Inputs!$B$18/100)))*(1+(Inputs!$B$23+((C1145=TRUE)*(F1145-Calc!F30)))/100)*(1+Skills!R4/100)*(1+(IF(Skills!A4="SHOWDOWN",Inputs!$B$16+((C1138=TRUE)*(F1138-Calc!F23)),Inputs!$B$17+((C1144=TRUE)*(F1144-Calc!F29))))/100)*(((1+(((C1136=TRUE)*F1136*IF(AND(Inputs!$B$4&lt;&gt;"pvp",Inputs!$B$35&gt;0),(((S1136-1)*(Skills!Y21*(1+Inputs!$B$33/100))+MIN((Skills!Y21*(1+Inputs!$B$33/100)),MAX(0,Inputs!$B$35-((S1136-1)*Skills!D21))))/Inputs!$B$35),IF(Inputs!$B$4="pvp",MIN((Skills!Y21*(1+Inputs!$B$33/100)),15)/15,(Skills!Y21*(1+Inputs!$B$33/100))/Skills!D21)))+((C1143=TRUE)*(F1143-Calc!F28))+((C1133=TRUE)*(F1133-Calc!F18)))/100)*(1+((C1130=TRUE)*F1130*IF(AND(Inputs!$B$4&lt;&gt;"pvp",Inputs!$B$35&gt;0),(((S1130-1)*(Skills!Y15*(1+Inputs!$B$33/100))+MIN((Skills!Y15*(1+Inputs!$B$33/100)),MAX(0,Inputs!$B$35-((S1130-1)*Skills!D15))))/Inputs!$B$35),IF(Inputs!$B$4="pvp",MIN((Skills!Y15*(1+Inputs!$B$33/100)),15)/15,(Skills!Y15*(1+Inputs!$B$33/100))/Skills!D15)))/100)*(1+((C1121=TRUE)*F1121*B1149)/100))*B1157*I1119)</f>
        <v/>
      </c>
      <c r="L1119">
        <f>K1119*(MIN(Inputs!$B$21+((C1139=TRUE)*(F1139-Calc!F24)),Inputs!$B$22)/100+Inputs!$B$22/100)/2</f>
        <v/>
      </c>
      <c r="M1119">
        <f>L1119*(1+(Inputs!$B$9+((C1141=TRUE)*(F1141-Calc!F26))+B1158)/100)</f>
        <v/>
      </c>
      <c r="N1119">
        <f>L1119*(1-MIN((Inputs!$B$8+((C1140=TRUE)*(F1140-Calc!F25))+B1155),100)/100)+M1119*(MIN((Inputs!$B$8+((C1140=TRUE)*(F1140-Calc!F25))+B1155),100)/100)</f>
        <v/>
      </c>
      <c r="O1119">
        <f>IF(C1119,H1119*N1119*IF(AND(Inputs!$B$4&lt;&gt;"pvp",Inputs!$B$35&gt;0),((Skills!G4*((R1119-1)*IF(Skills!H4&gt;0,Skills!I4/Skills!H4,1)+IF(Skills!H4&gt;0,MIN(Skills!I4,MAX(0,Inputs!$B$35-((R1119-1)*IF(Inputs!$B$4="pvp",15,MAX(0.1,Skills!D4-IF(Skills!E4=TRUE,(Inputs!$B$31+1),0))))))/Skills!H4,1)))/Inputs!$B$35),G1119*Q1119)*IF(Inputs!$B$4="pvp",1,(1-Summary!$B$55)*(1)+Summary!$B$55*(MIN(Skills!W4,Inputs!$B$37))),0)</f>
        <v/>
      </c>
      <c r="P1119">
        <f>IF(B1159=0,0,O1119/B1159)</f>
        <v/>
      </c>
      <c r="Q1119">
        <f>IFERROR(1/IF(Inputs!$B$4="pvp",15,MAX(0.1,Skills!D4-IF(Skills!E4=TRUE,(Inputs!$B$31+1),0))),0)</f>
        <v/>
      </c>
      <c r="R1119">
        <f>IF(AND(Inputs!$B$4&lt;&gt;"pvp",Inputs!$B$35&gt;0),(INT(Inputs!$B$35/IF(Inputs!$B$4="pvp",15,MAX(0.1,Skills!D4-IF(Skills!E4=TRUE,(Inputs!$B$31+1),0))))+1),0)</f>
        <v/>
      </c>
      <c r="S1119">
        <f>IFERROR(O1119/N1119,0)</f>
        <v/>
      </c>
      <c r="U1119">
        <f>MAX(0,(Inputs!$B$3-100)*3)+Inputs!$B$27+Inputs!$B$28</f>
        <v/>
      </c>
    </row>
    <row r="1120">
      <c r="A1120">
        <f>Skills!A5</f>
        <v/>
      </c>
      <c r="B1120">
        <f>Skills!B5</f>
        <v/>
      </c>
      <c r="C1120">
        <f>Inputs!$B$3&gt;=63</f>
        <v/>
      </c>
      <c r="D1120">
        <f>IF(Skills!C5=1,60+Inputs!$B$24+Inputs!$B$28,IF(Skills!C5=2,90+Inputs!$B$25+Inputs!$B$28,IF(Skills!C5=3,120+Inputs!$B$26+Inputs!$B$28,MAX(0,(Inputs!$B$3-100)*3)+Inputs!$B$27+Inputs!$B$28)))</f>
        <v/>
      </c>
      <c r="E1120">
        <f>INDEX(FactorTable!$B$2:$Y$301, MATCH(ROUND(MIN(300,MAX(1,D1120)),0), FactorTable!$A$2:$A$301,0), Skills!M5+1)</f>
        <v/>
      </c>
      <c r="F1120">
        <f>IF(Skills!N5=TRUE,(Skills!L5/10)*(E1120/1000),Skills!L5/10)+Skills!O5</f>
        <v/>
      </c>
      <c r="G1120">
        <f>Calc!G5</f>
        <v/>
      </c>
      <c r="H1120">
        <f>Calc!H5</f>
        <v/>
      </c>
      <c r="I1120">
        <f>IF(Skills!AA5&lt;&gt;"",1+(Skills!AA5/10)*(U1118/1000)/100,1)</f>
        <v/>
      </c>
      <c r="J1120">
        <f>(Inputs!$B$5*(1+Inputs!$B$6/100))*(F1120/100)</f>
        <v/>
      </c>
      <c r="K1120">
        <f>J1120*(1+((Inputs!$B$11*(1+Inputs!$B$12/100))*0.01+Inputs!$B$13*0.0025)/100)*(1+Inputs!$B$14/100)*(1+IF(Inputs!$B$4="pvp",0,(1-Summary!$B$55)*(Inputs!$B$19+((C1142=TRUE)*(F1142-Calc!F27))+Skills!P5+B1156)+Summary!$B$55*(Inputs!$B$20+Skills!Q5+B1156))/100)*(1+Inputs!$B$15/100)*(5000/(6000+Inputs!$B$7*(1-Inputs!$B$18/100)))*(1+(Inputs!$B$23+((C1145=TRUE)*(F1145-Calc!F30)))/100)*(1+Skills!R5/100)*(1+(IF(Skills!A5="SHOWDOWN",Inputs!$B$16+((C1138=TRUE)*(F1138-Calc!F23)),Inputs!$B$17+((C1144=TRUE)*(F1144-Calc!F29))))/100)*(((1+(((C1136=TRUE)*F1136*IF(AND(Inputs!$B$4&lt;&gt;"pvp",Inputs!$B$35&gt;0),(((S1136-1)*(Skills!Y21*(1+Inputs!$B$33/100))+MIN((Skills!Y21*(1+Inputs!$B$33/100)),MAX(0,Inputs!$B$35-((S1136-1)*Skills!D21))))/Inputs!$B$35),IF(Inputs!$B$4="pvp",MIN((Skills!Y21*(1+Inputs!$B$33/100)),15)/15,(Skills!Y21*(1+Inputs!$B$33/100))/Skills!D21)))+((C1143=TRUE)*(F1143-Calc!F28))+((C1133=TRUE)*(F1133-Calc!F18)))/100)*(1+((C1130=TRUE)*F1130*IF(AND(Inputs!$B$4&lt;&gt;"pvp",Inputs!$B$35&gt;0),(((S1130-1)*(Skills!Y15*(1+Inputs!$B$33/100))+MIN((Skills!Y15*(1+Inputs!$B$33/100)),MAX(0,Inputs!$B$35-((S1130-1)*Skills!D15))))/Inputs!$B$35),IF(Inputs!$B$4="pvp",MIN((Skills!Y15*(1+Inputs!$B$33/100)),15)/15,(Skills!Y15*(1+Inputs!$B$33/100))/Skills!D15)))/100)*(1+((C1121=TRUE)*F1121*B1149)/100))*B1157*I1120)</f>
        <v/>
      </c>
      <c r="L1120">
        <f>K1120*(MIN(Inputs!$B$21+((C1139=TRUE)*(F1139-Calc!F24)),Inputs!$B$22)/100+Inputs!$B$22/100)/2</f>
        <v/>
      </c>
      <c r="M1120">
        <f>L1120*(1+(Inputs!$B$9+((C1141=TRUE)*(F1141-Calc!F26))+B1158)/100)</f>
        <v/>
      </c>
      <c r="N1120">
        <f>L1120*(1-MIN((Inputs!$B$8+((C1140=TRUE)*(F1140-Calc!F25))+B1155),100)/100)+M1120*(MIN((Inputs!$B$8+((C1140=TRUE)*(F1140-Calc!F25))+B1155),100)/100)</f>
        <v/>
      </c>
      <c r="O1120">
        <f>IF(C1120,H1120*N1120*IF(AND(Inputs!$B$4&lt;&gt;"pvp",Inputs!$B$35&gt;0),((Skills!G5*((R1120-1)*IF(Skills!H5&gt;0,Skills!I5/Skills!H5,1)+IF(Skills!H5&gt;0,MIN(Skills!I5,MAX(0,Inputs!$B$35-((R1120-1)*IF(Inputs!$B$4="pvp",15,MAX(0.1,Skills!D5-IF(Skills!E5=TRUE,(Inputs!$B$31+1),0))))))/Skills!H5,1)))/Inputs!$B$35),G1120*Q1120)*IF(Inputs!$B$4="pvp",1,(1-Summary!$B$55)*(1)+Summary!$B$55*(MIN(Skills!W5,Inputs!$B$37))),0)</f>
        <v/>
      </c>
      <c r="P1120">
        <f>IF(B1159=0,0,O1120/B1159)</f>
        <v/>
      </c>
      <c r="Q1120">
        <f>IFERROR(1/IF(Inputs!$B$4="pvp",15,MAX(0.1,Skills!D5-IF(Skills!E5=TRUE,(Inputs!$B$31+1),0))),0)</f>
        <v/>
      </c>
      <c r="R1120">
        <f>IF(AND(Inputs!$B$4&lt;&gt;"pvp",Inputs!$B$35&gt;0),(INT(Inputs!$B$35/IF(Inputs!$B$4="pvp",15,MAX(0.1,Skills!D5-IF(Skills!E5=TRUE,(Inputs!$B$31+1),0))))+1),0)</f>
        <v/>
      </c>
      <c r="S1120">
        <f>IFERROR(O1120/N1120,0)</f>
        <v/>
      </c>
      <c r="U1120">
        <f>INDEX(FactorTable!$B$2:$Y$301, MATCH(ROUND(MIN(300,MAX(1,U1119)),0), FactorTable!$A$2:$A$301,0), 22)</f>
        <v/>
      </c>
    </row>
    <row r="1121">
      <c r="A1121">
        <f>Skills!A6</f>
        <v/>
      </c>
      <c r="B1121">
        <f>Skills!B6</f>
        <v/>
      </c>
      <c r="C1121">
        <f>Inputs!$B$3&gt;=66</f>
        <v/>
      </c>
      <c r="D1121">
        <f>IF(Skills!C6=1,60+Inputs!$B$24+Inputs!$B$28,IF(Skills!C6=2,90+Inputs!$B$25+Inputs!$B$28,IF(Skills!C6=3,120+Inputs!$B$26+Inputs!$B$28,MAX(0,(Inputs!$B$3-100)*3)+Inputs!$B$27+Inputs!$B$28)))</f>
        <v/>
      </c>
      <c r="E1121">
        <f>INDEX(FactorTable!$B$2:$Y$301, MATCH(ROUND(MIN(300,MAX(1,D1121)),0), FactorTable!$A$2:$A$301,0), Skills!M6+1)</f>
        <v/>
      </c>
      <c r="F1121">
        <f>IF(Skills!N6=TRUE,(Skills!L6/10)*(E1121/1000),Skills!L6/10)+Skills!O6</f>
        <v/>
      </c>
      <c r="G1121">
        <f>Calc!G6</f>
        <v/>
      </c>
      <c r="H1121">
        <f>Calc!H6</f>
        <v/>
      </c>
      <c r="I1121">
        <f>IF(Skills!AA6&lt;&gt;"",1+(Skills!AA6/10)*(U1118/1000)/100,1)</f>
        <v/>
      </c>
      <c r="J1121" t="inlineStr"/>
      <c r="K1121" t="inlineStr"/>
      <c r="L1121" t="inlineStr"/>
      <c r="M1121" t="inlineStr"/>
      <c r="N1121" t="inlineStr"/>
      <c r="O1121" t="n">
        <v>0</v>
      </c>
      <c r="P1121">
        <f>IF(B1159=0,0,O1121/B1159)</f>
        <v/>
      </c>
      <c r="Q1121" t="n">
        <v>0</v>
      </c>
      <c r="R1121" t="n">
        <v>0</v>
      </c>
      <c r="S1121">
        <f>IFERROR(O1121/N1121,0)</f>
        <v/>
      </c>
      <c r="U1121">
        <f>290*U1120/1000</f>
        <v/>
      </c>
    </row>
    <row r="1122">
      <c r="A1122">
        <f>Skills!A7</f>
        <v/>
      </c>
      <c r="B1122">
        <f>Skills!B7</f>
        <v/>
      </c>
      <c r="C1122">
        <f>Inputs!$B$3&gt;=66</f>
        <v/>
      </c>
      <c r="D1122">
        <f>IF(Skills!C7=1,60+Inputs!$B$24+Inputs!$B$28,IF(Skills!C7=2,90+Inputs!$B$25+Inputs!$B$28,IF(Skills!C7=3,120+Inputs!$B$26+Inputs!$B$28,MAX(0,(Inputs!$B$3-100)*3)+Inputs!$B$27+Inputs!$B$28)))</f>
        <v/>
      </c>
      <c r="E1122">
        <f>INDEX(FactorTable!$B$2:$Y$301, MATCH(ROUND(MIN(300,MAX(1,D1122)),0), FactorTable!$A$2:$A$301,0), Skills!M7+1)</f>
        <v/>
      </c>
      <c r="F1122">
        <f>IF(Skills!N7=TRUE,(Skills!L7/10)*(E1122/1000),Skills!L7/10)+Skills!O7</f>
        <v/>
      </c>
      <c r="G1122">
        <f>Calc!G7</f>
        <v/>
      </c>
      <c r="H1122">
        <f>Calc!H7</f>
        <v/>
      </c>
      <c r="I1122">
        <f>IF(Skills!AA7&lt;&gt;"",1+(Skills!AA7/10)*(U1118/1000)/100,1)</f>
        <v/>
      </c>
      <c r="J1122" t="inlineStr"/>
      <c r="K1122" t="inlineStr"/>
      <c r="L1122" t="inlineStr"/>
      <c r="M1122" t="inlineStr"/>
      <c r="N1122" t="inlineStr"/>
      <c r="O1122" t="n">
        <v>0</v>
      </c>
      <c r="P1122">
        <f>IF(B1159=0,0,O1122/B1159)</f>
        <v/>
      </c>
      <c r="Q1122" t="n">
        <v>0</v>
      </c>
      <c r="R1122" t="n">
        <v>0</v>
      </c>
      <c r="S1122">
        <f>IFERROR(O1122/N1122,0)</f>
        <v/>
      </c>
    </row>
    <row r="1123">
      <c r="A1123">
        <f>Skills!A8</f>
        <v/>
      </c>
      <c r="B1123">
        <f>Skills!B8</f>
        <v/>
      </c>
      <c r="C1123">
        <f>Inputs!$B$3&gt;=69</f>
        <v/>
      </c>
      <c r="D1123">
        <f>IF(Skills!C8=1,60+Inputs!$B$24+Inputs!$B$28,IF(Skills!C8=2,90+Inputs!$B$25+Inputs!$B$28,IF(Skills!C8=3,120+Inputs!$B$26+Inputs!$B$28,MAX(0,(Inputs!$B$3-100)*3)+Inputs!$B$27+Inputs!$B$28)))</f>
        <v/>
      </c>
      <c r="E1123">
        <f>INDEX(FactorTable!$B$2:$Y$301, MATCH(ROUND(MIN(300,MAX(1,D1123)),0), FactorTable!$A$2:$A$301,0), Skills!M8+1)</f>
        <v/>
      </c>
      <c r="F1123">
        <f>IF(Skills!N8=TRUE,(Skills!L8/10)*(E1123/1000),Skills!L8/10)+Skills!O8</f>
        <v/>
      </c>
      <c r="G1123">
        <f>Calc!G8</f>
        <v/>
      </c>
      <c r="H1123">
        <f>Calc!H8</f>
        <v/>
      </c>
      <c r="I1123">
        <f>IF(Skills!AA8&lt;&gt;"",1+(Skills!AA8/10)*(U1118/1000)/100,1)</f>
        <v/>
      </c>
      <c r="J1123">
        <f>(Inputs!$B$5*(1+Inputs!$B$6/100))*(F1123/100)</f>
        <v/>
      </c>
      <c r="K1123">
        <f>J1123*(1+((Inputs!$B$11*(1+Inputs!$B$12/100))*0.01+Inputs!$B$13*0.0025)/100)*(1+Inputs!$B$14/100)*(1+IF(Inputs!$B$4="pvp",0,(1-Summary!$B$55)*(Inputs!$B$19+((C1142=TRUE)*(F1142-Calc!F27))+Skills!P8+B1156)+Summary!$B$55*(Inputs!$B$20+Skills!Q8+B1156))/100)*(1+Inputs!$B$15/100)*(5000/(6000+Inputs!$B$7*(1-Inputs!$B$18/100)))*(1+(Inputs!$B$23+((C1145=TRUE)*(F1145-Calc!F30)))/100)*(1+Skills!R8/100)*(1+(IF(Skills!A8="SHOWDOWN",Inputs!$B$16+((C1138=TRUE)*(F1138-Calc!F23)),Inputs!$B$17+((C1144=TRUE)*(F1144-Calc!F29))))/100)*(((1+(((C1136=TRUE)*F1136*IF(AND(Inputs!$B$4&lt;&gt;"pvp",Inputs!$B$35&gt;0),(((S1136-1)*(Skills!Y21*(1+Inputs!$B$33/100))+MIN((Skills!Y21*(1+Inputs!$B$33/100)),MAX(0,Inputs!$B$35-((S1136-1)*Skills!D21))))/Inputs!$B$35),IF(Inputs!$B$4="pvp",MIN((Skills!Y21*(1+Inputs!$B$33/100)),15)/15,(Skills!Y21*(1+Inputs!$B$33/100))/Skills!D21)))+((C1143=TRUE)*(F1143-Calc!F28))+((C1133=TRUE)*(F1133-Calc!F18)))/100)*(1+((C1130=TRUE)*F1130*IF(AND(Inputs!$B$4&lt;&gt;"pvp",Inputs!$B$35&gt;0),(((S1130-1)*(Skills!Y15*(1+Inputs!$B$33/100))+MIN((Skills!Y15*(1+Inputs!$B$33/100)),MAX(0,Inputs!$B$35-((S1130-1)*Skills!D15))))/Inputs!$B$35),IF(Inputs!$B$4="pvp",MIN((Skills!Y15*(1+Inputs!$B$33/100)),15)/15,(Skills!Y15*(1+Inputs!$B$33/100))/Skills!D15)))/100)*(1+((C1121=TRUE)*F1121*B1149)/100))*B1157*I1123)</f>
        <v/>
      </c>
      <c r="L1123">
        <f>K1123*(MIN(Inputs!$B$21+((C1139=TRUE)*(F1139-Calc!F24)),Inputs!$B$22)/100+Inputs!$B$22/100)/2</f>
        <v/>
      </c>
      <c r="M1123">
        <f>L1123*(1+(Inputs!$B$9+((C1141=TRUE)*(F1141-Calc!F26))+B1158)/100)</f>
        <v/>
      </c>
      <c r="N1123">
        <f>L1123*(1-MIN((Inputs!$B$8+((C1140=TRUE)*(F1140-Calc!F25))+B1155),100)/100)+M1123*(MIN((Inputs!$B$8+((C1140=TRUE)*(F1140-Calc!F25))+B1155),100)/100)</f>
        <v/>
      </c>
      <c r="O1123">
        <f>IF(C1123,H1123*N1123*IF(AND(Inputs!$B$4&lt;&gt;"pvp",Inputs!$B$35&gt;0),((Skills!G8*((R1123-1)*IF(Skills!H8&gt;0,Skills!I8/Skills!H8,1)+IF(Skills!H8&gt;0,MIN(Skills!I8,MAX(0,Inputs!$B$35-((R1123-1)*IF(Inputs!$B$4="pvp",15,MAX(0.1,Skills!D8-IF(Skills!E8=TRUE,(Inputs!$B$31+1),0))))))/Skills!H8,1)))/Inputs!$B$35),G1123*Q1123)*IF(Inputs!$B$4="pvp",1,(1-Summary!$B$55)*(1)+Summary!$B$55*(MIN(Skills!W8,Inputs!$B$37))),0)</f>
        <v/>
      </c>
      <c r="P1123">
        <f>IF(B1159=0,0,O1123/B1159)</f>
        <v/>
      </c>
      <c r="Q1123">
        <f>IFERROR(1/IF(Inputs!$B$4="pvp",15,MAX(0.1,Skills!D8-IF(Skills!E8=TRUE,(Inputs!$B$31+1),0))),0)</f>
        <v/>
      </c>
      <c r="R1123">
        <f>IF(AND(Inputs!$B$4&lt;&gt;"pvp",Inputs!$B$35&gt;0),(INT(Inputs!$B$35/IF(Inputs!$B$4="pvp",15,MAX(0.1,Skills!D8-IF(Skills!E8=TRUE,(Inputs!$B$31+1),0))))+1),0)</f>
        <v/>
      </c>
      <c r="S1123">
        <f>IFERROR(O1123/N1123,0)</f>
        <v/>
      </c>
    </row>
    <row r="1124">
      <c r="A1124">
        <f>Skills!A9</f>
        <v/>
      </c>
      <c r="B1124">
        <f>Skills!B9</f>
        <v/>
      </c>
      <c r="C1124">
        <f>Inputs!$B$3&gt;=72</f>
        <v/>
      </c>
      <c r="D1124">
        <f>IF(Skills!C9=1,60+Inputs!$B$24+Inputs!$B$28,IF(Skills!C9=2,90+Inputs!$B$25+Inputs!$B$28,IF(Skills!C9=3,120+Inputs!$B$26+Inputs!$B$28,MAX(0,(Inputs!$B$3-100)*3)+Inputs!$B$27+Inputs!$B$28)))</f>
        <v/>
      </c>
      <c r="E1124">
        <f>INDEX(FactorTable!$B$2:$Y$301, MATCH(ROUND(MIN(300,MAX(1,D1124)),0), FactorTable!$A$2:$A$301,0), Skills!M9+1)</f>
        <v/>
      </c>
      <c r="F1124">
        <f>IF(Skills!N9=TRUE,(Skills!L9/10)*(E1124/1000),Skills!L9/10)+Skills!O9</f>
        <v/>
      </c>
      <c r="G1124">
        <f>Calc!G9</f>
        <v/>
      </c>
      <c r="H1124">
        <f>Calc!H9</f>
        <v/>
      </c>
      <c r="I1124">
        <f>IF(Skills!AA9&lt;&gt;"",1+(Skills!AA9/10)*(U1118/1000)/100,1)</f>
        <v/>
      </c>
      <c r="J1124">
        <f>(Inputs!$B$5*(1+Inputs!$B$6/100))*(F1124/100)</f>
        <v/>
      </c>
      <c r="K1124">
        <f>J1124*(1+((Inputs!$B$11*(1+Inputs!$B$12/100))*0.01+Inputs!$B$13*0.0025)/100)*(1+Inputs!$B$14/100)*(1+IF(Inputs!$B$4="pvp",0,(1-Summary!$B$55)*(Inputs!$B$19+((C1142=TRUE)*(F1142-Calc!F27))+Skills!P9+B1156)+Summary!$B$55*(Inputs!$B$20+Skills!Q9+B1156))/100)*(1+Inputs!$B$15/100)*(5000/(6000+Inputs!$B$7*(1-Inputs!$B$18/100)))*(1+(Inputs!$B$23+((C1145=TRUE)*(F1145-Calc!F30)))/100)*(1+Skills!R9/100)*(1+(IF(Skills!A9="SHOWDOWN",Inputs!$B$16+((C1138=TRUE)*(F1138-Calc!F23)),Inputs!$B$17+((C1144=TRUE)*(F1144-Calc!F29))))/100)*(((1+(((C1136=TRUE)*F1136*IF(AND(Inputs!$B$4&lt;&gt;"pvp",Inputs!$B$35&gt;0),(((S1136-1)*(Skills!Y21*(1+Inputs!$B$33/100))+MIN((Skills!Y21*(1+Inputs!$B$33/100)),MAX(0,Inputs!$B$35-((S1136-1)*Skills!D21))))/Inputs!$B$35),IF(Inputs!$B$4="pvp",MIN((Skills!Y21*(1+Inputs!$B$33/100)),15)/15,(Skills!Y21*(1+Inputs!$B$33/100))/Skills!D21)))+((C1143=TRUE)*(F1143-Calc!F28))+((C1133=TRUE)*(F1133-Calc!F18)))/100)*(1+((C1130=TRUE)*F1130*IF(AND(Inputs!$B$4&lt;&gt;"pvp",Inputs!$B$35&gt;0),(((S1130-1)*(Skills!Y15*(1+Inputs!$B$33/100))+MIN((Skills!Y15*(1+Inputs!$B$33/100)),MAX(0,Inputs!$B$35-((S1130-1)*Skills!D15))))/Inputs!$B$35),IF(Inputs!$B$4="pvp",MIN((Skills!Y15*(1+Inputs!$B$33/100)),15)/15,(Skills!Y15*(1+Inputs!$B$33/100))/Skills!D15)))/100)*(1+((C1121=TRUE)*F1121*B1149)/100))*B1157*I1124)</f>
        <v/>
      </c>
      <c r="L1124">
        <f>K1124*(MIN(Inputs!$B$21+((C1139=TRUE)*(F1139-Calc!F24)),Inputs!$B$22)/100+Inputs!$B$22/100)/2</f>
        <v/>
      </c>
      <c r="M1124">
        <f>L1124*(1+(Inputs!$B$9+((C1141=TRUE)*(F1141-Calc!F26))+B1158)/100)</f>
        <v/>
      </c>
      <c r="N1124">
        <f>L1124*(1-MIN((Inputs!$B$8+((C1140=TRUE)*(F1140-Calc!F25))+B1155),100)/100)+M1124*(MIN((Inputs!$B$8+((C1140=TRUE)*(F1140-Calc!F25))+B1155),100)/100)</f>
        <v/>
      </c>
      <c r="O1124">
        <f>IF(C1124,H1124*N1124*IF(AND(Inputs!$B$4&lt;&gt;"pvp",Inputs!$B$35&gt;0),((Skills!G9*((R1124-1)*IF(Skills!H9&gt;0,Skills!I9/Skills!H9,1)+IF(Skills!H9&gt;0,MIN(Skills!I9,MAX(0,Inputs!$B$35-((R1124-1)*IF(Inputs!$B$4="pvp",15,MAX(0.1,Skills!D9-IF(Skills!E9=TRUE,(Inputs!$B$31+1),0))))))/Skills!H9,1)))/Inputs!$B$35),G1124*Q1124)*IF(Inputs!$B$4="pvp",1,(1-Summary!$B$55)*(1)+Summary!$B$55*(MIN(Skills!W9,Inputs!$B$37))),0)</f>
        <v/>
      </c>
      <c r="P1124">
        <f>IF(B1159=0,0,O1124/B1159)</f>
        <v/>
      </c>
      <c r="Q1124">
        <f>IFERROR(1/IF(Inputs!$B$4="pvp",15,MAX(0.1,Skills!D9-IF(Skills!E9=TRUE,(Inputs!$B$31+1),0))),0)</f>
        <v/>
      </c>
      <c r="R1124">
        <f>IF(AND(Inputs!$B$4&lt;&gt;"pvp",Inputs!$B$35&gt;0),(INT(Inputs!$B$35/IF(Inputs!$B$4="pvp",15,MAX(0.1,Skills!D9-IF(Skills!E9=TRUE,(Inputs!$B$31+1),0))))+1),0)</f>
        <v/>
      </c>
      <c r="S1124">
        <f>IFERROR(O1124/N1124,0)</f>
        <v/>
      </c>
    </row>
    <row r="1125">
      <c r="A1125">
        <f>Skills!A10</f>
        <v/>
      </c>
      <c r="B1125">
        <f>Skills!B10</f>
        <v/>
      </c>
      <c r="C1125">
        <f>Inputs!$B$3&gt;=117</f>
        <v/>
      </c>
      <c r="D1125">
        <f>IF(Skills!C10=1,60+Inputs!$B$24+Inputs!$B$28,IF(Skills!C10=2,90+Inputs!$B$25+Inputs!$B$28,IF(Skills!C10=3,120+Inputs!$B$26+Inputs!$B$28,MAX(0,(Inputs!$B$3-100)*3)+Inputs!$B$27+Inputs!$B$28)))</f>
        <v/>
      </c>
      <c r="E1125">
        <f>INDEX(FactorTable!$B$2:$Y$301, MATCH(ROUND(MIN(300,MAX(1,D1125)),0), FactorTable!$A$2:$A$301,0), Skills!M10+1)</f>
        <v/>
      </c>
      <c r="F1125">
        <f>IF(Skills!N10=TRUE,(Skills!L10/10)*(E1125/1000),Skills!L10/10)+Skills!O10</f>
        <v/>
      </c>
      <c r="G1125">
        <f>Calc!G10</f>
        <v/>
      </c>
      <c r="H1125">
        <f>Calc!H10</f>
        <v/>
      </c>
      <c r="I1125">
        <f>IF(Skills!AA10&lt;&gt;"",1+(Skills!AA10/10)*(U1118/1000)/100,1)</f>
        <v/>
      </c>
      <c r="J1125">
        <f>(Inputs!$B$5*(1+Inputs!$B$6/100))*(F1125/100)</f>
        <v/>
      </c>
      <c r="K1125">
        <f>J1125*(1+((Inputs!$B$11*(1+Inputs!$B$12/100))*0.01+Inputs!$B$13*0.0025)/100)*(1+Inputs!$B$14/100)*(1+IF(Inputs!$B$4="pvp",0,(1-Summary!$B$55)*(Inputs!$B$19+((C1142=TRUE)*(F1142-Calc!F27))+Skills!P10+B1156)+Summary!$B$55*(Inputs!$B$20+Skills!Q10+B1156))/100)*(1+Inputs!$B$15/100)*(5000/(6000+Inputs!$B$7*(1-Inputs!$B$18/100)))*(1+(Inputs!$B$23+((C1145=TRUE)*(F1145-Calc!F30)))/100)*(1+Skills!R10/100)*(1+(IF(Skills!A10="SHOWDOWN",Inputs!$B$16+((C1138=TRUE)*(F1138-Calc!F23)),Inputs!$B$17+((C1144=TRUE)*(F1144-Calc!F29))))/100)*(((1+(((C1136=TRUE)*F1136*IF(AND(Inputs!$B$4&lt;&gt;"pvp",Inputs!$B$35&gt;0),(((S1136-1)*(Skills!Y21*(1+Inputs!$B$33/100))+MIN((Skills!Y21*(1+Inputs!$B$33/100)),MAX(0,Inputs!$B$35-((S1136-1)*Skills!D21))))/Inputs!$B$35),IF(Inputs!$B$4="pvp",MIN((Skills!Y21*(1+Inputs!$B$33/100)),15)/15,(Skills!Y21*(1+Inputs!$B$33/100))/Skills!D21)))+((C1143=TRUE)*(F1143-Calc!F28))+((C1133=TRUE)*(F1133-Calc!F18)))/100)*(1+((C1130=TRUE)*F1130*IF(AND(Inputs!$B$4&lt;&gt;"pvp",Inputs!$B$35&gt;0),(((S1130-1)*(Skills!Y15*(1+Inputs!$B$33/100))+MIN((Skills!Y15*(1+Inputs!$B$33/100)),MAX(0,Inputs!$B$35-((S1130-1)*Skills!D15))))/Inputs!$B$35),IF(Inputs!$B$4="pvp",MIN((Skills!Y15*(1+Inputs!$B$33/100)),15)/15,(Skills!Y15*(1+Inputs!$B$33/100))/Skills!D15)))/100)*(1+((C1121=TRUE)*F1121*B1149)/100))*B1157*I1125)</f>
        <v/>
      </c>
      <c r="L1125">
        <f>K1125*(MIN(Inputs!$B$21+((C1139=TRUE)*(F1139-Calc!F24)),Inputs!$B$22)/100+Inputs!$B$22/100)/2</f>
        <v/>
      </c>
      <c r="M1125">
        <f>L1125*(1+(Inputs!$B$9+((C1141=TRUE)*(F1141-Calc!F26))+B1158)/100)</f>
        <v/>
      </c>
      <c r="N1125">
        <f>L1125*(1-MIN((Inputs!$B$8+((C1140=TRUE)*(F1140-Calc!F25))+B1155),100)/100)+M1125*(MIN((Inputs!$B$8+((C1140=TRUE)*(F1140-Calc!F25))+B1155),100)/100)</f>
        <v/>
      </c>
      <c r="O1125">
        <f>IF(C1125,0.2*SUMPRODUCT((Skills!Z2:Z31=TRUE)*(C1117:C1146=TRUE)*S1117:S1146)*N1125,0)</f>
        <v/>
      </c>
      <c r="P1125">
        <f>IF(B1159=0,0,O1125/B1159)</f>
        <v/>
      </c>
      <c r="Q1125" t="n">
        <v>0</v>
      </c>
      <c r="R1125" t="n">
        <v>0</v>
      </c>
      <c r="S1125" t="n">
        <v>0</v>
      </c>
    </row>
    <row r="1126">
      <c r="A1126">
        <f>Skills!A11</f>
        <v/>
      </c>
      <c r="B1126">
        <f>Skills!B11</f>
        <v/>
      </c>
      <c r="C1126">
        <f>Inputs!$B$3&gt;=60</f>
        <v/>
      </c>
      <c r="D1126">
        <f>IF(Skills!C11=1,60+Inputs!$B$24+Inputs!$B$28,IF(Skills!C11=2,90+Inputs!$B$25+Inputs!$B$28,IF(Skills!C11=3,120+Inputs!$B$26+Inputs!$B$28,MAX(0,(Inputs!$B$3-100)*3)+Inputs!$B$27+Inputs!$B$28)))</f>
        <v/>
      </c>
      <c r="E1126">
        <f>INDEX(FactorTable!$B$2:$Y$301, MATCH(ROUND(MIN(300,MAX(1,D1126)),0), FactorTable!$A$2:$A$301,0), Skills!M11+1)</f>
        <v/>
      </c>
      <c r="F1126">
        <f>IF(Skills!N11=TRUE,(Skills!L11/10)*(E1126/1000),Skills!L11/10)+Skills!O11</f>
        <v/>
      </c>
      <c r="G1126">
        <f>Calc!G11</f>
        <v/>
      </c>
      <c r="H1126">
        <f>Calc!H11</f>
        <v/>
      </c>
      <c r="I1126">
        <f>IF(Skills!AA11&lt;&gt;"",1+(Skills!AA11/10)*(U1118/1000)/100,1)</f>
        <v/>
      </c>
      <c r="J1126" t="inlineStr"/>
      <c r="K1126" t="inlineStr"/>
      <c r="L1126" t="inlineStr"/>
      <c r="M1126" t="inlineStr"/>
      <c r="N1126" t="inlineStr"/>
      <c r="O1126" t="n">
        <v>0</v>
      </c>
      <c r="P1126">
        <f>IF(B1159=0,0,O1126/B1159)</f>
        <v/>
      </c>
      <c r="Q1126" t="n">
        <v>0</v>
      </c>
      <c r="R1126" t="n">
        <v>0</v>
      </c>
      <c r="S1126">
        <f>IFERROR(O1126/N1126,0)</f>
        <v/>
      </c>
    </row>
    <row r="1127">
      <c r="A1127">
        <f>Skills!A12</f>
        <v/>
      </c>
      <c r="B1127">
        <f>Skills!B12</f>
        <v/>
      </c>
      <c r="C1127">
        <f>Inputs!$B$3&gt;=103</f>
        <v/>
      </c>
      <c r="D1127">
        <f>IF(Skills!C12=1,60+Inputs!$B$24+Inputs!$B$28,IF(Skills!C12=2,90+Inputs!$B$25+Inputs!$B$28,IF(Skills!C12=3,120+Inputs!$B$26+Inputs!$B$28,MAX(0,(Inputs!$B$3-100)*3)+Inputs!$B$27+Inputs!$B$28)))</f>
        <v/>
      </c>
      <c r="E1127">
        <f>INDEX(FactorTable!$B$2:$Y$301, MATCH(ROUND(MIN(300,MAX(1,D1127)),0), FactorTable!$A$2:$A$301,0), Skills!M12+1)</f>
        <v/>
      </c>
      <c r="F1127">
        <f>IF(Skills!N12=TRUE,(Skills!L12/10)*(E1127/1000),Skills!L12/10)+Skills!O12</f>
        <v/>
      </c>
      <c r="G1127">
        <f>Calc!G12</f>
        <v/>
      </c>
      <c r="H1127">
        <f>Calc!H12</f>
        <v/>
      </c>
      <c r="I1127">
        <f>IF(Skills!AA12&lt;&gt;"",1+(Skills!AA12/10)*(U1118/1000)/100,1)</f>
        <v/>
      </c>
      <c r="J1127">
        <f>(Inputs!$B$5*(1+Inputs!$B$6/100))*(F1127/100)</f>
        <v/>
      </c>
      <c r="K1127">
        <f>J1127*(1+((Inputs!$B$11*(1+Inputs!$B$12/100))*0.01+Inputs!$B$13*0.0025)/100)*(1+Inputs!$B$14/100)*(1+IF(Inputs!$B$4="pvp",0,(1-Summary!$B$55)*(Inputs!$B$19+((C1142=TRUE)*(F1142-Calc!F27))+Skills!P12+B1156)+Summary!$B$55*(Inputs!$B$20+Skills!Q12+B1156))/100)*(1+Inputs!$B$15/100)*(5000/(6000+Inputs!$B$7*(1-Inputs!$B$18/100)))*(1+(Inputs!$B$23+((C1145=TRUE)*(F1145-Calc!F30)))/100)*(1+Skills!R12/100)*(1+(IF(Skills!A12="SHOWDOWN",Inputs!$B$16+((C1138=TRUE)*(F1138-Calc!F23)),Inputs!$B$17+((C1144=TRUE)*(F1144-Calc!F29))))/100)*(((1+(((C1136=TRUE)*F1136*IF(AND(Inputs!$B$4&lt;&gt;"pvp",Inputs!$B$35&gt;0),(((S1136-1)*(Skills!Y21*(1+Inputs!$B$33/100))+MIN((Skills!Y21*(1+Inputs!$B$33/100)),MAX(0,Inputs!$B$35-((S1136-1)*Skills!D21))))/Inputs!$B$35),IF(Inputs!$B$4="pvp",MIN((Skills!Y21*(1+Inputs!$B$33/100)),15)/15,(Skills!Y21*(1+Inputs!$B$33/100))/Skills!D21)))+((C1143=TRUE)*(F1143-Calc!F28))+((C1133=TRUE)*(F1133-Calc!F18)))/100)*(1+((C1130=TRUE)*F1130*IF(AND(Inputs!$B$4&lt;&gt;"pvp",Inputs!$B$35&gt;0),(((S1130-1)*(Skills!Y15*(1+Inputs!$B$33/100))+MIN((Skills!Y15*(1+Inputs!$B$33/100)),MAX(0,Inputs!$B$35-((S1130-1)*Skills!D15))))/Inputs!$B$35),IF(Inputs!$B$4="pvp",MIN((Skills!Y15*(1+Inputs!$B$33/100)),15)/15,(Skills!Y15*(1+Inputs!$B$33/100))/Skills!D15)))/100)*(1+((C1121=TRUE)*F1121*B1149)/100))*B1157*I1127)</f>
        <v/>
      </c>
      <c r="L1127">
        <f>K1127*(MIN(Inputs!$B$21+((C1139=TRUE)*(F1139-Calc!F24)),Inputs!$B$22)/100+Inputs!$B$22/100)/2</f>
        <v/>
      </c>
      <c r="M1127">
        <f>L1127*(1+(Inputs!$B$9+((C1141=TRUE)*(F1141-Calc!F26))+B1158)/100)</f>
        <v/>
      </c>
      <c r="N1127">
        <f>L1127*(1-MIN((Inputs!$B$8+((C1140=TRUE)*(F1140-Calc!F25))+B1155),100)/100)+M1127*(MIN((Inputs!$B$8+((C1140=TRUE)*(F1140-Calc!F25))+B1155),100)/100)</f>
        <v/>
      </c>
      <c r="O1127">
        <f>IF(C1127,H1127*N1127*IF(AND(Inputs!$B$4&lt;&gt;"pvp",Inputs!$B$35&gt;0),((Skills!G12*((R1127-1)*IF(Skills!H12&gt;0,Skills!I12/Skills!H12,1)+IF(Skills!H12&gt;0,MIN(Skills!I12,MAX(0,Inputs!$B$35-((R1127-1)*IF(Inputs!$B$4="pvp",15,MAX(0.1,Skills!D12-IF(Skills!E12=TRUE,(Inputs!$B$31+1),0))))))/Skills!H12,1)))/Inputs!$B$35),G1127*Q1127)*IF(Inputs!$B$4="pvp",1,(1-Summary!$B$55)*(1)+Summary!$B$55*(MIN(Skills!W12,Inputs!$B$37))),0)</f>
        <v/>
      </c>
      <c r="P1127">
        <f>IF(B1159=0,0,O1127/B1159)</f>
        <v/>
      </c>
      <c r="Q1127">
        <f>IFERROR(1/IF(Inputs!$B$4="pvp",15,MAX(0.1,Skills!D12-IF(Skills!E12=TRUE,(Inputs!$B$31+1),0))),0)</f>
        <v/>
      </c>
      <c r="R1127">
        <f>IF(AND(Inputs!$B$4&lt;&gt;"pvp",Inputs!$B$35&gt;0),(INT(Inputs!$B$35/IF(Inputs!$B$4="pvp",15,MAX(0.1,Skills!D12-IF(Skills!E12=TRUE,(Inputs!$B$31+1),0))))+1),0)</f>
        <v/>
      </c>
      <c r="S1127">
        <f>IFERROR(O1127/N1127,0)</f>
        <v/>
      </c>
    </row>
    <row r="1128">
      <c r="A1128">
        <f>Skills!A13</f>
        <v/>
      </c>
      <c r="B1128">
        <f>Skills!B13</f>
        <v/>
      </c>
      <c r="C1128">
        <f>Inputs!$B$3&gt;=105</f>
        <v/>
      </c>
      <c r="D1128">
        <f>IF(Skills!C13=1,60+Inputs!$B$24+Inputs!$B$28,IF(Skills!C13=2,90+Inputs!$B$25+Inputs!$B$28,IF(Skills!C13=3,120+Inputs!$B$26+Inputs!$B$28,MAX(0,(Inputs!$B$3-100)*3)+Inputs!$B$27+Inputs!$B$28)))</f>
        <v/>
      </c>
      <c r="E1128">
        <f>INDEX(FactorTable!$B$2:$Y$301, MATCH(ROUND(MIN(300,MAX(1,D1128)),0), FactorTable!$A$2:$A$301,0), Skills!M13+1)</f>
        <v/>
      </c>
      <c r="F1128">
        <f>IF(Skills!N13=TRUE,(Skills!L13/10)*(E1128/1000),Skills!L13/10)+Skills!O13</f>
        <v/>
      </c>
      <c r="G1128">
        <f>Calc!G13</f>
        <v/>
      </c>
      <c r="H1128">
        <f>Calc!H13</f>
        <v/>
      </c>
      <c r="I1128">
        <f>IF(Skills!AA13&lt;&gt;"",1+(Skills!AA13/10)*(U1118/1000)/100,1)</f>
        <v/>
      </c>
      <c r="J1128">
        <f>(Inputs!$B$5*(1+Inputs!$B$6/100))*(F1128/100)</f>
        <v/>
      </c>
      <c r="K1128">
        <f>J1128*(1+((Inputs!$B$11*(1+Inputs!$B$12/100))*0.01+Inputs!$B$13*0.0025)/100)*(1+Inputs!$B$14/100)*(1+IF(Inputs!$B$4="pvp",0,(1-Summary!$B$55)*(Inputs!$B$19+((C1142=TRUE)*(F1142-Calc!F27))+Skills!P13+B1156)+Summary!$B$55*(Inputs!$B$20+Skills!Q13+B1156))/100)*(1+Inputs!$B$15/100)*(5000/(6000+Inputs!$B$7*(1-Inputs!$B$18/100)))*(1+(Inputs!$B$23+((C1145=TRUE)*(F1145-Calc!F30)))/100)*(1+Skills!R13/100)*(1+(IF(Skills!A13="SHOWDOWN",Inputs!$B$16+((C1138=TRUE)*(F1138-Calc!F23)),Inputs!$B$17+((C1144=TRUE)*(F1144-Calc!F29))))/100)*(((1+(((C1136=TRUE)*F1136*IF(AND(Inputs!$B$4&lt;&gt;"pvp",Inputs!$B$35&gt;0),(((S1136-1)*(Skills!Y21*(1+Inputs!$B$33/100))+MIN((Skills!Y21*(1+Inputs!$B$33/100)),MAX(0,Inputs!$B$35-((S1136-1)*Skills!D21))))/Inputs!$B$35),IF(Inputs!$B$4="pvp",MIN((Skills!Y21*(1+Inputs!$B$33/100)),15)/15,(Skills!Y21*(1+Inputs!$B$33/100))/Skills!D21)))+((C1143=TRUE)*(F1143-Calc!F28))+((C1133=TRUE)*(F1133-Calc!F18)))/100)*(1+((C1130=TRUE)*F1130*IF(AND(Inputs!$B$4&lt;&gt;"pvp",Inputs!$B$35&gt;0),(((S1130-1)*(Skills!Y15*(1+Inputs!$B$33/100))+MIN((Skills!Y15*(1+Inputs!$B$33/100)),MAX(0,Inputs!$B$35-((S1130-1)*Skills!D15))))/Inputs!$B$35),IF(Inputs!$B$4="pvp",MIN((Skills!Y15*(1+Inputs!$B$33/100)),15)/15,(Skills!Y15*(1+Inputs!$B$33/100))/Skills!D15)))/100)*(1+((C1121=TRUE)*F1121*B1149)/100))*B1157*I1128)</f>
        <v/>
      </c>
      <c r="L1128">
        <f>K1128*(MIN(Inputs!$B$21+((C1139=TRUE)*(F1139-Calc!F24)),Inputs!$B$22)/100+Inputs!$B$22/100)/2</f>
        <v/>
      </c>
      <c r="M1128">
        <f>L1128*(1+(Inputs!$B$9+((C1141=TRUE)*(F1141-Calc!F26))+B1158)/100)</f>
        <v/>
      </c>
      <c r="N1128">
        <f>L1128*(1-MIN((Inputs!$B$8+((C1140=TRUE)*(F1140-Calc!F25))+B1155),100)/100)+M1128*(MIN((Inputs!$B$8+((C1140=TRUE)*(F1140-Calc!F25))+B1155),100)/100)</f>
        <v/>
      </c>
      <c r="O1128">
        <f>IF(C1128,H1128*N1128*IF(AND(Inputs!$B$4&lt;&gt;"pvp",Inputs!$B$35&gt;0),((Skills!G13*((R1128-1)*IF(Skills!H13&gt;0,Skills!I13/Skills!H13,1)+IF(Skills!H13&gt;0,MIN(Skills!I13,MAX(0,Inputs!$B$35-((R1128-1)*IF(Inputs!$B$4="pvp",15,MAX(0.1,Skills!D13-IF(Skills!E13=TRUE,(Inputs!$B$31+1),0))))))/Skills!H13,1)))/Inputs!$B$35),G1128*Q1128)*IF(Inputs!$B$4="pvp",1,(1-Summary!$B$55)*(1)+Summary!$B$55*(MIN(Skills!W13,Inputs!$B$37))),0)</f>
        <v/>
      </c>
      <c r="P1128">
        <f>IF(B1159=0,0,O1128/B1159)</f>
        <v/>
      </c>
      <c r="Q1128">
        <f>IFERROR(1/IF(Inputs!$B$4="pvp",15,MAX(0.1,Skills!D13-IF(Skills!E13=TRUE,(Inputs!$B$31+1),0))),0)</f>
        <v/>
      </c>
      <c r="R1128">
        <f>IF(AND(Inputs!$B$4&lt;&gt;"pvp",Inputs!$B$35&gt;0),(INT(Inputs!$B$35/IF(Inputs!$B$4="pvp",15,MAX(0.1,Skills!D13-IF(Skills!E13=TRUE,(Inputs!$B$31+1),0))))+1),0)</f>
        <v/>
      </c>
      <c r="S1128">
        <f>IFERROR(O1128/N1128,0)</f>
        <v/>
      </c>
    </row>
    <row r="1129">
      <c r="A1129">
        <f>Skills!A14</f>
        <v/>
      </c>
      <c r="B1129">
        <f>Skills!B14</f>
        <v/>
      </c>
      <c r="C1129">
        <f>Inputs!$B$3&gt;=105</f>
        <v/>
      </c>
      <c r="D1129">
        <f>IF(Skills!C14=1,60+Inputs!$B$24+Inputs!$B$28,IF(Skills!C14=2,90+Inputs!$B$25+Inputs!$B$28,IF(Skills!C14=3,120+Inputs!$B$26+Inputs!$B$28,MAX(0,(Inputs!$B$3-100)*3)+Inputs!$B$27+Inputs!$B$28)))</f>
        <v/>
      </c>
      <c r="E1129">
        <f>INDEX(FactorTable!$B$2:$Y$301, MATCH(ROUND(MIN(300,MAX(1,D1129)),0), FactorTable!$A$2:$A$301,0), Skills!M14+1)</f>
        <v/>
      </c>
      <c r="F1129">
        <f>IF(Skills!N14=TRUE,(Skills!L14/10)*(E1129/1000),Skills!L14/10)+Skills!O14</f>
        <v/>
      </c>
      <c r="G1129">
        <f>Calc!G14</f>
        <v/>
      </c>
      <c r="H1129">
        <f>Calc!H14</f>
        <v/>
      </c>
      <c r="I1129">
        <f>IF(Skills!AA14&lt;&gt;"",1+(Skills!AA14/10)*(U1118/1000)/100,1)</f>
        <v/>
      </c>
      <c r="J1129">
        <f>(Inputs!$B$5*(1+Inputs!$B$6/100))*(F1129/100)</f>
        <v/>
      </c>
      <c r="K1129">
        <f>J1129*(1+((Inputs!$B$11*(1+Inputs!$B$12/100))*0.01+Inputs!$B$13*0.0025)/100)*(1+Inputs!$B$14/100)*(1+IF(Inputs!$B$4="pvp",0,(1-Summary!$B$55)*(Inputs!$B$19+((C1142=TRUE)*(F1142-Calc!F27))+Skills!P14+B1156)+Summary!$B$55*(Inputs!$B$20+Skills!Q14+B1156))/100)*(1+Inputs!$B$15/100)*(5000/(6000+Inputs!$B$7*(1-Inputs!$B$18/100)))*(1+(Inputs!$B$23+((C1145=TRUE)*(F1145-Calc!F30)))/100)*(1+Skills!R14/100)*(1+(IF(Skills!A14="SHOWDOWN",Inputs!$B$16+((C1138=TRUE)*(F1138-Calc!F23)),Inputs!$B$17+((C1144=TRUE)*(F1144-Calc!F29))))/100)*(((1+(((C1136=TRUE)*F1136*IF(AND(Inputs!$B$4&lt;&gt;"pvp",Inputs!$B$35&gt;0),(((S1136-1)*(Skills!Y21*(1+Inputs!$B$33/100))+MIN((Skills!Y21*(1+Inputs!$B$33/100)),MAX(0,Inputs!$B$35-((S1136-1)*Skills!D21))))/Inputs!$B$35),IF(Inputs!$B$4="pvp",MIN((Skills!Y21*(1+Inputs!$B$33/100)),15)/15,(Skills!Y21*(1+Inputs!$B$33/100))/Skills!D21)))+((C1143=TRUE)*(F1143-Calc!F28))+((C1133=TRUE)*(F1133-Calc!F18)))/100)*(1+((C1130=TRUE)*F1130*IF(AND(Inputs!$B$4&lt;&gt;"pvp",Inputs!$B$35&gt;0),(((S1130-1)*(Skills!Y15*(1+Inputs!$B$33/100))+MIN((Skills!Y15*(1+Inputs!$B$33/100)),MAX(0,Inputs!$B$35-((S1130-1)*Skills!D15))))/Inputs!$B$35),IF(Inputs!$B$4="pvp",MIN((Skills!Y15*(1+Inputs!$B$33/100)),15)/15,(Skills!Y15*(1+Inputs!$B$33/100))/Skills!D15)))/100)*(1+((C1121=TRUE)*F1121*B1149)/100))*B1157*I1129)</f>
        <v/>
      </c>
      <c r="L1129">
        <f>K1129*(MIN(Inputs!$B$21+((C1139=TRUE)*(F1139-Calc!F24)),Inputs!$B$22)/100+Inputs!$B$22/100)/2</f>
        <v/>
      </c>
      <c r="M1129">
        <f>L1129*(1+(Inputs!$B$9+((C1141=TRUE)*(F1141-Calc!F26))+B1158)/100)</f>
        <v/>
      </c>
      <c r="N1129">
        <f>L1129*(1-MIN((Inputs!$B$8+((C1140=TRUE)*(F1140-Calc!F25))+B1155),100)/100)+M1129*(MIN((Inputs!$B$8+((C1140=TRUE)*(F1140-Calc!F25))+B1155),100)/100)</f>
        <v/>
      </c>
      <c r="O1129">
        <f>IF(C1129,H1129*N1129*IF(AND(Inputs!$B$4&lt;&gt;"pvp",Inputs!$B$35&gt;0),((Skills!G14*((R1129-1)*IF(Skills!H14&gt;0,Skills!I14/Skills!H14,1)+IF(Skills!H14&gt;0,MIN(Skills!I14,MAX(0,Inputs!$B$35-((R1129-1)*IF(Inputs!$B$4="pvp",15,MAX(0.1,Skills!D14-IF(Skills!E14=TRUE,(Inputs!$B$31+1),0))))))/Skills!H14,1)))/Inputs!$B$35),G1129*Q1129)*IF(Inputs!$B$4="pvp",1,(1-Summary!$B$55)*(1)+Summary!$B$55*(MIN(Skills!W14,Inputs!$B$37))),0)</f>
        <v/>
      </c>
      <c r="P1129">
        <f>IF(B1159=0,0,O1129/B1159)</f>
        <v/>
      </c>
      <c r="Q1129">
        <f>IFERROR(1/IF(Inputs!$B$4="pvp",15,MAX(0.1,Skills!D14-IF(Skills!E14=TRUE,(Inputs!$B$31+1),0))),0)</f>
        <v/>
      </c>
      <c r="R1129">
        <f>IF(AND(Inputs!$B$4&lt;&gt;"pvp",Inputs!$B$35&gt;0),(INT(Inputs!$B$35/IF(Inputs!$B$4="pvp",15,MAX(0.1,Skills!D14-IF(Skills!E14=TRUE,(Inputs!$B$31+1),0))))+1),0)</f>
        <v/>
      </c>
      <c r="S1129">
        <f>IFERROR(O1129/N1129,0)</f>
        <v/>
      </c>
    </row>
    <row r="1130">
      <c r="A1130">
        <f>Skills!A15</f>
        <v/>
      </c>
      <c r="B1130">
        <f>Skills!B15</f>
        <v/>
      </c>
      <c r="C1130">
        <f>Inputs!$B$3&gt;=110</f>
        <v/>
      </c>
      <c r="D1130">
        <f>IF(Skills!C15=1,60+Inputs!$B$24+Inputs!$B$28,IF(Skills!C15=2,90+Inputs!$B$25+Inputs!$B$28,IF(Skills!C15=3,120+Inputs!$B$26+Inputs!$B$28,MAX(0,(Inputs!$B$3-100)*3)+Inputs!$B$27+Inputs!$B$28)))</f>
        <v/>
      </c>
      <c r="E1130">
        <f>INDEX(FactorTable!$B$2:$Y$301, MATCH(ROUND(MIN(300,MAX(1,D1130)),0), FactorTable!$A$2:$A$301,0), Skills!M15+1)</f>
        <v/>
      </c>
      <c r="F1130">
        <f>IF(Skills!N15=TRUE,(Skills!L15/10)*(E1130/1000),Skills!L15/10)+Skills!O15</f>
        <v/>
      </c>
      <c r="G1130">
        <f>Calc!G15</f>
        <v/>
      </c>
      <c r="H1130">
        <f>Calc!H15</f>
        <v/>
      </c>
      <c r="I1130">
        <f>IF(Skills!AA15&lt;&gt;"",1+(Skills!AA15/10)*(U1118/1000)/100,1)</f>
        <v/>
      </c>
      <c r="J1130" t="inlineStr"/>
      <c r="K1130" t="inlineStr"/>
      <c r="L1130" t="inlineStr"/>
      <c r="M1130" t="inlineStr"/>
      <c r="N1130" t="inlineStr"/>
      <c r="O1130" t="n">
        <v>0</v>
      </c>
      <c r="P1130">
        <f>IF(B1159=0,0,O1130/B1159)</f>
        <v/>
      </c>
      <c r="Q1130">
        <f>IFERROR(1/IF(Inputs!$B$4="pvp",15,MAX(0.1,Skills!D15-IF(Skills!E15=TRUE,(Inputs!$B$31+1),0))),0)</f>
        <v/>
      </c>
      <c r="R1130">
        <f>IF(AND(Inputs!$B$4&lt;&gt;"pvp",Inputs!$B$35&gt;0),(INT(Inputs!$B$35/IF(Inputs!$B$4="pvp",15,MAX(0.1,Skills!D15-IF(Skills!E15=TRUE,(Inputs!$B$31+1),0))))+1),0)</f>
        <v/>
      </c>
      <c r="S1130">
        <f>IFERROR(O1130/N1130,0)</f>
        <v/>
      </c>
    </row>
    <row r="1131">
      <c r="A1131">
        <f>Skills!A16</f>
        <v/>
      </c>
      <c r="B1131">
        <f>Skills!B16</f>
        <v/>
      </c>
      <c r="C1131">
        <f>Inputs!$B$3&gt;=110</f>
        <v/>
      </c>
      <c r="D1131">
        <f>IF(Skills!C16=1,60+Inputs!$B$24+Inputs!$B$28,IF(Skills!C16=2,90+Inputs!$B$25+Inputs!$B$28,IF(Skills!C16=3,120+Inputs!$B$26+Inputs!$B$28,MAX(0,(Inputs!$B$3-100)*3)+Inputs!$B$27+Inputs!$B$28)))</f>
        <v/>
      </c>
      <c r="E1131">
        <f>INDEX(FactorTable!$B$2:$Y$301, MATCH(ROUND(MIN(300,MAX(1,D1131)),0), FactorTable!$A$2:$A$301,0), Skills!M16+1)</f>
        <v/>
      </c>
      <c r="F1131">
        <f>IF(Skills!N16=TRUE,(Skills!L16/10)*(E1131/1000),Skills!L16/10)+Skills!O16</f>
        <v/>
      </c>
      <c r="G1131">
        <f>Calc!G16</f>
        <v/>
      </c>
      <c r="H1131">
        <f>Calc!H16</f>
        <v/>
      </c>
      <c r="I1131">
        <f>IF(Skills!AA16&lt;&gt;"",1+(Skills!AA16/10)*(U1118/1000)/100,1)</f>
        <v/>
      </c>
      <c r="J1131" t="inlineStr"/>
      <c r="K1131" t="inlineStr"/>
      <c r="L1131" t="inlineStr"/>
      <c r="M1131" t="inlineStr"/>
      <c r="N1131" t="inlineStr"/>
      <c r="O1131" t="n">
        <v>0</v>
      </c>
      <c r="P1131">
        <f>IF(B1159=0,0,O1131/B1159)</f>
        <v/>
      </c>
      <c r="Q1131">
        <f>IFERROR(1/IF(Inputs!$B$4="pvp",15,MAX(0.1,Skills!D16-IF(Skills!E16=TRUE,(Inputs!$B$31+1),0))),0)</f>
        <v/>
      </c>
      <c r="R1131">
        <f>IF(AND(Inputs!$B$4&lt;&gt;"pvp",Inputs!$B$35&gt;0),(INT(Inputs!$B$35/IF(Inputs!$B$4="pvp",15,MAX(0.1,Skills!D16-IF(Skills!E16=TRUE,(Inputs!$B$31+1),0))))+1),0)</f>
        <v/>
      </c>
      <c r="S1131">
        <f>IFERROR(O1131/N1131,0)</f>
        <v/>
      </c>
    </row>
    <row r="1132">
      <c r="A1132">
        <f>Skills!A17</f>
        <v/>
      </c>
      <c r="B1132">
        <f>Skills!B17</f>
        <v/>
      </c>
      <c r="C1132">
        <f>Inputs!$B$3&gt;=115</f>
        <v/>
      </c>
      <c r="D1132">
        <f>IF(Skills!C17=1,60+Inputs!$B$24+Inputs!$B$28,IF(Skills!C17=2,90+Inputs!$B$25+Inputs!$B$28,IF(Skills!C17=3,120+Inputs!$B$26+Inputs!$B$28,MAX(0,(Inputs!$B$3-100)*3)+Inputs!$B$27+Inputs!$B$28)))</f>
        <v/>
      </c>
      <c r="E1132">
        <f>INDEX(FactorTable!$B$2:$Y$301, MATCH(ROUND(MIN(300,MAX(1,D1132)),0), FactorTable!$A$2:$A$301,0), Skills!M17+1)</f>
        <v/>
      </c>
      <c r="F1132">
        <f>IF(Skills!N17=TRUE,(Skills!L17/10)*(E1132/1000),Skills!L17/10)+Skills!O17</f>
        <v/>
      </c>
      <c r="G1132">
        <f>Calc!G17</f>
        <v/>
      </c>
      <c r="H1132">
        <f>Calc!H17</f>
        <v/>
      </c>
      <c r="I1132">
        <f>IF(Skills!AA17&lt;&gt;"",1+(Skills!AA17/10)*(U1118/1000)/100,1)</f>
        <v/>
      </c>
      <c r="J1132">
        <f>(Inputs!$B$5*(1+Inputs!$B$6/100))*(F1132/100)</f>
        <v/>
      </c>
      <c r="K1132">
        <f>J1132*(1+((Inputs!$B$11*(1+Inputs!$B$12/100))*0.01+Inputs!$B$13*0.0025)/100)*(1+Inputs!$B$14/100)*(1+IF(Inputs!$B$4="pvp",0,(1-Summary!$B$55)*(Inputs!$B$19+((C1142=TRUE)*(F1142-Calc!F27))+Skills!P17+B1156)+Summary!$B$55*(Inputs!$B$20+Skills!Q17+B1156))/100)*(1+Inputs!$B$15/100)*(5000/(6000+Inputs!$B$7*(1-Inputs!$B$18/100)))*(1+(Inputs!$B$23+((C1145=TRUE)*(F1145-Calc!F30)))/100)*(1+Skills!R17/100)*(1+(IF(Skills!A17="SHOWDOWN",Inputs!$B$16+((C1138=TRUE)*(F1138-Calc!F23)),Inputs!$B$17+((C1144=TRUE)*(F1144-Calc!F29))))/100)*(((1+(((C1136=TRUE)*F1136*IF(AND(Inputs!$B$4&lt;&gt;"pvp",Inputs!$B$35&gt;0),(((S1136-1)*(Skills!Y21*(1+Inputs!$B$33/100))+MIN((Skills!Y21*(1+Inputs!$B$33/100)),MAX(0,Inputs!$B$35-((S1136-1)*Skills!D21))))/Inputs!$B$35),IF(Inputs!$B$4="pvp",MIN((Skills!Y21*(1+Inputs!$B$33/100)),15)/15,(Skills!Y21*(1+Inputs!$B$33/100))/Skills!D21)))+((C1143=TRUE)*(F1143-Calc!F28))+((C1133=TRUE)*(F1133-Calc!F18)))/100)*(1+((C1130=TRUE)*F1130*IF(AND(Inputs!$B$4&lt;&gt;"pvp",Inputs!$B$35&gt;0),(((S1130-1)*(Skills!Y15*(1+Inputs!$B$33/100))+MIN((Skills!Y15*(1+Inputs!$B$33/100)),MAX(0,Inputs!$B$35-((S1130-1)*Skills!D15))))/Inputs!$B$35),IF(Inputs!$B$4="pvp",MIN((Skills!Y15*(1+Inputs!$B$33/100)),15)/15,(Skills!Y15*(1+Inputs!$B$33/100))/Skills!D15)))/100)*(1+((C1121=TRUE)*F1121*B1149)/100))*B1157*I1132)</f>
        <v/>
      </c>
      <c r="L1132">
        <f>K1132*(MIN(Inputs!$B$21+((C1139=TRUE)*(F1139-Calc!F24)),Inputs!$B$22)/100+Inputs!$B$22/100)/2</f>
        <v/>
      </c>
      <c r="M1132">
        <f>L1132*(1+(Inputs!$B$9+((C1141=TRUE)*(F1141-Calc!F26))+B1158)/100)</f>
        <v/>
      </c>
      <c r="N1132">
        <f>L1132*(1-MIN((Inputs!$B$8+((C1140=TRUE)*(F1140-Calc!F25))+B1155),100)/100)+M1132*(MIN((Inputs!$B$8+((C1140=TRUE)*(F1140-Calc!F25))+B1155),100)/100)</f>
        <v/>
      </c>
      <c r="O1132">
        <f>IF(C1132,Inputs!$B$38*0.2*N1132,0)</f>
        <v/>
      </c>
      <c r="P1132">
        <f>IF(B1159=0,0,O1132/B1159)</f>
        <v/>
      </c>
      <c r="Q1132" t="n">
        <v>0</v>
      </c>
      <c r="R1132" t="n">
        <v>0</v>
      </c>
      <c r="S1132">
        <f>IFERROR(O1132/N1132,0)</f>
        <v/>
      </c>
    </row>
    <row r="1133">
      <c r="A1133">
        <f>Skills!A18</f>
        <v/>
      </c>
      <c r="B1133">
        <f>Skills!B18</f>
        <v/>
      </c>
      <c r="C1133">
        <f>Inputs!$B$3&gt;=115</f>
        <v/>
      </c>
      <c r="D1133">
        <f>IF(Skills!C18=1,60+Inputs!$B$24+Inputs!$B$28,IF(Skills!C18=2,90+Inputs!$B$25+Inputs!$B$28,IF(Skills!C18=3,120+Inputs!$B$26+Inputs!$B$28,MAX(0,(Inputs!$B$3-100)*3)+Inputs!$B$27+Inputs!$B$28)))</f>
        <v/>
      </c>
      <c r="E1133">
        <f>INDEX(FactorTable!$B$2:$Y$301, MATCH(ROUND(MIN(300,MAX(1,D1133)),0), FactorTable!$A$2:$A$301,0), Skills!M18+1)</f>
        <v/>
      </c>
      <c r="F1133">
        <f>IF(Skills!N18=TRUE,(Skills!L18/10)*(E1133/1000),Skills!L18/10)+Skills!O18</f>
        <v/>
      </c>
      <c r="G1133">
        <f>Calc!G18</f>
        <v/>
      </c>
      <c r="H1133">
        <f>Calc!H18</f>
        <v/>
      </c>
      <c r="I1133">
        <f>IF(Skills!AA18&lt;&gt;"",1+(Skills!AA18/10)*(U1118/1000)/100,1)</f>
        <v/>
      </c>
      <c r="J1133" t="inlineStr"/>
      <c r="K1133" t="inlineStr"/>
      <c r="L1133" t="inlineStr"/>
      <c r="M1133" t="inlineStr"/>
      <c r="N1133" t="inlineStr"/>
      <c r="O1133" t="n">
        <v>0</v>
      </c>
      <c r="P1133">
        <f>IF(B1159=0,0,O1133/B1159)</f>
        <v/>
      </c>
      <c r="Q1133" t="n">
        <v>0</v>
      </c>
      <c r="R1133" t="n">
        <v>0</v>
      </c>
      <c r="S1133">
        <f>IFERROR(O1133/N1133,0)</f>
        <v/>
      </c>
    </row>
    <row r="1134">
      <c r="A1134">
        <f>Skills!A19</f>
        <v/>
      </c>
      <c r="B1134">
        <f>Skills!B19</f>
        <v/>
      </c>
      <c r="C1134">
        <f>TRUE</f>
        <v/>
      </c>
      <c r="D1134">
        <f>IF(Skills!C19=1,60+Inputs!$B$24+Inputs!$B$28,IF(Skills!C19=2,90+Inputs!$B$25+Inputs!$B$28,IF(Skills!C19=3,120+Inputs!$B$26+Inputs!$B$28,MAX(0,(Inputs!$B$3-100)*3)+Inputs!$B$27+Inputs!$B$28)))</f>
        <v/>
      </c>
      <c r="E1134">
        <f>INDEX(FactorTable!$B$2:$Y$301, MATCH(ROUND(MIN(300,MAX(1,D1134)),0), FactorTable!$A$2:$A$301,0), Skills!M19+1)</f>
        <v/>
      </c>
      <c r="F1134">
        <f>IF(Skills!N19=TRUE,(Skills!L19/10)*(E1134/1000),Skills!L19/10)+Skills!O19</f>
        <v/>
      </c>
      <c r="G1134">
        <f>Calc!G19</f>
        <v/>
      </c>
      <c r="H1134">
        <f>Calc!H19</f>
        <v/>
      </c>
      <c r="I1134">
        <f>IF(Skills!AA19&lt;&gt;"",1+(Skills!AA19/10)*(U1118/1000)/100,1)</f>
        <v/>
      </c>
      <c r="J1134" t="inlineStr"/>
      <c r="K1134" t="inlineStr"/>
      <c r="L1134" t="inlineStr"/>
      <c r="M1134" t="inlineStr"/>
      <c r="N1134" t="inlineStr"/>
      <c r="O1134" t="n">
        <v>0</v>
      </c>
      <c r="P1134">
        <f>IF(B1159=0,0,O1134/B1159)</f>
        <v/>
      </c>
      <c r="Q1134">
        <f>IFERROR(1/IF(Inputs!$B$4="pvp",15,MAX(0.1,Skills!D19-IF(Skills!E19=TRUE,(Inputs!$B$31+1),0))),0)</f>
        <v/>
      </c>
      <c r="R1134">
        <f>IF(AND(Inputs!$B$4&lt;&gt;"pvp",Inputs!$B$35&gt;0),(INT(Inputs!$B$35/IF(Inputs!$B$4="pvp",15,MAX(0.1,Skills!D19-IF(Skills!E19=TRUE,(Inputs!$B$31+1),0))))+1),0)</f>
        <v/>
      </c>
      <c r="S1134">
        <f>IFERROR(O1134/N1134,0)</f>
        <v/>
      </c>
    </row>
    <row r="1135">
      <c r="A1135">
        <f>Skills!A20</f>
        <v/>
      </c>
      <c r="B1135">
        <f>Skills!B20</f>
        <v/>
      </c>
      <c r="C1135">
        <f>Inputs!$B$3&gt;=15</f>
        <v/>
      </c>
      <c r="D1135">
        <f>IF(Skills!C20=1,60+Inputs!$B$24+Inputs!$B$28,IF(Skills!C20=2,90+Inputs!$B$25+Inputs!$B$28,IF(Skills!C20=3,120+Inputs!$B$26+Inputs!$B$28,MAX(0,(Inputs!$B$3-100)*3)+Inputs!$B$27+Inputs!$B$28)))</f>
        <v/>
      </c>
      <c r="E1135">
        <f>INDEX(FactorTable!$B$2:$Y$301, MATCH(ROUND(MIN(300,MAX(1,D1135)),0), FactorTable!$A$2:$A$301,0), Skills!M20+1)</f>
        <v/>
      </c>
      <c r="F1135">
        <f>IF(Skills!N20=TRUE,(Skills!L20/10)*(E1135/1000),Skills!L20/10)+Skills!O20</f>
        <v/>
      </c>
      <c r="G1135">
        <f>Calc!G20</f>
        <v/>
      </c>
      <c r="H1135">
        <f>Calc!H20</f>
        <v/>
      </c>
      <c r="I1135">
        <f>IF(Skills!AA20&lt;&gt;"",1+(Skills!AA20/10)*(U1118/1000)/100,1)</f>
        <v/>
      </c>
      <c r="J1135" t="inlineStr"/>
      <c r="K1135" t="inlineStr"/>
      <c r="L1135" t="inlineStr"/>
      <c r="M1135" t="inlineStr"/>
      <c r="N1135" t="inlineStr"/>
      <c r="O1135" t="n">
        <v>0</v>
      </c>
      <c r="P1135">
        <f>IF(B1159=0,0,O1135/B1159)</f>
        <v/>
      </c>
      <c r="Q1135">
        <f>IFERROR(1/IF(Inputs!$B$4="pvp",15,MAX(0.1,Skills!D20-IF(Skills!E20=TRUE,(Inputs!$B$31+1),0))),0)</f>
        <v/>
      </c>
      <c r="R1135">
        <f>IF(AND(Inputs!$B$4&lt;&gt;"pvp",Inputs!$B$35&gt;0),(INT(Inputs!$B$35/IF(Inputs!$B$4="pvp",15,MAX(0.1,Skills!D20-IF(Skills!E20=TRUE,(Inputs!$B$31+1),0))))+1),0)</f>
        <v/>
      </c>
      <c r="S1135">
        <f>IFERROR(O1135/N1135,0)</f>
        <v/>
      </c>
    </row>
    <row r="1136">
      <c r="A1136">
        <f>Skills!A21</f>
        <v/>
      </c>
      <c r="B1136">
        <f>Skills!B21</f>
        <v/>
      </c>
      <c r="C1136">
        <f>Inputs!$B$3&gt;=15</f>
        <v/>
      </c>
      <c r="D1136">
        <f>IF(Skills!C21=1,60+Inputs!$B$24+Inputs!$B$28,IF(Skills!C21=2,90+Inputs!$B$25+Inputs!$B$28,IF(Skills!C21=3,120+Inputs!$B$26+Inputs!$B$28,MAX(0,(Inputs!$B$3-100)*3)+Inputs!$B$27+Inputs!$B$28)))</f>
        <v/>
      </c>
      <c r="E1136">
        <f>INDEX(FactorTable!$B$2:$Y$301, MATCH(ROUND(MIN(300,MAX(1,D1136)),0), FactorTable!$A$2:$A$301,0), Skills!M21+1)</f>
        <v/>
      </c>
      <c r="F1136">
        <f>IF(Skills!N21=TRUE,(Skills!L21/10)*(E1136/1000),Skills!L21/10)+Skills!O21</f>
        <v/>
      </c>
      <c r="G1136">
        <f>Calc!G21</f>
        <v/>
      </c>
      <c r="H1136">
        <f>Calc!H21</f>
        <v/>
      </c>
      <c r="I1136">
        <f>IF(Skills!AA21&lt;&gt;"",1+(Skills!AA21/10)*(U1118/1000)/100,1)</f>
        <v/>
      </c>
      <c r="J1136" t="inlineStr"/>
      <c r="K1136" t="inlineStr"/>
      <c r="L1136" t="inlineStr"/>
      <c r="M1136" t="inlineStr"/>
      <c r="N1136" t="inlineStr"/>
      <c r="O1136" t="n">
        <v>0</v>
      </c>
      <c r="P1136">
        <f>IF(B1159=0,0,O1136/B1159)</f>
        <v/>
      </c>
      <c r="Q1136">
        <f>IFERROR(1/IF(Inputs!$B$4="pvp",15,MAX(0.1,Skills!D21-IF(Skills!E21=TRUE,(Inputs!$B$31+1),0))),0)</f>
        <v/>
      </c>
      <c r="R1136">
        <f>IF(AND(Inputs!$B$4&lt;&gt;"pvp",Inputs!$B$35&gt;0),(INT(Inputs!$B$35/IF(Inputs!$B$4="pvp",15,MAX(0.1,Skills!D21-IF(Skills!E21=TRUE,(Inputs!$B$31+1),0))))+1),0)</f>
        <v/>
      </c>
      <c r="S1136">
        <f>IFERROR(O1136/N1136,0)</f>
        <v/>
      </c>
    </row>
    <row r="1137">
      <c r="A1137">
        <f>Skills!A22</f>
        <v/>
      </c>
      <c r="B1137">
        <f>Skills!B22</f>
        <v/>
      </c>
      <c r="C1137">
        <f>Inputs!$B$3&gt;=33</f>
        <v/>
      </c>
      <c r="D1137">
        <f>IF(Skills!C22=1,60+Inputs!$B$24+Inputs!$B$28,IF(Skills!C22=2,90+Inputs!$B$25+Inputs!$B$28,IF(Skills!C22=3,120+Inputs!$B$26+Inputs!$B$28,MAX(0,(Inputs!$B$3-100)*3)+Inputs!$B$27+Inputs!$B$28)))</f>
        <v/>
      </c>
      <c r="E1137">
        <f>INDEX(FactorTable!$B$2:$Y$301, MATCH(ROUND(MIN(300,MAX(1,D1137)),0), FactorTable!$A$2:$A$301,0), Skills!M22+1)</f>
        <v/>
      </c>
      <c r="F1137">
        <f>IF(Skills!N22=TRUE,(Skills!L22/10)*(E1137/1000),Skills!L22/10)+Skills!O22</f>
        <v/>
      </c>
      <c r="G1137">
        <f>Calc!G22</f>
        <v/>
      </c>
      <c r="H1137">
        <f>Calc!H22</f>
        <v/>
      </c>
      <c r="I1137">
        <f>IF(Skills!AA22&lt;&gt;"",1+(Skills!AA22/10)*(U1118/1000)/100,1)</f>
        <v/>
      </c>
      <c r="J1137" t="inlineStr"/>
      <c r="K1137" t="inlineStr"/>
      <c r="L1137" t="inlineStr"/>
      <c r="M1137" t="inlineStr"/>
      <c r="N1137" t="inlineStr"/>
      <c r="O1137" t="n">
        <v>0</v>
      </c>
      <c r="P1137">
        <f>IF(B1159=0,0,O1137/B1159)</f>
        <v/>
      </c>
      <c r="Q1137" t="n">
        <v>0</v>
      </c>
      <c r="R1137" t="n">
        <v>0</v>
      </c>
      <c r="S1137">
        <f>IFERROR(O1137/N1137,0)</f>
        <v/>
      </c>
    </row>
    <row r="1138">
      <c r="A1138">
        <f>Skills!A23</f>
        <v/>
      </c>
      <c r="B1138">
        <f>Skills!B23</f>
        <v/>
      </c>
      <c r="C1138">
        <f>Inputs!$B$3&gt;=38</f>
        <v/>
      </c>
      <c r="D1138">
        <f>IF(Skills!C23=1,60+Inputs!$B$24+Inputs!$B$28,IF(Skills!C23=2,90+Inputs!$B$25+Inputs!$B$28,IF(Skills!C23=3,120+Inputs!$B$26+Inputs!$B$28,MAX(0,(Inputs!$B$3-100)*3)+Inputs!$B$27+Inputs!$B$28)))</f>
        <v/>
      </c>
      <c r="E1138">
        <f>INDEX(FactorTable!$B$2:$Y$301, MATCH(ROUND(MIN(300,MAX(1,D1138)),0), FactorTable!$A$2:$A$301,0), Skills!M23+1)</f>
        <v/>
      </c>
      <c r="F1138">
        <f>IF(Skills!N23=TRUE,(Skills!L23/10)*(E1138/1000),Skills!L23/10)+Skills!O23</f>
        <v/>
      </c>
      <c r="G1138">
        <f>Calc!G23</f>
        <v/>
      </c>
      <c r="H1138">
        <f>Calc!H23</f>
        <v/>
      </c>
      <c r="I1138">
        <f>IF(Skills!AA23&lt;&gt;"",1+(Skills!AA23/10)*(U1118/1000)/100,1)</f>
        <v/>
      </c>
      <c r="J1138" t="inlineStr"/>
      <c r="K1138" t="inlineStr"/>
      <c r="L1138" t="inlineStr"/>
      <c r="M1138" t="inlineStr"/>
      <c r="N1138" t="inlineStr"/>
      <c r="O1138" t="n">
        <v>0</v>
      </c>
      <c r="P1138">
        <f>IF(B1159=0,0,O1138/B1159)</f>
        <v/>
      </c>
      <c r="Q1138" t="n">
        <v>0</v>
      </c>
      <c r="R1138" t="n">
        <v>0</v>
      </c>
      <c r="S1138">
        <f>IFERROR(O1138/N1138,0)</f>
        <v/>
      </c>
    </row>
    <row r="1139">
      <c r="A1139">
        <f>Skills!A24</f>
        <v/>
      </c>
      <c r="B1139">
        <f>Skills!B24</f>
        <v/>
      </c>
      <c r="C1139">
        <f>Inputs!$B$3&gt;=40</f>
        <v/>
      </c>
      <c r="D1139">
        <f>IF(Skills!C24=1,60+Inputs!$B$24+Inputs!$B$28,IF(Skills!C24=2,90+Inputs!$B$25+Inputs!$B$28,IF(Skills!C24=3,120+Inputs!$B$26+Inputs!$B$28,MAX(0,(Inputs!$B$3-100)*3)+Inputs!$B$27+Inputs!$B$28)))</f>
        <v/>
      </c>
      <c r="E1139">
        <f>INDEX(FactorTable!$B$2:$Y$301, MATCH(ROUND(MIN(300,MAX(1,D1139)),0), FactorTable!$A$2:$A$301,0), Skills!M24+1)</f>
        <v/>
      </c>
      <c r="F1139">
        <f>IF(Skills!N24=TRUE,(Skills!L24/10)*(E1139/1000),Skills!L24/10)+Skills!O24</f>
        <v/>
      </c>
      <c r="G1139">
        <f>Calc!G24</f>
        <v/>
      </c>
      <c r="H1139">
        <f>Calc!H24</f>
        <v/>
      </c>
      <c r="I1139">
        <f>IF(Skills!AA24&lt;&gt;"",1+(Skills!AA24/10)*(U1118/1000)/100,1)</f>
        <v/>
      </c>
      <c r="J1139" t="inlineStr"/>
      <c r="K1139" t="inlineStr"/>
      <c r="L1139" t="inlineStr"/>
      <c r="M1139" t="inlineStr"/>
      <c r="N1139" t="inlineStr"/>
      <c r="O1139" t="n">
        <v>0</v>
      </c>
      <c r="P1139">
        <f>IF(B1159=0,0,O1139/B1159)</f>
        <v/>
      </c>
      <c r="Q1139" t="n">
        <v>0</v>
      </c>
      <c r="R1139" t="n">
        <v>0</v>
      </c>
      <c r="S1139">
        <f>IFERROR(O1139/N1139,0)</f>
        <v/>
      </c>
    </row>
    <row r="1140">
      <c r="A1140">
        <f>Skills!A25</f>
        <v/>
      </c>
      <c r="B1140">
        <f>Skills!B25</f>
        <v/>
      </c>
      <c r="C1140">
        <f>Inputs!$B$3&gt;=45</f>
        <v/>
      </c>
      <c r="D1140">
        <f>IF(Skills!C25=1,60+Inputs!$B$24+Inputs!$B$28,IF(Skills!C25=2,90+Inputs!$B$25+Inputs!$B$28,IF(Skills!C25=3,120+Inputs!$B$26+Inputs!$B$28,MAX(0,(Inputs!$B$3-100)*3)+Inputs!$B$27+Inputs!$B$28)))</f>
        <v/>
      </c>
      <c r="E1140">
        <f>INDEX(FactorTable!$B$2:$Y$301, MATCH(ROUND(MIN(300,MAX(1,D1140)),0), FactorTable!$A$2:$A$301,0), Skills!M25+1)</f>
        <v/>
      </c>
      <c r="F1140">
        <f>IF(Skills!N25=TRUE,(Skills!L25/10)*(E1140/1000),Skills!L25/10)+Skills!O25</f>
        <v/>
      </c>
      <c r="G1140">
        <f>Calc!G25</f>
        <v/>
      </c>
      <c r="H1140">
        <f>Calc!H25</f>
        <v/>
      </c>
      <c r="I1140">
        <f>IF(Skills!AA25&lt;&gt;"",1+(Skills!AA25/10)*(U1118/1000)/100,1)</f>
        <v/>
      </c>
      <c r="J1140" t="inlineStr"/>
      <c r="K1140" t="inlineStr"/>
      <c r="L1140" t="inlineStr"/>
      <c r="M1140" t="inlineStr"/>
      <c r="N1140" t="inlineStr"/>
      <c r="O1140" t="n">
        <v>0</v>
      </c>
      <c r="P1140">
        <f>IF(B1159=0,0,O1140/B1159)</f>
        <v/>
      </c>
      <c r="Q1140" t="n">
        <v>0</v>
      </c>
      <c r="R1140" t="n">
        <v>0</v>
      </c>
      <c r="S1140">
        <f>IFERROR(O1140/N1140,0)</f>
        <v/>
      </c>
    </row>
    <row r="1141">
      <c r="A1141">
        <f>Skills!A26</f>
        <v/>
      </c>
      <c r="B1141">
        <f>Skills!B26</f>
        <v/>
      </c>
      <c r="C1141">
        <f>Inputs!$B$3&gt;=45</f>
        <v/>
      </c>
      <c r="D1141">
        <f>IF(Skills!C26=1,60+Inputs!$B$24+Inputs!$B$28,IF(Skills!C26=2,90+Inputs!$B$25+Inputs!$B$28,IF(Skills!C26=3,120+Inputs!$B$26+Inputs!$B$28,MAX(0,(Inputs!$B$3-100)*3)+Inputs!$B$27+Inputs!$B$28)))</f>
        <v/>
      </c>
      <c r="E1141">
        <f>INDEX(FactorTable!$B$2:$Y$301, MATCH(ROUND(MIN(300,MAX(1,D1141)),0), FactorTable!$A$2:$A$301,0), Skills!M26+1)</f>
        <v/>
      </c>
      <c r="F1141">
        <f>IF(Skills!N26=TRUE,(Skills!L26/10)*(E1141/1000),Skills!L26/10)+Skills!O26</f>
        <v/>
      </c>
      <c r="G1141">
        <f>Calc!G26</f>
        <v/>
      </c>
      <c r="H1141">
        <f>Calc!H26</f>
        <v/>
      </c>
      <c r="I1141">
        <f>IF(Skills!AA26&lt;&gt;"",1+(Skills!AA26/10)*(U1118/1000)/100,1)</f>
        <v/>
      </c>
      <c r="J1141" t="inlineStr"/>
      <c r="K1141" t="inlineStr"/>
      <c r="L1141" t="inlineStr"/>
      <c r="M1141" t="inlineStr"/>
      <c r="N1141" t="inlineStr"/>
      <c r="O1141" t="n">
        <v>0</v>
      </c>
      <c r="P1141">
        <f>IF(B1159=0,0,O1141/B1159)</f>
        <v/>
      </c>
      <c r="Q1141" t="n">
        <v>0</v>
      </c>
      <c r="R1141" t="n">
        <v>0</v>
      </c>
      <c r="S1141">
        <f>IFERROR(O1141/N1141,0)</f>
        <v/>
      </c>
    </row>
    <row r="1142">
      <c r="A1142">
        <f>Skills!A27</f>
        <v/>
      </c>
      <c r="B1142">
        <f>Skills!B27</f>
        <v/>
      </c>
      <c r="C1142">
        <f>Inputs!$B$3&gt;=72</f>
        <v/>
      </c>
      <c r="D1142">
        <f>IF(Skills!C27=1,60+Inputs!$B$24+Inputs!$B$28,IF(Skills!C27=2,90+Inputs!$B$25+Inputs!$B$28,IF(Skills!C27=3,120+Inputs!$B$26+Inputs!$B$28,MAX(0,(Inputs!$B$3-100)*3)+Inputs!$B$27+Inputs!$B$28)))</f>
        <v/>
      </c>
      <c r="E1142">
        <f>INDEX(FactorTable!$B$2:$Y$301, MATCH(ROUND(MIN(300,MAX(1,D1142)),0), FactorTable!$A$2:$A$301,0), Skills!M27+1)</f>
        <v/>
      </c>
      <c r="F1142">
        <f>IF(Skills!N27=TRUE,(Skills!L27/10)*(E1142/1000),Skills!L27/10)+Skills!O27</f>
        <v/>
      </c>
      <c r="G1142">
        <f>Calc!G27</f>
        <v/>
      </c>
      <c r="H1142">
        <f>Calc!H27</f>
        <v/>
      </c>
      <c r="I1142">
        <f>IF(Skills!AA27&lt;&gt;"",1+(Skills!AA27/10)*(U1118/1000)/100,1)</f>
        <v/>
      </c>
      <c r="J1142" t="inlineStr"/>
      <c r="K1142" t="inlineStr"/>
      <c r="L1142" t="inlineStr"/>
      <c r="M1142" t="inlineStr"/>
      <c r="N1142" t="inlineStr"/>
      <c r="O1142" t="n">
        <v>0</v>
      </c>
      <c r="P1142">
        <f>IF(B1159=0,0,O1142/B1159)</f>
        <v/>
      </c>
      <c r="Q1142" t="n">
        <v>0</v>
      </c>
      <c r="R1142" t="n">
        <v>0</v>
      </c>
      <c r="S1142">
        <f>IFERROR(O1142/N1142,0)</f>
        <v/>
      </c>
    </row>
    <row r="1143">
      <c r="A1143">
        <f>Skills!A28</f>
        <v/>
      </c>
      <c r="B1143">
        <f>Skills!B28</f>
        <v/>
      </c>
      <c r="C1143">
        <f>Inputs!$B$3&gt;=75</f>
        <v/>
      </c>
      <c r="D1143">
        <f>IF(Skills!C28=1,60+Inputs!$B$24+Inputs!$B$28,IF(Skills!C28=2,90+Inputs!$B$25+Inputs!$B$28,IF(Skills!C28=3,120+Inputs!$B$26+Inputs!$B$28,MAX(0,(Inputs!$B$3-100)*3)+Inputs!$B$27+Inputs!$B$28)))</f>
        <v/>
      </c>
      <c r="E1143">
        <f>INDEX(FactorTable!$B$2:$Y$301, MATCH(ROUND(MIN(300,MAX(1,D1143)),0), FactorTable!$A$2:$A$301,0), Skills!M28+1)</f>
        <v/>
      </c>
      <c r="F1143">
        <f>IF(Skills!N28=TRUE,(Skills!L28/10)*(E1143/1000),Skills!L28/10)+Skills!O28</f>
        <v/>
      </c>
      <c r="G1143">
        <f>Calc!G28</f>
        <v/>
      </c>
      <c r="H1143">
        <f>Calc!H28</f>
        <v/>
      </c>
      <c r="I1143">
        <f>IF(Skills!AA28&lt;&gt;"",1+(Skills!AA28/10)*(U1118/1000)/100,1)</f>
        <v/>
      </c>
      <c r="J1143" t="inlineStr"/>
      <c r="K1143" t="inlineStr"/>
      <c r="L1143" t="inlineStr"/>
      <c r="M1143" t="inlineStr"/>
      <c r="N1143" t="inlineStr"/>
      <c r="O1143" t="n">
        <v>0</v>
      </c>
      <c r="P1143">
        <f>IF(B1159=0,0,O1143/B1159)</f>
        <v/>
      </c>
      <c r="Q1143" t="n">
        <v>0</v>
      </c>
      <c r="R1143" t="n">
        <v>0</v>
      </c>
      <c r="S1143">
        <f>IFERROR(O1143/N1143,0)</f>
        <v/>
      </c>
    </row>
    <row r="1144">
      <c r="A1144">
        <f>Skills!A29</f>
        <v/>
      </c>
      <c r="B1144">
        <f>Skills!B29</f>
        <v/>
      </c>
      <c r="C1144">
        <f>Inputs!$B$3&gt;=120</f>
        <v/>
      </c>
      <c r="D1144">
        <f>IF(Skills!C29=1,60+Inputs!$B$24+Inputs!$B$28,IF(Skills!C29=2,90+Inputs!$B$25+Inputs!$B$28,IF(Skills!C29=3,120+Inputs!$B$26+Inputs!$B$28,MAX(0,(Inputs!$B$3-100)*3)+Inputs!$B$27+Inputs!$B$28)))</f>
        <v/>
      </c>
      <c r="E1144">
        <f>INDEX(FactorTable!$B$2:$Y$301, MATCH(ROUND(MIN(300,MAX(1,D1144)),0), FactorTable!$A$2:$A$301,0), Skills!M29+1)</f>
        <v/>
      </c>
      <c r="F1144">
        <f>IF(Skills!N29=TRUE,(Skills!L29/10)*(E1144/1000),Skills!L29/10)+Skills!O29</f>
        <v/>
      </c>
      <c r="G1144">
        <f>Calc!G29</f>
        <v/>
      </c>
      <c r="H1144">
        <f>Calc!H29</f>
        <v/>
      </c>
      <c r="I1144">
        <f>IF(Skills!AA29&lt;&gt;"",1+(Skills!AA29/10)*(U1118/1000)/100,1)</f>
        <v/>
      </c>
      <c r="J1144" t="inlineStr"/>
      <c r="K1144" t="inlineStr"/>
      <c r="L1144" t="inlineStr"/>
      <c r="M1144" t="inlineStr"/>
      <c r="N1144" t="inlineStr"/>
      <c r="O1144" t="n">
        <v>0</v>
      </c>
      <c r="P1144">
        <f>IF(B1159=0,0,O1144/B1159)</f>
        <v/>
      </c>
      <c r="Q1144" t="n">
        <v>0</v>
      </c>
      <c r="R1144" t="n">
        <v>0</v>
      </c>
      <c r="S1144">
        <f>IFERROR(O1144/N1144,0)</f>
        <v/>
      </c>
    </row>
    <row r="1145">
      <c r="A1145">
        <f>Skills!A30</f>
        <v/>
      </c>
      <c r="B1145">
        <f>Skills!B30</f>
        <v/>
      </c>
      <c r="C1145">
        <f>Inputs!$B$3&gt;=125</f>
        <v/>
      </c>
      <c r="D1145">
        <f>IF(Skills!C30=1,60+Inputs!$B$24+Inputs!$B$28,IF(Skills!C30=2,90+Inputs!$B$25+Inputs!$B$28,IF(Skills!C30=3,120+Inputs!$B$26+Inputs!$B$28,MAX(0,(Inputs!$B$3-100)*3)+Inputs!$B$27+Inputs!$B$28)))</f>
        <v/>
      </c>
      <c r="E1145">
        <f>INDEX(FactorTable!$B$2:$Y$301, MATCH(ROUND(MIN(300,MAX(1,D1145)),0), FactorTable!$A$2:$A$301,0), Skills!M30+1)</f>
        <v/>
      </c>
      <c r="F1145">
        <f>IF(Skills!N30=TRUE,(Skills!L30/10)*(E1145/1000),Skills!L30/10)+Skills!O30</f>
        <v/>
      </c>
      <c r="G1145">
        <f>Calc!G30</f>
        <v/>
      </c>
      <c r="H1145">
        <f>Calc!H30</f>
        <v/>
      </c>
      <c r="I1145">
        <f>IF(Skills!AA30&lt;&gt;"",1+(Skills!AA30/10)*(U1118/1000)/100,1)</f>
        <v/>
      </c>
      <c r="J1145" t="inlineStr"/>
      <c r="K1145" t="inlineStr"/>
      <c r="L1145" t="inlineStr"/>
      <c r="M1145" t="inlineStr"/>
      <c r="N1145" t="inlineStr"/>
      <c r="O1145" t="n">
        <v>0</v>
      </c>
      <c r="P1145">
        <f>IF(B1159=0,0,O1145/B1159)</f>
        <v/>
      </c>
      <c r="Q1145" t="n">
        <v>0</v>
      </c>
      <c r="R1145" t="n">
        <v>0</v>
      </c>
      <c r="S1145">
        <f>IFERROR(O1145/N1145,0)</f>
        <v/>
      </c>
    </row>
    <row r="1146">
      <c r="A1146">
        <f>Skills!A31</f>
        <v/>
      </c>
      <c r="B1146">
        <f>Skills!B31</f>
        <v/>
      </c>
      <c r="C1146">
        <f>Inputs!$B$3&gt;=107</f>
        <v/>
      </c>
      <c r="D1146">
        <f>IF(Skills!C31=1,60+Inputs!$B$24+Inputs!$B$28,IF(Skills!C31=2,90+Inputs!$B$25+Inputs!$B$28,IF(Skills!C31=3,120+Inputs!$B$26+Inputs!$B$28,MAX(0,(Inputs!$B$3-100)*3)+Inputs!$B$27+Inputs!$B$28)))</f>
        <v/>
      </c>
      <c r="E1146">
        <f>INDEX(FactorTable!$B$2:$Y$301, MATCH(ROUND(MIN(300,MAX(1,D1146)),0), FactorTable!$A$2:$A$301,0), Skills!M31+1)</f>
        <v/>
      </c>
      <c r="F1146">
        <f>IF(Skills!N31=TRUE,(Skills!L31/10)*(E1146/1000),Skills!L31/10)+Skills!O31</f>
        <v/>
      </c>
      <c r="G1146">
        <f>Calc!G31</f>
        <v/>
      </c>
      <c r="H1146">
        <f>Calc!H31</f>
        <v/>
      </c>
      <c r="I1146">
        <f>IF(Skills!AA31&lt;&gt;"",1+(Skills!AA31/10)*(U1118/1000)/100,1)</f>
        <v/>
      </c>
      <c r="J1146" t="inlineStr"/>
      <c r="K1146" t="inlineStr"/>
      <c r="L1146" t="inlineStr"/>
      <c r="M1146" t="inlineStr"/>
      <c r="N1146" t="inlineStr"/>
      <c r="O1146" t="n">
        <v>0</v>
      </c>
      <c r="P1146">
        <f>IF(B1159=0,0,O1146/B1159)</f>
        <v/>
      </c>
      <c r="Q1146" t="n">
        <v>0</v>
      </c>
      <c r="R1146" t="n">
        <v>0</v>
      </c>
      <c r="S1146">
        <f>IFERROR(O1146/N1146,0)</f>
        <v/>
      </c>
    </row>
    <row r="1148">
      <c r="A1148" t="inlineStr">
        <is>
          <t>Actions Per Second (pre-Adrenalin)</t>
        </is>
      </c>
      <c r="B1148">
        <f>1+MIN(150,150*(1-(1-(Inputs!$B$10+((C1137=TRUE)*(F1137-Calc!F22)))/150)*(1-((C1134=TRUE)*F1134*IF(AND(Inputs!$B$4&lt;&gt;"pvp",Inputs!$B$35&gt;0),(((S1134-1)*(Skills!Y19*(1+Inputs!$B$33/100))+MIN((Skills!Y19*(1+Inputs!$B$33/100)),MAX(0,Inputs!$B$35-((S1134-1)*Skills!D19))))/Inputs!$B$35),IF(Inputs!$B$4="pvp",MIN((Skills!Y19*(1+Inputs!$B$33/100)),15)/15,(Skills!Y19*(1+Inputs!$B$33/100))/Skills!D19)))/150)))/100</f>
        <v/>
      </c>
    </row>
    <row r="1149">
      <c r="A1149" t="inlineStr">
        <is>
          <t>Alchemic Adrenaline Uptime</t>
        </is>
      </c>
      <c r="B1149">
        <f>(Skills!Y6*(1+Inputs!$B$33/100))/((Skills!Y6*(1+Inputs!$B$33/100))+(5/B1148))</f>
        <v/>
      </c>
    </row>
    <row r="1150">
      <c r="A1150" t="inlineStr">
        <is>
          <t>Attack Speed Buff Bonus %</t>
        </is>
      </c>
      <c r="B1150">
        <f>((C1134=TRUE)*F1134*IF(AND(Inputs!$B$4&lt;&gt;"pvp",Inputs!$B$35&gt;0),(((S1134-1)*(Skills!Y19*(1+Inputs!$B$33/100))+MIN((Skills!Y19*(1+Inputs!$B$33/100)),MAX(0,Inputs!$B$35-((S1134-1)*Skills!D19))))/Inputs!$B$35),IF(Inputs!$B$4="pvp",MIN((Skills!Y19*(1+Inputs!$B$33/100)),15)/15,(Skills!Y19*(1+Inputs!$B$33/100))/Skills!D19)))+((C1122=TRUE)*F1122*B1149)</f>
        <v/>
      </c>
    </row>
    <row r="1151">
      <c r="A1151" t="inlineStr">
        <is>
          <t>Actions Per Second (final)</t>
        </is>
      </c>
      <c r="B1151">
        <f>1+MIN(150,150*(1-(1-(Inputs!$B$10+((C1137=TRUE)*(F1137-Calc!F22)))/150)*(1-B1150/150)))/100</f>
        <v/>
      </c>
    </row>
    <row r="1152">
      <c r="A1152" t="inlineStr">
        <is>
          <t>Skill + Buff Cast Rate</t>
        </is>
      </c>
      <c r="B1152">
        <f>IF(AND(Inputs!$B$4&lt;&gt;"pvp",Inputs!$B$35&gt;0),SUMPRODUCT((Skills!E2:E31=TRUE)*(C1117:C1146=TRUE)*R1117:R1146*Skills!F2:F31)/Inputs!$B$35,SUMPRODUCT((Skills!E2:E31=TRUE)*(C1117:C1146=TRUE)*Q1117:Q1146*Skills!F2:F31))</f>
        <v/>
      </c>
    </row>
    <row r="1153">
      <c r="A1153" t="inlineStr">
        <is>
          <t>Showdown Casts Per Second</t>
        </is>
      </c>
      <c r="B1153">
        <f>MAX(0,B1151-B1152)</f>
        <v/>
      </c>
    </row>
    <row r="1154">
      <c r="A1154" t="inlineStr">
        <is>
          <t>Average Buff Multiplier</t>
        </is>
      </c>
      <c r="B1154">
        <f>(1+(((C1136=TRUE)*F1136*IF(AND(Inputs!$B$4&lt;&gt;"pvp",Inputs!$B$35&gt;0),(((S1136-1)*(Skills!Y21*(1+Inputs!$B$33/100))+MIN((Skills!Y21*(1+Inputs!$B$33/100)),MAX(0,Inputs!$B$35-((S1136-1)*Skills!D21))))/Inputs!$B$35),IF(Inputs!$B$4="pvp",MIN((Skills!Y21*(1+Inputs!$B$33/100)),15)/15,(Skills!Y21*(1+Inputs!$B$33/100))/Skills!D21)))+((C1143=TRUE)*(F1143-Calc!F28))+((C1133=TRUE)*(F1133-Calc!F18)))/100)*(1+((C1130=TRUE)*F1130*IF(AND(Inputs!$B$4&lt;&gt;"pvp",Inputs!$B$35&gt;0),(((S1130-1)*(Skills!Y15*(1+Inputs!$B$33/100))+MIN((Skills!Y15*(1+Inputs!$B$33/100)),MAX(0,Inputs!$B$35-((S1130-1)*Skills!D15))))/Inputs!$B$35),IF(Inputs!$B$4="pvp",MIN((Skills!Y15*(1+Inputs!$B$33/100)),15)/15,(Skills!Y15*(1+Inputs!$B$33/100))/Skills!D15)))/100)*(1+((C1121=TRUE)*F1121*B1149)/100)</f>
        <v/>
      </c>
    </row>
    <row r="1155">
      <c r="A1155" t="inlineStr">
        <is>
          <t>Global Crit Rate Bonus %</t>
        </is>
      </c>
      <c r="B1155">
        <f>IF(Inputs!$B$3&gt;=47,8,0)+((C1135=TRUE)*F1135*IF(AND(Inputs!$B$4&lt;&gt;"pvp",Inputs!$B$35&gt;0),(((S1135-1)*(Skills!Y20*(1+Inputs!$B$33/100))+MIN((Skills!Y20*(1+Inputs!$B$33/100)),MAX(0,Inputs!$B$35-((S1135-1)*Skills!D20))))/Inputs!$B$35),IF(Inputs!$B$4="pvp",MIN((Skills!Y20*(1+Inputs!$B$33/100)),15)/15,(Skills!Y20*(1+Inputs!$B$33/100))/Skills!D20)))</f>
        <v/>
      </c>
    </row>
    <row r="1156">
      <c r="A1156" t="inlineStr">
        <is>
          <t>Global Monster Damage-Taken Bonus %</t>
        </is>
      </c>
      <c r="B1156">
        <f>IF(Inputs!$B$3&gt;=82,15,0)+((C1131=TRUE)*F1131*IF(AND(Inputs!$B$4&lt;&gt;"pvp",Inputs!$B$35&gt;0),(((S1131-1)*(Skills!Y16*(1+Inputs!$B$33/100))+MIN((Skills!Y16*(1+Inputs!$B$33/100)),MAX(0,Inputs!$B$35-((S1131-1)*Skills!D16))))/Inputs!$B$35),IF(Inputs!$B$4="pvp",MIN((Skills!Y16*(1+Inputs!$B$33/100)),15)/15,(Skills!Y16*(1+Inputs!$B$33/100))/Skills!D16)))</f>
        <v/>
      </c>
    </row>
    <row r="1157">
      <c r="A1157" t="inlineStr">
        <is>
          <t>Shadow Partner Average Multiplier</t>
        </is>
      </c>
      <c r="B1157">
        <f>1+((C1126=TRUE)*F1126*I1126*Skills!J11/100)/100</f>
        <v/>
      </c>
    </row>
    <row r="1158">
      <c r="A1158" t="inlineStr">
        <is>
          <t>Global Critical Damage Bonus % (Frailty Curse Mastery Lv.111)</t>
        </is>
      </c>
      <c r="B1158">
        <f>IF(Inputs!$B$3&gt;=111,30,0)*IF(AND(Inputs!$B$4&lt;&gt;"pvp",Inputs!$B$35&gt;0),(((S1131-1)*(Skills!Y16*(1+Inputs!$B$33/100))+MIN((Skills!Y16*(1+Inputs!$B$33/100)),MAX(0,Inputs!$B$35-((S1131-1)*Skills!D16))))/Inputs!$B$35),IF(Inputs!$B$4="pvp",MIN((Skills!Y16*(1+Inputs!$B$33/100)),15)/15,(Skills!Y16*(1+Inputs!$B$33/100))/Skills!D16))</f>
        <v/>
      </c>
    </row>
    <row r="1159">
      <c r="A1159" s="5" t="inlineStr">
        <is>
          <t>TOTAL DPS</t>
        </is>
      </c>
      <c r="B1159" s="5">
        <f>SUM(O1117:O1146)</f>
        <v/>
      </c>
    </row>
    <row r="1162">
      <c r="A1162" s="5" t="inlineStr">
        <is>
          <t>Stat: Basic Attack Target Increase (flat)</t>
        </is>
      </c>
    </row>
    <row r="1163">
      <c r="A1163" s="8" t="inlineStr">
        <is>
          <t>Key</t>
        </is>
      </c>
      <c r="B1163" s="8" t="inlineStr">
        <is>
          <t>Name</t>
        </is>
      </c>
      <c r="C1163" s="8" t="inlineStr">
        <is>
          <t>Unlocked</t>
        </is>
      </c>
      <c r="D1163" s="8" t="inlineStr">
        <is>
          <t>InputLevel</t>
        </is>
      </c>
      <c r="E1163" s="8" t="inlineStr">
        <is>
          <t>Factor</t>
        </is>
      </c>
      <c r="F1163" s="8" t="inlineStr">
        <is>
          <t>CoefficientPercent</t>
        </is>
      </c>
      <c r="G1163" s="8" t="inlineStr">
        <is>
          <t>EffectiveHits</t>
        </is>
      </c>
      <c r="H1163" s="8" t="inlineStr">
        <is>
          <t>ProcProbability</t>
        </is>
      </c>
      <c r="I1163" s="8" t="inlineStr">
        <is>
          <t>MapleHeroMultiplier</t>
        </is>
      </c>
      <c r="J1163" s="8" t="inlineStr">
        <is>
          <t>BaseDamage</t>
        </is>
      </c>
      <c r="K1163" s="8" t="inlineStr">
        <is>
          <t>BaseHitDamage</t>
        </is>
      </c>
      <c r="L1163" s="8" t="inlineStr">
        <is>
          <t>NonCritAvg</t>
        </is>
      </c>
      <c r="M1163" s="8" t="inlineStr">
        <is>
          <t>CritAvg</t>
        </is>
      </c>
      <c r="N1163" s="8" t="inlineStr">
        <is>
          <t>ExpectedDamage(perHit)</t>
        </is>
      </c>
      <c r="O1163" s="8" t="inlineStr">
        <is>
          <t>DPS</t>
        </is>
      </c>
      <c r="P1163" s="8" t="inlineStr">
        <is>
          <t>% of Total</t>
        </is>
      </c>
      <c r="Q1163" s="8" t="inlineStr">
        <is>
          <t>InvCooldown</t>
        </is>
      </c>
      <c r="R1163" s="8" t="inlineStr">
        <is>
          <t>CastsInFight</t>
        </is>
      </c>
      <c r="S1163" s="8" t="inlineStr">
        <is>
          <t>HitRate(perSec)</t>
        </is>
      </c>
      <c r="U1163" t="inlineStr">
        <is>
          <t>helpers</t>
        </is>
      </c>
    </row>
    <row r="1164">
      <c r="A1164">
        <f>Skills!A2</f>
        <v/>
      </c>
      <c r="B1164">
        <f>Skills!B2</f>
        <v/>
      </c>
      <c r="C1164">
        <f>Inputs!$B$3&gt;=100</f>
        <v/>
      </c>
      <c r="D1164" t="inlineStr"/>
      <c r="E1164" t="inlineStr"/>
      <c r="F1164">
        <f>U1168+Skills!O2</f>
        <v/>
      </c>
      <c r="G1164">
        <f>Calc!G2</f>
        <v/>
      </c>
      <c r="H1164">
        <f>Calc!H2</f>
        <v/>
      </c>
      <c r="I1164">
        <f>IF(Skills!AA2&lt;&gt;"",1+(Skills!AA2/10)*(U1165/1000)/100,1)</f>
        <v/>
      </c>
      <c r="J1164">
        <f>(Inputs!$B$5*(1+Inputs!$B$6/100))*(F1164/100)</f>
        <v/>
      </c>
      <c r="K1164">
        <f>J1164*(1+((Inputs!$B$11*(1+Inputs!$B$12/100))*0.01+Inputs!$B$13*0.0025)/100)*(1+Inputs!$B$14/100)*(1+IF(Inputs!$B$4="pvp",0,(1-Summary!$B$55)*(Inputs!$B$19+((C1189=TRUE)*(F1189-Calc!F27))+Skills!P2+B1203)+Summary!$B$55*(Inputs!$B$20+Skills!Q2+B1203))/100)*(1+Inputs!$B$15/100)*(5000/(6000+Inputs!$B$7*(1-Inputs!$B$18/100)))*(1+(Inputs!$B$23+((C1192=TRUE)*(F1192-Calc!F30)))/100)*(1+Skills!R2/100)*(1+(IF(Skills!A2="SHOWDOWN",Inputs!$B$16+((C1185=TRUE)*(F1185-Calc!F23)),Inputs!$B$17+((C1191=TRUE)*(F1191-Calc!F29))))/100)*(((1+(((C1183=TRUE)*F1183*IF(AND(Inputs!$B$4&lt;&gt;"pvp",Inputs!$B$35&gt;0),(((S1183-1)*(Skills!Y21*(1+Inputs!$B$33/100))+MIN((Skills!Y21*(1+Inputs!$B$33/100)),MAX(0,Inputs!$B$35-((S1183-1)*Skills!D21))))/Inputs!$B$35),IF(Inputs!$B$4="pvp",MIN((Skills!Y21*(1+Inputs!$B$33/100)),15)/15,(Skills!Y21*(1+Inputs!$B$33/100))/Skills!D21)))+((C1190=TRUE)*(F1190-Calc!F28))+((C1180=TRUE)*(F1180-Calc!F18)))/100)*(1+((C1177=TRUE)*F1177*IF(AND(Inputs!$B$4&lt;&gt;"pvp",Inputs!$B$35&gt;0),(((S1177-1)*(Skills!Y15*(1+Inputs!$B$33/100))+MIN((Skills!Y15*(1+Inputs!$B$33/100)),MAX(0,Inputs!$B$35-((S1177-1)*Skills!D15))))/Inputs!$B$35),IF(Inputs!$B$4="pvp",MIN((Skills!Y15*(1+Inputs!$B$33/100)),15)/15,(Skills!Y15*(1+Inputs!$B$33/100))/Skills!D15)))/100)*(1+((C1168=TRUE)*F1168*B1196)/100))*B1204*I1164)</f>
        <v/>
      </c>
      <c r="L1164">
        <f>K1164*(MIN(Inputs!$B$21+((C1186=TRUE)*(F1186-Calc!F24)),Inputs!$B$22)/100+Inputs!$B$22/100)/2</f>
        <v/>
      </c>
      <c r="M1164">
        <f>L1164*(1+(Inputs!$B$9+((C1188=TRUE)*(F1188-Calc!F26))+B1205)/100)</f>
        <v/>
      </c>
      <c r="N1164">
        <f>L1164*(1-MIN((Inputs!$B$8+((C1187=TRUE)*(F1187-Calc!F25))+B1202),100)/100)+M1164*(MIN((Inputs!$B$8+((C1187=TRUE)*(F1187-Calc!F25))+B1202),100)/100)</f>
        <v/>
      </c>
      <c r="O1164">
        <f>IF(C1164,Skills!G2*N1164*B1200*IF(Inputs!$B$4="pvp",1,(1-Summary!$B$55)*(1)+Summary!$B$55*(MIN((6+(Inputs!$B$32+1)),Inputs!$B$37))),0)</f>
        <v/>
      </c>
      <c r="P1164">
        <f>IF(B1206=0,0,O1164/B1206)</f>
        <v/>
      </c>
      <c r="Q1164" t="n">
        <v>0</v>
      </c>
      <c r="R1164" t="n">
        <v>0</v>
      </c>
      <c r="S1164">
        <f>IFERROR(O1164/N1164,0)</f>
        <v/>
      </c>
      <c r="U1164">
        <f>MAX(0,(Inputs!$B$3-100)*3)+Inputs!$B$27+Inputs!$B$28</f>
        <v/>
      </c>
    </row>
    <row r="1165">
      <c r="A1165">
        <f>Skills!A3</f>
        <v/>
      </c>
      <c r="B1165">
        <f>Skills!B3</f>
        <v/>
      </c>
      <c r="C1165">
        <f>Inputs!$B$3&gt;=35</f>
        <v/>
      </c>
      <c r="D1165">
        <f>IF(Skills!C3=1,60+Inputs!$B$24+Inputs!$B$28,IF(Skills!C3=2,90+Inputs!$B$25+Inputs!$B$28,IF(Skills!C3=3,120+Inputs!$B$26+Inputs!$B$28,MAX(0,(Inputs!$B$3-100)*3)+Inputs!$B$27+Inputs!$B$28)))</f>
        <v/>
      </c>
      <c r="E1165">
        <f>INDEX(FactorTable!$B$2:$Y$301, MATCH(ROUND(MIN(300,MAX(1,D1165)),0), FactorTable!$A$2:$A$301,0), Skills!M3+1)</f>
        <v/>
      </c>
      <c r="F1165">
        <f>IF(Skills!N3=TRUE,(Skills!L3/10)*(E1165/1000),Skills!L3/10)+Skills!O3</f>
        <v/>
      </c>
      <c r="G1165">
        <f>Calc!G3</f>
        <v/>
      </c>
      <c r="H1165">
        <f>Calc!H3</f>
        <v/>
      </c>
      <c r="I1165">
        <f>IF(Skills!AA3&lt;&gt;"",1+(Skills!AA3/10)*(U1165/1000)/100,1)</f>
        <v/>
      </c>
      <c r="J1165">
        <f>(Inputs!$B$5*(1+Inputs!$B$6/100))*(F1165/100)</f>
        <v/>
      </c>
      <c r="K1165">
        <f>J1165*(1+((Inputs!$B$11*(1+Inputs!$B$12/100))*0.01+Inputs!$B$13*0.0025)/100)*(1+Inputs!$B$14/100)*(1+IF(Inputs!$B$4="pvp",0,(1-Summary!$B$55)*(Inputs!$B$19+((C1189=TRUE)*(F1189-Calc!F27))+Skills!P3+B1203)+Summary!$B$55*(Inputs!$B$20+Skills!Q3+B1203))/100)*(1+Inputs!$B$15/100)*(5000/(6000+Inputs!$B$7*(1-Inputs!$B$18/100)))*(1+(Inputs!$B$23+((C1192=TRUE)*(F1192-Calc!F30)))/100)*(1+Skills!R3/100)*(1+(IF(Skills!A3="SHOWDOWN",Inputs!$B$16+((C1185=TRUE)*(F1185-Calc!F23)),Inputs!$B$17+((C1191=TRUE)*(F1191-Calc!F29))))/100)*(((1+(((C1183=TRUE)*F1183*IF(AND(Inputs!$B$4&lt;&gt;"pvp",Inputs!$B$35&gt;0),(((S1183-1)*(Skills!Y21*(1+Inputs!$B$33/100))+MIN((Skills!Y21*(1+Inputs!$B$33/100)),MAX(0,Inputs!$B$35-((S1183-1)*Skills!D21))))/Inputs!$B$35),IF(Inputs!$B$4="pvp",MIN((Skills!Y21*(1+Inputs!$B$33/100)),15)/15,(Skills!Y21*(1+Inputs!$B$33/100))/Skills!D21)))+((C1190=TRUE)*(F1190-Calc!F28))+((C1180=TRUE)*(F1180-Calc!F18)))/100)*(1+((C1177=TRUE)*F1177*IF(AND(Inputs!$B$4&lt;&gt;"pvp",Inputs!$B$35&gt;0),(((S1177-1)*(Skills!Y15*(1+Inputs!$B$33/100))+MIN((Skills!Y15*(1+Inputs!$B$33/100)),MAX(0,Inputs!$B$35-((S1177-1)*Skills!D15))))/Inputs!$B$35),IF(Inputs!$B$4="pvp",MIN((Skills!Y15*(1+Inputs!$B$33/100)),15)/15,(Skills!Y15*(1+Inputs!$B$33/100))/Skills!D15)))/100)*(1+((C1168=TRUE)*F1168*B1196)/100))*B1204*I1165)</f>
        <v/>
      </c>
      <c r="L1165">
        <f>K1165*(MIN(Inputs!$B$21+((C1186=TRUE)*(F1186-Calc!F24)),Inputs!$B$22)/100+Inputs!$B$22/100)/2</f>
        <v/>
      </c>
      <c r="M1165">
        <f>L1165*(1+(Inputs!$B$9+((C1188=TRUE)*(F1188-Calc!F26))+B1205)/100)</f>
        <v/>
      </c>
      <c r="N1165">
        <f>L1165*(1-MIN((Inputs!$B$8+((C1187=TRUE)*(F1187-Calc!F25))+B1202),100)/100)+M1165*(MIN((Inputs!$B$8+((C1187=TRUE)*(F1187-Calc!F25))+B1202),100)/100)</f>
        <v/>
      </c>
      <c r="O1165">
        <f>IF(C1165,H1165*N1165*IF(AND(Inputs!$B$4&lt;&gt;"pvp",Inputs!$B$35&gt;0),((Skills!G3*((R1165-1)*IF(Skills!H3&gt;0,Skills!I3/Skills!H3,1)+IF(Skills!H3&gt;0,MIN(Skills!I3,MAX(0,Inputs!$B$35-((R1165-1)*IF(Inputs!$B$4="pvp",15,MAX(0.1,Skills!D3-IF(Skills!E3=TRUE,Inputs!$B$31,0))))))/Skills!H3,1)))/Inputs!$B$35),G1165*Q1165)*IF(Inputs!$B$4="pvp",1,(1-Summary!$B$55)*(1)+Summary!$B$55*(MIN(Skills!W3,Inputs!$B$37))),0)</f>
        <v/>
      </c>
      <c r="P1165">
        <f>IF(B1206=0,0,O1165/B1206)</f>
        <v/>
      </c>
      <c r="Q1165">
        <f>IFERROR(1/IF(Inputs!$B$4="pvp",15,MAX(0.1,Skills!D3-IF(Skills!E3=TRUE,Inputs!$B$31,0))),0)</f>
        <v/>
      </c>
      <c r="R1165">
        <f>IF(AND(Inputs!$B$4&lt;&gt;"pvp",Inputs!$B$35&gt;0),(INT(Inputs!$B$35/IF(Inputs!$B$4="pvp",15,MAX(0.1,Skills!D3-IF(Skills!E3=TRUE,Inputs!$B$31,0))))+1),0)</f>
        <v/>
      </c>
      <c r="S1165">
        <f>IFERROR(O1165/N1165,0)</f>
        <v/>
      </c>
      <c r="U1165">
        <f>INDEX(FactorTable!$B$2:$Y$301, MATCH(ROUND(MIN(300,MAX(1,U1164)),0), FactorTable!$A$2:$A$301,0), 24)</f>
        <v/>
      </c>
    </row>
    <row r="1166">
      <c r="A1166">
        <f>Skills!A4</f>
        <v/>
      </c>
      <c r="B1166">
        <f>Skills!B4</f>
        <v/>
      </c>
      <c r="C1166">
        <f>Inputs!$B$3&gt;=40</f>
        <v/>
      </c>
      <c r="D1166">
        <f>IF(Skills!C4=1,60+Inputs!$B$24+Inputs!$B$28,IF(Skills!C4=2,90+Inputs!$B$25+Inputs!$B$28,IF(Skills!C4=3,120+Inputs!$B$26+Inputs!$B$28,MAX(0,(Inputs!$B$3-100)*3)+Inputs!$B$27+Inputs!$B$28)))</f>
        <v/>
      </c>
      <c r="E1166">
        <f>INDEX(FactorTable!$B$2:$Y$301, MATCH(ROUND(MIN(300,MAX(1,D1166)),0), FactorTable!$A$2:$A$301,0), Skills!M4+1)</f>
        <v/>
      </c>
      <c r="F1166">
        <f>IF(Skills!N4=TRUE,(Skills!L4/10)*(E1166/1000),Skills!L4/10)+Skills!O4</f>
        <v/>
      </c>
      <c r="G1166">
        <f>Calc!G4</f>
        <v/>
      </c>
      <c r="H1166">
        <f>Calc!H4</f>
        <v/>
      </c>
      <c r="I1166">
        <f>IF(Skills!AA4&lt;&gt;"",1+(Skills!AA4/10)*(U1165/1000)/100,1)</f>
        <v/>
      </c>
      <c r="J1166">
        <f>(Inputs!$B$5*(1+Inputs!$B$6/100))*(F1166/100)</f>
        <v/>
      </c>
      <c r="K1166">
        <f>J1166*(1+((Inputs!$B$11*(1+Inputs!$B$12/100))*0.01+Inputs!$B$13*0.0025)/100)*(1+Inputs!$B$14/100)*(1+IF(Inputs!$B$4="pvp",0,(1-Summary!$B$55)*(Inputs!$B$19+((C1189=TRUE)*(F1189-Calc!F27))+Skills!P4+B1203)+Summary!$B$55*(Inputs!$B$20+Skills!Q4+B1203))/100)*(1+Inputs!$B$15/100)*(5000/(6000+Inputs!$B$7*(1-Inputs!$B$18/100)))*(1+(Inputs!$B$23+((C1192=TRUE)*(F1192-Calc!F30)))/100)*(1+Skills!R4/100)*(1+(IF(Skills!A4="SHOWDOWN",Inputs!$B$16+((C1185=TRUE)*(F1185-Calc!F23)),Inputs!$B$17+((C1191=TRUE)*(F1191-Calc!F29))))/100)*(((1+(((C1183=TRUE)*F1183*IF(AND(Inputs!$B$4&lt;&gt;"pvp",Inputs!$B$35&gt;0),(((S1183-1)*(Skills!Y21*(1+Inputs!$B$33/100))+MIN((Skills!Y21*(1+Inputs!$B$33/100)),MAX(0,Inputs!$B$35-((S1183-1)*Skills!D21))))/Inputs!$B$35),IF(Inputs!$B$4="pvp",MIN((Skills!Y21*(1+Inputs!$B$33/100)),15)/15,(Skills!Y21*(1+Inputs!$B$33/100))/Skills!D21)))+((C1190=TRUE)*(F1190-Calc!F28))+((C1180=TRUE)*(F1180-Calc!F18)))/100)*(1+((C1177=TRUE)*F1177*IF(AND(Inputs!$B$4&lt;&gt;"pvp",Inputs!$B$35&gt;0),(((S1177-1)*(Skills!Y15*(1+Inputs!$B$33/100))+MIN((Skills!Y15*(1+Inputs!$B$33/100)),MAX(0,Inputs!$B$35-((S1177-1)*Skills!D15))))/Inputs!$B$35),IF(Inputs!$B$4="pvp",MIN((Skills!Y15*(1+Inputs!$B$33/100)),15)/15,(Skills!Y15*(1+Inputs!$B$33/100))/Skills!D15)))/100)*(1+((C1168=TRUE)*F1168*B1196)/100))*B1204*I1166)</f>
        <v/>
      </c>
      <c r="L1166">
        <f>K1166*(MIN(Inputs!$B$21+((C1186=TRUE)*(F1186-Calc!F24)),Inputs!$B$22)/100+Inputs!$B$22/100)/2</f>
        <v/>
      </c>
      <c r="M1166">
        <f>L1166*(1+(Inputs!$B$9+((C1188=TRUE)*(F1188-Calc!F26))+B1205)/100)</f>
        <v/>
      </c>
      <c r="N1166">
        <f>L1166*(1-MIN((Inputs!$B$8+((C1187=TRUE)*(F1187-Calc!F25))+B1202),100)/100)+M1166*(MIN((Inputs!$B$8+((C1187=TRUE)*(F1187-Calc!F25))+B1202),100)/100)</f>
        <v/>
      </c>
      <c r="O1166">
        <f>IF(C1166,H1166*N1166*IF(AND(Inputs!$B$4&lt;&gt;"pvp",Inputs!$B$35&gt;0),((Skills!G4*((R1166-1)*IF(Skills!H4&gt;0,Skills!I4/Skills!H4,1)+IF(Skills!H4&gt;0,MIN(Skills!I4,MAX(0,Inputs!$B$35-((R1166-1)*IF(Inputs!$B$4="pvp",15,MAX(0.1,Skills!D4-IF(Skills!E4=TRUE,Inputs!$B$31,0))))))/Skills!H4,1)))/Inputs!$B$35),G1166*Q1166)*IF(Inputs!$B$4="pvp",1,(1-Summary!$B$55)*(1)+Summary!$B$55*(MIN(Skills!W4,Inputs!$B$37))),0)</f>
        <v/>
      </c>
      <c r="P1166">
        <f>IF(B1206=0,0,O1166/B1206)</f>
        <v/>
      </c>
      <c r="Q1166">
        <f>IFERROR(1/IF(Inputs!$B$4="pvp",15,MAX(0.1,Skills!D4-IF(Skills!E4=TRUE,Inputs!$B$31,0))),0)</f>
        <v/>
      </c>
      <c r="R1166">
        <f>IF(AND(Inputs!$B$4&lt;&gt;"pvp",Inputs!$B$35&gt;0),(INT(Inputs!$B$35/IF(Inputs!$B$4="pvp",15,MAX(0.1,Skills!D4-IF(Skills!E4=TRUE,Inputs!$B$31,0))))+1),0)</f>
        <v/>
      </c>
      <c r="S1166">
        <f>IFERROR(O1166/N1166,0)</f>
        <v/>
      </c>
      <c r="U1166">
        <f>MAX(0,(Inputs!$B$3-100)*3)+Inputs!$B$27+Inputs!$B$28</f>
        <v/>
      </c>
    </row>
    <row r="1167">
      <c r="A1167">
        <f>Skills!A5</f>
        <v/>
      </c>
      <c r="B1167">
        <f>Skills!B5</f>
        <v/>
      </c>
      <c r="C1167">
        <f>Inputs!$B$3&gt;=63</f>
        <v/>
      </c>
      <c r="D1167">
        <f>IF(Skills!C5=1,60+Inputs!$B$24+Inputs!$B$28,IF(Skills!C5=2,90+Inputs!$B$25+Inputs!$B$28,IF(Skills!C5=3,120+Inputs!$B$26+Inputs!$B$28,MAX(0,(Inputs!$B$3-100)*3)+Inputs!$B$27+Inputs!$B$28)))</f>
        <v/>
      </c>
      <c r="E1167">
        <f>INDEX(FactorTable!$B$2:$Y$301, MATCH(ROUND(MIN(300,MAX(1,D1167)),0), FactorTable!$A$2:$A$301,0), Skills!M5+1)</f>
        <v/>
      </c>
      <c r="F1167">
        <f>IF(Skills!N5=TRUE,(Skills!L5/10)*(E1167/1000),Skills!L5/10)+Skills!O5</f>
        <v/>
      </c>
      <c r="G1167">
        <f>Calc!G5</f>
        <v/>
      </c>
      <c r="H1167">
        <f>Calc!H5</f>
        <v/>
      </c>
      <c r="I1167">
        <f>IF(Skills!AA5&lt;&gt;"",1+(Skills!AA5/10)*(U1165/1000)/100,1)</f>
        <v/>
      </c>
      <c r="J1167">
        <f>(Inputs!$B$5*(1+Inputs!$B$6/100))*(F1167/100)</f>
        <v/>
      </c>
      <c r="K1167">
        <f>J1167*(1+((Inputs!$B$11*(1+Inputs!$B$12/100))*0.01+Inputs!$B$13*0.0025)/100)*(1+Inputs!$B$14/100)*(1+IF(Inputs!$B$4="pvp",0,(1-Summary!$B$55)*(Inputs!$B$19+((C1189=TRUE)*(F1189-Calc!F27))+Skills!P5+B1203)+Summary!$B$55*(Inputs!$B$20+Skills!Q5+B1203))/100)*(1+Inputs!$B$15/100)*(5000/(6000+Inputs!$B$7*(1-Inputs!$B$18/100)))*(1+(Inputs!$B$23+((C1192=TRUE)*(F1192-Calc!F30)))/100)*(1+Skills!R5/100)*(1+(IF(Skills!A5="SHOWDOWN",Inputs!$B$16+((C1185=TRUE)*(F1185-Calc!F23)),Inputs!$B$17+((C1191=TRUE)*(F1191-Calc!F29))))/100)*(((1+(((C1183=TRUE)*F1183*IF(AND(Inputs!$B$4&lt;&gt;"pvp",Inputs!$B$35&gt;0),(((S1183-1)*(Skills!Y21*(1+Inputs!$B$33/100))+MIN((Skills!Y21*(1+Inputs!$B$33/100)),MAX(0,Inputs!$B$35-((S1183-1)*Skills!D21))))/Inputs!$B$35),IF(Inputs!$B$4="pvp",MIN((Skills!Y21*(1+Inputs!$B$33/100)),15)/15,(Skills!Y21*(1+Inputs!$B$33/100))/Skills!D21)))+((C1190=TRUE)*(F1190-Calc!F28))+((C1180=TRUE)*(F1180-Calc!F18)))/100)*(1+((C1177=TRUE)*F1177*IF(AND(Inputs!$B$4&lt;&gt;"pvp",Inputs!$B$35&gt;0),(((S1177-1)*(Skills!Y15*(1+Inputs!$B$33/100))+MIN((Skills!Y15*(1+Inputs!$B$33/100)),MAX(0,Inputs!$B$35-((S1177-1)*Skills!D15))))/Inputs!$B$35),IF(Inputs!$B$4="pvp",MIN((Skills!Y15*(1+Inputs!$B$33/100)),15)/15,(Skills!Y15*(1+Inputs!$B$33/100))/Skills!D15)))/100)*(1+((C1168=TRUE)*F1168*B1196)/100))*B1204*I1167)</f>
        <v/>
      </c>
      <c r="L1167">
        <f>K1167*(MIN(Inputs!$B$21+((C1186=TRUE)*(F1186-Calc!F24)),Inputs!$B$22)/100+Inputs!$B$22/100)/2</f>
        <v/>
      </c>
      <c r="M1167">
        <f>L1167*(1+(Inputs!$B$9+((C1188=TRUE)*(F1188-Calc!F26))+B1205)/100)</f>
        <v/>
      </c>
      <c r="N1167">
        <f>L1167*(1-MIN((Inputs!$B$8+((C1187=TRUE)*(F1187-Calc!F25))+B1202),100)/100)+M1167*(MIN((Inputs!$B$8+((C1187=TRUE)*(F1187-Calc!F25))+B1202),100)/100)</f>
        <v/>
      </c>
      <c r="O1167">
        <f>IF(C1167,H1167*N1167*IF(AND(Inputs!$B$4&lt;&gt;"pvp",Inputs!$B$35&gt;0),((Skills!G5*((R1167-1)*IF(Skills!H5&gt;0,Skills!I5/Skills!H5,1)+IF(Skills!H5&gt;0,MIN(Skills!I5,MAX(0,Inputs!$B$35-((R1167-1)*IF(Inputs!$B$4="pvp",15,MAX(0.1,Skills!D5-IF(Skills!E5=TRUE,Inputs!$B$31,0))))))/Skills!H5,1)))/Inputs!$B$35),G1167*Q1167)*IF(Inputs!$B$4="pvp",1,(1-Summary!$B$55)*(1)+Summary!$B$55*(MIN(Skills!W5,Inputs!$B$37))),0)</f>
        <v/>
      </c>
      <c r="P1167">
        <f>IF(B1206=0,0,O1167/B1206)</f>
        <v/>
      </c>
      <c r="Q1167">
        <f>IFERROR(1/IF(Inputs!$B$4="pvp",15,MAX(0.1,Skills!D5-IF(Skills!E5=TRUE,Inputs!$B$31,0))),0)</f>
        <v/>
      </c>
      <c r="R1167">
        <f>IF(AND(Inputs!$B$4&lt;&gt;"pvp",Inputs!$B$35&gt;0),(INT(Inputs!$B$35/IF(Inputs!$B$4="pvp",15,MAX(0.1,Skills!D5-IF(Skills!E5=TRUE,Inputs!$B$31,0))))+1),0)</f>
        <v/>
      </c>
      <c r="S1167">
        <f>IFERROR(O1167/N1167,0)</f>
        <v/>
      </c>
      <c r="U1167">
        <f>INDEX(FactorTable!$B$2:$Y$301, MATCH(ROUND(MIN(300,MAX(1,U1166)),0), FactorTable!$A$2:$A$301,0), 22)</f>
        <v/>
      </c>
    </row>
    <row r="1168">
      <c r="A1168">
        <f>Skills!A6</f>
        <v/>
      </c>
      <c r="B1168">
        <f>Skills!B6</f>
        <v/>
      </c>
      <c r="C1168">
        <f>Inputs!$B$3&gt;=66</f>
        <v/>
      </c>
      <c r="D1168">
        <f>IF(Skills!C6=1,60+Inputs!$B$24+Inputs!$B$28,IF(Skills!C6=2,90+Inputs!$B$25+Inputs!$B$28,IF(Skills!C6=3,120+Inputs!$B$26+Inputs!$B$28,MAX(0,(Inputs!$B$3-100)*3)+Inputs!$B$27+Inputs!$B$28)))</f>
        <v/>
      </c>
      <c r="E1168">
        <f>INDEX(FactorTable!$B$2:$Y$301, MATCH(ROUND(MIN(300,MAX(1,D1168)),0), FactorTable!$A$2:$A$301,0), Skills!M6+1)</f>
        <v/>
      </c>
      <c r="F1168">
        <f>IF(Skills!N6=TRUE,(Skills!L6/10)*(E1168/1000),Skills!L6/10)+Skills!O6</f>
        <v/>
      </c>
      <c r="G1168">
        <f>Calc!G6</f>
        <v/>
      </c>
      <c r="H1168">
        <f>Calc!H6</f>
        <v/>
      </c>
      <c r="I1168">
        <f>IF(Skills!AA6&lt;&gt;"",1+(Skills!AA6/10)*(U1165/1000)/100,1)</f>
        <v/>
      </c>
      <c r="J1168" t="inlineStr"/>
      <c r="K1168" t="inlineStr"/>
      <c r="L1168" t="inlineStr"/>
      <c r="M1168" t="inlineStr"/>
      <c r="N1168" t="inlineStr"/>
      <c r="O1168" t="n">
        <v>0</v>
      </c>
      <c r="P1168">
        <f>IF(B1206=0,0,O1168/B1206)</f>
        <v/>
      </c>
      <c r="Q1168" t="n">
        <v>0</v>
      </c>
      <c r="R1168" t="n">
        <v>0</v>
      </c>
      <c r="S1168">
        <f>IFERROR(O1168/N1168,0)</f>
        <v/>
      </c>
      <c r="U1168">
        <f>290*U1167/1000</f>
        <v/>
      </c>
    </row>
    <row r="1169">
      <c r="A1169">
        <f>Skills!A7</f>
        <v/>
      </c>
      <c r="B1169">
        <f>Skills!B7</f>
        <v/>
      </c>
      <c r="C1169">
        <f>Inputs!$B$3&gt;=66</f>
        <v/>
      </c>
      <c r="D1169">
        <f>IF(Skills!C7=1,60+Inputs!$B$24+Inputs!$B$28,IF(Skills!C7=2,90+Inputs!$B$25+Inputs!$B$28,IF(Skills!C7=3,120+Inputs!$B$26+Inputs!$B$28,MAX(0,(Inputs!$B$3-100)*3)+Inputs!$B$27+Inputs!$B$28)))</f>
        <v/>
      </c>
      <c r="E1169">
        <f>INDEX(FactorTable!$B$2:$Y$301, MATCH(ROUND(MIN(300,MAX(1,D1169)),0), FactorTable!$A$2:$A$301,0), Skills!M7+1)</f>
        <v/>
      </c>
      <c r="F1169">
        <f>IF(Skills!N7=TRUE,(Skills!L7/10)*(E1169/1000),Skills!L7/10)+Skills!O7</f>
        <v/>
      </c>
      <c r="G1169">
        <f>Calc!G7</f>
        <v/>
      </c>
      <c r="H1169">
        <f>Calc!H7</f>
        <v/>
      </c>
      <c r="I1169">
        <f>IF(Skills!AA7&lt;&gt;"",1+(Skills!AA7/10)*(U1165/1000)/100,1)</f>
        <v/>
      </c>
      <c r="J1169" t="inlineStr"/>
      <c r="K1169" t="inlineStr"/>
      <c r="L1169" t="inlineStr"/>
      <c r="M1169" t="inlineStr"/>
      <c r="N1169" t="inlineStr"/>
      <c r="O1169" t="n">
        <v>0</v>
      </c>
      <c r="P1169">
        <f>IF(B1206=0,0,O1169/B1206)</f>
        <v/>
      </c>
      <c r="Q1169" t="n">
        <v>0</v>
      </c>
      <c r="R1169" t="n">
        <v>0</v>
      </c>
      <c r="S1169">
        <f>IFERROR(O1169/N1169,0)</f>
        <v/>
      </c>
    </row>
    <row r="1170">
      <c r="A1170">
        <f>Skills!A8</f>
        <v/>
      </c>
      <c r="B1170">
        <f>Skills!B8</f>
        <v/>
      </c>
      <c r="C1170">
        <f>Inputs!$B$3&gt;=69</f>
        <v/>
      </c>
      <c r="D1170">
        <f>IF(Skills!C8=1,60+Inputs!$B$24+Inputs!$B$28,IF(Skills!C8=2,90+Inputs!$B$25+Inputs!$B$28,IF(Skills!C8=3,120+Inputs!$B$26+Inputs!$B$28,MAX(0,(Inputs!$B$3-100)*3)+Inputs!$B$27+Inputs!$B$28)))</f>
        <v/>
      </c>
      <c r="E1170">
        <f>INDEX(FactorTable!$B$2:$Y$301, MATCH(ROUND(MIN(300,MAX(1,D1170)),0), FactorTable!$A$2:$A$301,0), Skills!M8+1)</f>
        <v/>
      </c>
      <c r="F1170">
        <f>IF(Skills!N8=TRUE,(Skills!L8/10)*(E1170/1000),Skills!L8/10)+Skills!O8</f>
        <v/>
      </c>
      <c r="G1170">
        <f>Calc!G8</f>
        <v/>
      </c>
      <c r="H1170">
        <f>Calc!H8</f>
        <v/>
      </c>
      <c r="I1170">
        <f>IF(Skills!AA8&lt;&gt;"",1+(Skills!AA8/10)*(U1165/1000)/100,1)</f>
        <v/>
      </c>
      <c r="J1170">
        <f>(Inputs!$B$5*(1+Inputs!$B$6/100))*(F1170/100)</f>
        <v/>
      </c>
      <c r="K1170">
        <f>J1170*(1+((Inputs!$B$11*(1+Inputs!$B$12/100))*0.01+Inputs!$B$13*0.0025)/100)*(1+Inputs!$B$14/100)*(1+IF(Inputs!$B$4="pvp",0,(1-Summary!$B$55)*(Inputs!$B$19+((C1189=TRUE)*(F1189-Calc!F27))+Skills!P8+B1203)+Summary!$B$55*(Inputs!$B$20+Skills!Q8+B1203))/100)*(1+Inputs!$B$15/100)*(5000/(6000+Inputs!$B$7*(1-Inputs!$B$18/100)))*(1+(Inputs!$B$23+((C1192=TRUE)*(F1192-Calc!F30)))/100)*(1+Skills!R8/100)*(1+(IF(Skills!A8="SHOWDOWN",Inputs!$B$16+((C1185=TRUE)*(F1185-Calc!F23)),Inputs!$B$17+((C1191=TRUE)*(F1191-Calc!F29))))/100)*(((1+(((C1183=TRUE)*F1183*IF(AND(Inputs!$B$4&lt;&gt;"pvp",Inputs!$B$35&gt;0),(((S1183-1)*(Skills!Y21*(1+Inputs!$B$33/100))+MIN((Skills!Y21*(1+Inputs!$B$33/100)),MAX(0,Inputs!$B$35-((S1183-1)*Skills!D21))))/Inputs!$B$35),IF(Inputs!$B$4="pvp",MIN((Skills!Y21*(1+Inputs!$B$33/100)),15)/15,(Skills!Y21*(1+Inputs!$B$33/100))/Skills!D21)))+((C1190=TRUE)*(F1190-Calc!F28))+((C1180=TRUE)*(F1180-Calc!F18)))/100)*(1+((C1177=TRUE)*F1177*IF(AND(Inputs!$B$4&lt;&gt;"pvp",Inputs!$B$35&gt;0),(((S1177-1)*(Skills!Y15*(1+Inputs!$B$33/100))+MIN((Skills!Y15*(1+Inputs!$B$33/100)),MAX(0,Inputs!$B$35-((S1177-1)*Skills!D15))))/Inputs!$B$35),IF(Inputs!$B$4="pvp",MIN((Skills!Y15*(1+Inputs!$B$33/100)),15)/15,(Skills!Y15*(1+Inputs!$B$33/100))/Skills!D15)))/100)*(1+((C1168=TRUE)*F1168*B1196)/100))*B1204*I1170)</f>
        <v/>
      </c>
      <c r="L1170">
        <f>K1170*(MIN(Inputs!$B$21+((C1186=TRUE)*(F1186-Calc!F24)),Inputs!$B$22)/100+Inputs!$B$22/100)/2</f>
        <v/>
      </c>
      <c r="M1170">
        <f>L1170*(1+(Inputs!$B$9+((C1188=TRUE)*(F1188-Calc!F26))+B1205)/100)</f>
        <v/>
      </c>
      <c r="N1170">
        <f>L1170*(1-MIN((Inputs!$B$8+((C1187=TRUE)*(F1187-Calc!F25))+B1202),100)/100)+M1170*(MIN((Inputs!$B$8+((C1187=TRUE)*(F1187-Calc!F25))+B1202),100)/100)</f>
        <v/>
      </c>
      <c r="O1170">
        <f>IF(C1170,H1170*N1170*IF(AND(Inputs!$B$4&lt;&gt;"pvp",Inputs!$B$35&gt;0),((Skills!G8*((R1170-1)*IF(Skills!H8&gt;0,Skills!I8/Skills!H8,1)+IF(Skills!H8&gt;0,MIN(Skills!I8,MAX(0,Inputs!$B$35-((R1170-1)*IF(Inputs!$B$4="pvp",15,MAX(0.1,Skills!D8-IF(Skills!E8=TRUE,Inputs!$B$31,0))))))/Skills!H8,1)))/Inputs!$B$35),G1170*Q1170)*IF(Inputs!$B$4="pvp",1,(1-Summary!$B$55)*(1)+Summary!$B$55*(MIN(Skills!W8,Inputs!$B$37))),0)</f>
        <v/>
      </c>
      <c r="P1170">
        <f>IF(B1206=0,0,O1170/B1206)</f>
        <v/>
      </c>
      <c r="Q1170">
        <f>IFERROR(1/IF(Inputs!$B$4="pvp",15,MAX(0.1,Skills!D8-IF(Skills!E8=TRUE,Inputs!$B$31,0))),0)</f>
        <v/>
      </c>
      <c r="R1170">
        <f>IF(AND(Inputs!$B$4&lt;&gt;"pvp",Inputs!$B$35&gt;0),(INT(Inputs!$B$35/IF(Inputs!$B$4="pvp",15,MAX(0.1,Skills!D8-IF(Skills!E8=TRUE,Inputs!$B$31,0))))+1),0)</f>
        <v/>
      </c>
      <c r="S1170">
        <f>IFERROR(O1170/N1170,0)</f>
        <v/>
      </c>
    </row>
    <row r="1171">
      <c r="A1171">
        <f>Skills!A9</f>
        <v/>
      </c>
      <c r="B1171">
        <f>Skills!B9</f>
        <v/>
      </c>
      <c r="C1171">
        <f>Inputs!$B$3&gt;=72</f>
        <v/>
      </c>
      <c r="D1171">
        <f>IF(Skills!C9=1,60+Inputs!$B$24+Inputs!$B$28,IF(Skills!C9=2,90+Inputs!$B$25+Inputs!$B$28,IF(Skills!C9=3,120+Inputs!$B$26+Inputs!$B$28,MAX(0,(Inputs!$B$3-100)*3)+Inputs!$B$27+Inputs!$B$28)))</f>
        <v/>
      </c>
      <c r="E1171">
        <f>INDEX(FactorTable!$B$2:$Y$301, MATCH(ROUND(MIN(300,MAX(1,D1171)),0), FactorTable!$A$2:$A$301,0), Skills!M9+1)</f>
        <v/>
      </c>
      <c r="F1171">
        <f>IF(Skills!N9=TRUE,(Skills!L9/10)*(E1171/1000),Skills!L9/10)+Skills!O9</f>
        <v/>
      </c>
      <c r="G1171">
        <f>Calc!G9</f>
        <v/>
      </c>
      <c r="H1171">
        <f>Calc!H9</f>
        <v/>
      </c>
      <c r="I1171">
        <f>IF(Skills!AA9&lt;&gt;"",1+(Skills!AA9/10)*(U1165/1000)/100,1)</f>
        <v/>
      </c>
      <c r="J1171">
        <f>(Inputs!$B$5*(1+Inputs!$B$6/100))*(F1171/100)</f>
        <v/>
      </c>
      <c r="K1171">
        <f>J1171*(1+((Inputs!$B$11*(1+Inputs!$B$12/100))*0.01+Inputs!$B$13*0.0025)/100)*(1+Inputs!$B$14/100)*(1+IF(Inputs!$B$4="pvp",0,(1-Summary!$B$55)*(Inputs!$B$19+((C1189=TRUE)*(F1189-Calc!F27))+Skills!P9+B1203)+Summary!$B$55*(Inputs!$B$20+Skills!Q9+B1203))/100)*(1+Inputs!$B$15/100)*(5000/(6000+Inputs!$B$7*(1-Inputs!$B$18/100)))*(1+(Inputs!$B$23+((C1192=TRUE)*(F1192-Calc!F30)))/100)*(1+Skills!R9/100)*(1+(IF(Skills!A9="SHOWDOWN",Inputs!$B$16+((C1185=TRUE)*(F1185-Calc!F23)),Inputs!$B$17+((C1191=TRUE)*(F1191-Calc!F29))))/100)*(((1+(((C1183=TRUE)*F1183*IF(AND(Inputs!$B$4&lt;&gt;"pvp",Inputs!$B$35&gt;0),(((S1183-1)*(Skills!Y21*(1+Inputs!$B$33/100))+MIN((Skills!Y21*(1+Inputs!$B$33/100)),MAX(0,Inputs!$B$35-((S1183-1)*Skills!D21))))/Inputs!$B$35),IF(Inputs!$B$4="pvp",MIN((Skills!Y21*(1+Inputs!$B$33/100)),15)/15,(Skills!Y21*(1+Inputs!$B$33/100))/Skills!D21)))+((C1190=TRUE)*(F1190-Calc!F28))+((C1180=TRUE)*(F1180-Calc!F18)))/100)*(1+((C1177=TRUE)*F1177*IF(AND(Inputs!$B$4&lt;&gt;"pvp",Inputs!$B$35&gt;0),(((S1177-1)*(Skills!Y15*(1+Inputs!$B$33/100))+MIN((Skills!Y15*(1+Inputs!$B$33/100)),MAX(0,Inputs!$B$35-((S1177-1)*Skills!D15))))/Inputs!$B$35),IF(Inputs!$B$4="pvp",MIN((Skills!Y15*(1+Inputs!$B$33/100)),15)/15,(Skills!Y15*(1+Inputs!$B$33/100))/Skills!D15)))/100)*(1+((C1168=TRUE)*F1168*B1196)/100))*B1204*I1171)</f>
        <v/>
      </c>
      <c r="L1171">
        <f>K1171*(MIN(Inputs!$B$21+((C1186=TRUE)*(F1186-Calc!F24)),Inputs!$B$22)/100+Inputs!$B$22/100)/2</f>
        <v/>
      </c>
      <c r="M1171">
        <f>L1171*(1+(Inputs!$B$9+((C1188=TRUE)*(F1188-Calc!F26))+B1205)/100)</f>
        <v/>
      </c>
      <c r="N1171">
        <f>L1171*(1-MIN((Inputs!$B$8+((C1187=TRUE)*(F1187-Calc!F25))+B1202),100)/100)+M1171*(MIN((Inputs!$B$8+((C1187=TRUE)*(F1187-Calc!F25))+B1202),100)/100)</f>
        <v/>
      </c>
      <c r="O1171">
        <f>IF(C1171,H1171*N1171*IF(AND(Inputs!$B$4&lt;&gt;"pvp",Inputs!$B$35&gt;0),((Skills!G9*((R1171-1)*IF(Skills!H9&gt;0,Skills!I9/Skills!H9,1)+IF(Skills!H9&gt;0,MIN(Skills!I9,MAX(0,Inputs!$B$35-((R1171-1)*IF(Inputs!$B$4="pvp",15,MAX(0.1,Skills!D9-IF(Skills!E9=TRUE,Inputs!$B$31,0))))))/Skills!H9,1)))/Inputs!$B$35),G1171*Q1171)*IF(Inputs!$B$4="pvp",1,(1-Summary!$B$55)*(1)+Summary!$B$55*(MIN(Skills!W9,Inputs!$B$37))),0)</f>
        <v/>
      </c>
      <c r="P1171">
        <f>IF(B1206=0,0,O1171/B1206)</f>
        <v/>
      </c>
      <c r="Q1171">
        <f>IFERROR(1/IF(Inputs!$B$4="pvp",15,MAX(0.1,Skills!D9-IF(Skills!E9=TRUE,Inputs!$B$31,0))),0)</f>
        <v/>
      </c>
      <c r="R1171">
        <f>IF(AND(Inputs!$B$4&lt;&gt;"pvp",Inputs!$B$35&gt;0),(INT(Inputs!$B$35/IF(Inputs!$B$4="pvp",15,MAX(0.1,Skills!D9-IF(Skills!E9=TRUE,Inputs!$B$31,0))))+1),0)</f>
        <v/>
      </c>
      <c r="S1171">
        <f>IFERROR(O1171/N1171,0)</f>
        <v/>
      </c>
    </row>
    <row r="1172">
      <c r="A1172">
        <f>Skills!A10</f>
        <v/>
      </c>
      <c r="B1172">
        <f>Skills!B10</f>
        <v/>
      </c>
      <c r="C1172">
        <f>Inputs!$B$3&gt;=117</f>
        <v/>
      </c>
      <c r="D1172">
        <f>IF(Skills!C10=1,60+Inputs!$B$24+Inputs!$B$28,IF(Skills!C10=2,90+Inputs!$B$25+Inputs!$B$28,IF(Skills!C10=3,120+Inputs!$B$26+Inputs!$B$28,MAX(0,(Inputs!$B$3-100)*3)+Inputs!$B$27+Inputs!$B$28)))</f>
        <v/>
      </c>
      <c r="E1172">
        <f>INDEX(FactorTable!$B$2:$Y$301, MATCH(ROUND(MIN(300,MAX(1,D1172)),0), FactorTable!$A$2:$A$301,0), Skills!M10+1)</f>
        <v/>
      </c>
      <c r="F1172">
        <f>IF(Skills!N10=TRUE,(Skills!L10/10)*(E1172/1000),Skills!L10/10)+Skills!O10</f>
        <v/>
      </c>
      <c r="G1172">
        <f>Calc!G10</f>
        <v/>
      </c>
      <c r="H1172">
        <f>Calc!H10</f>
        <v/>
      </c>
      <c r="I1172">
        <f>IF(Skills!AA10&lt;&gt;"",1+(Skills!AA10/10)*(U1165/1000)/100,1)</f>
        <v/>
      </c>
      <c r="J1172">
        <f>(Inputs!$B$5*(1+Inputs!$B$6/100))*(F1172/100)</f>
        <v/>
      </c>
      <c r="K1172">
        <f>J1172*(1+((Inputs!$B$11*(1+Inputs!$B$12/100))*0.01+Inputs!$B$13*0.0025)/100)*(1+Inputs!$B$14/100)*(1+IF(Inputs!$B$4="pvp",0,(1-Summary!$B$55)*(Inputs!$B$19+((C1189=TRUE)*(F1189-Calc!F27))+Skills!P10+B1203)+Summary!$B$55*(Inputs!$B$20+Skills!Q10+B1203))/100)*(1+Inputs!$B$15/100)*(5000/(6000+Inputs!$B$7*(1-Inputs!$B$18/100)))*(1+(Inputs!$B$23+((C1192=TRUE)*(F1192-Calc!F30)))/100)*(1+Skills!R10/100)*(1+(IF(Skills!A10="SHOWDOWN",Inputs!$B$16+((C1185=TRUE)*(F1185-Calc!F23)),Inputs!$B$17+((C1191=TRUE)*(F1191-Calc!F29))))/100)*(((1+(((C1183=TRUE)*F1183*IF(AND(Inputs!$B$4&lt;&gt;"pvp",Inputs!$B$35&gt;0),(((S1183-1)*(Skills!Y21*(1+Inputs!$B$33/100))+MIN((Skills!Y21*(1+Inputs!$B$33/100)),MAX(0,Inputs!$B$35-((S1183-1)*Skills!D21))))/Inputs!$B$35),IF(Inputs!$B$4="pvp",MIN((Skills!Y21*(1+Inputs!$B$33/100)),15)/15,(Skills!Y21*(1+Inputs!$B$33/100))/Skills!D21)))+((C1190=TRUE)*(F1190-Calc!F28))+((C1180=TRUE)*(F1180-Calc!F18)))/100)*(1+((C1177=TRUE)*F1177*IF(AND(Inputs!$B$4&lt;&gt;"pvp",Inputs!$B$35&gt;0),(((S1177-1)*(Skills!Y15*(1+Inputs!$B$33/100))+MIN((Skills!Y15*(1+Inputs!$B$33/100)),MAX(0,Inputs!$B$35-((S1177-1)*Skills!D15))))/Inputs!$B$35),IF(Inputs!$B$4="pvp",MIN((Skills!Y15*(1+Inputs!$B$33/100)),15)/15,(Skills!Y15*(1+Inputs!$B$33/100))/Skills!D15)))/100)*(1+((C1168=TRUE)*F1168*B1196)/100))*B1204*I1172)</f>
        <v/>
      </c>
      <c r="L1172">
        <f>K1172*(MIN(Inputs!$B$21+((C1186=TRUE)*(F1186-Calc!F24)),Inputs!$B$22)/100+Inputs!$B$22/100)/2</f>
        <v/>
      </c>
      <c r="M1172">
        <f>L1172*(1+(Inputs!$B$9+((C1188=TRUE)*(F1188-Calc!F26))+B1205)/100)</f>
        <v/>
      </c>
      <c r="N1172">
        <f>L1172*(1-MIN((Inputs!$B$8+((C1187=TRUE)*(F1187-Calc!F25))+B1202),100)/100)+M1172*(MIN((Inputs!$B$8+((C1187=TRUE)*(F1187-Calc!F25))+B1202),100)/100)</f>
        <v/>
      </c>
      <c r="O1172">
        <f>IF(C1172,0.2*SUMPRODUCT((Skills!Z2:Z31=TRUE)*(C1164:C1193=TRUE)*S1164:S1193)*N1172,0)</f>
        <v/>
      </c>
      <c r="P1172">
        <f>IF(B1206=0,0,O1172/B1206)</f>
        <v/>
      </c>
      <c r="Q1172" t="n">
        <v>0</v>
      </c>
      <c r="R1172" t="n">
        <v>0</v>
      </c>
      <c r="S1172" t="n">
        <v>0</v>
      </c>
    </row>
    <row r="1173">
      <c r="A1173">
        <f>Skills!A11</f>
        <v/>
      </c>
      <c r="B1173">
        <f>Skills!B11</f>
        <v/>
      </c>
      <c r="C1173">
        <f>Inputs!$B$3&gt;=60</f>
        <v/>
      </c>
      <c r="D1173">
        <f>IF(Skills!C11=1,60+Inputs!$B$24+Inputs!$B$28,IF(Skills!C11=2,90+Inputs!$B$25+Inputs!$B$28,IF(Skills!C11=3,120+Inputs!$B$26+Inputs!$B$28,MAX(0,(Inputs!$B$3-100)*3)+Inputs!$B$27+Inputs!$B$28)))</f>
        <v/>
      </c>
      <c r="E1173">
        <f>INDEX(FactorTable!$B$2:$Y$301, MATCH(ROUND(MIN(300,MAX(1,D1173)),0), FactorTable!$A$2:$A$301,0), Skills!M11+1)</f>
        <v/>
      </c>
      <c r="F1173">
        <f>IF(Skills!N11=TRUE,(Skills!L11/10)*(E1173/1000),Skills!L11/10)+Skills!O11</f>
        <v/>
      </c>
      <c r="G1173">
        <f>Calc!G11</f>
        <v/>
      </c>
      <c r="H1173">
        <f>Calc!H11</f>
        <v/>
      </c>
      <c r="I1173">
        <f>IF(Skills!AA11&lt;&gt;"",1+(Skills!AA11/10)*(U1165/1000)/100,1)</f>
        <v/>
      </c>
      <c r="J1173" t="inlineStr"/>
      <c r="K1173" t="inlineStr"/>
      <c r="L1173" t="inlineStr"/>
      <c r="M1173" t="inlineStr"/>
      <c r="N1173" t="inlineStr"/>
      <c r="O1173" t="n">
        <v>0</v>
      </c>
      <c r="P1173">
        <f>IF(B1206=0,0,O1173/B1206)</f>
        <v/>
      </c>
      <c r="Q1173" t="n">
        <v>0</v>
      </c>
      <c r="R1173" t="n">
        <v>0</v>
      </c>
      <c r="S1173">
        <f>IFERROR(O1173/N1173,0)</f>
        <v/>
      </c>
    </row>
    <row r="1174">
      <c r="A1174">
        <f>Skills!A12</f>
        <v/>
      </c>
      <c r="B1174">
        <f>Skills!B12</f>
        <v/>
      </c>
      <c r="C1174">
        <f>Inputs!$B$3&gt;=103</f>
        <v/>
      </c>
      <c r="D1174">
        <f>IF(Skills!C12=1,60+Inputs!$B$24+Inputs!$B$28,IF(Skills!C12=2,90+Inputs!$B$25+Inputs!$B$28,IF(Skills!C12=3,120+Inputs!$B$26+Inputs!$B$28,MAX(0,(Inputs!$B$3-100)*3)+Inputs!$B$27+Inputs!$B$28)))</f>
        <v/>
      </c>
      <c r="E1174">
        <f>INDEX(FactorTable!$B$2:$Y$301, MATCH(ROUND(MIN(300,MAX(1,D1174)),0), FactorTable!$A$2:$A$301,0), Skills!M12+1)</f>
        <v/>
      </c>
      <c r="F1174">
        <f>IF(Skills!N12=TRUE,(Skills!L12/10)*(E1174/1000),Skills!L12/10)+Skills!O12</f>
        <v/>
      </c>
      <c r="G1174">
        <f>Calc!G12</f>
        <v/>
      </c>
      <c r="H1174">
        <f>Calc!H12</f>
        <v/>
      </c>
      <c r="I1174">
        <f>IF(Skills!AA12&lt;&gt;"",1+(Skills!AA12/10)*(U1165/1000)/100,1)</f>
        <v/>
      </c>
      <c r="J1174">
        <f>(Inputs!$B$5*(1+Inputs!$B$6/100))*(F1174/100)</f>
        <v/>
      </c>
      <c r="K1174">
        <f>J1174*(1+((Inputs!$B$11*(1+Inputs!$B$12/100))*0.01+Inputs!$B$13*0.0025)/100)*(1+Inputs!$B$14/100)*(1+IF(Inputs!$B$4="pvp",0,(1-Summary!$B$55)*(Inputs!$B$19+((C1189=TRUE)*(F1189-Calc!F27))+Skills!P12+B1203)+Summary!$B$55*(Inputs!$B$20+Skills!Q12+B1203))/100)*(1+Inputs!$B$15/100)*(5000/(6000+Inputs!$B$7*(1-Inputs!$B$18/100)))*(1+(Inputs!$B$23+((C1192=TRUE)*(F1192-Calc!F30)))/100)*(1+Skills!R12/100)*(1+(IF(Skills!A12="SHOWDOWN",Inputs!$B$16+((C1185=TRUE)*(F1185-Calc!F23)),Inputs!$B$17+((C1191=TRUE)*(F1191-Calc!F29))))/100)*(((1+(((C1183=TRUE)*F1183*IF(AND(Inputs!$B$4&lt;&gt;"pvp",Inputs!$B$35&gt;0),(((S1183-1)*(Skills!Y21*(1+Inputs!$B$33/100))+MIN((Skills!Y21*(1+Inputs!$B$33/100)),MAX(0,Inputs!$B$35-((S1183-1)*Skills!D21))))/Inputs!$B$35),IF(Inputs!$B$4="pvp",MIN((Skills!Y21*(1+Inputs!$B$33/100)),15)/15,(Skills!Y21*(1+Inputs!$B$33/100))/Skills!D21)))+((C1190=TRUE)*(F1190-Calc!F28))+((C1180=TRUE)*(F1180-Calc!F18)))/100)*(1+((C1177=TRUE)*F1177*IF(AND(Inputs!$B$4&lt;&gt;"pvp",Inputs!$B$35&gt;0),(((S1177-1)*(Skills!Y15*(1+Inputs!$B$33/100))+MIN((Skills!Y15*(1+Inputs!$B$33/100)),MAX(0,Inputs!$B$35-((S1177-1)*Skills!D15))))/Inputs!$B$35),IF(Inputs!$B$4="pvp",MIN((Skills!Y15*(1+Inputs!$B$33/100)),15)/15,(Skills!Y15*(1+Inputs!$B$33/100))/Skills!D15)))/100)*(1+((C1168=TRUE)*F1168*B1196)/100))*B1204*I1174)</f>
        <v/>
      </c>
      <c r="L1174">
        <f>K1174*(MIN(Inputs!$B$21+((C1186=TRUE)*(F1186-Calc!F24)),Inputs!$B$22)/100+Inputs!$B$22/100)/2</f>
        <v/>
      </c>
      <c r="M1174">
        <f>L1174*(1+(Inputs!$B$9+((C1188=TRUE)*(F1188-Calc!F26))+B1205)/100)</f>
        <v/>
      </c>
      <c r="N1174">
        <f>L1174*(1-MIN((Inputs!$B$8+((C1187=TRUE)*(F1187-Calc!F25))+B1202),100)/100)+M1174*(MIN((Inputs!$B$8+((C1187=TRUE)*(F1187-Calc!F25))+B1202),100)/100)</f>
        <v/>
      </c>
      <c r="O1174">
        <f>IF(C1174,H1174*N1174*IF(AND(Inputs!$B$4&lt;&gt;"pvp",Inputs!$B$35&gt;0),((Skills!G12*((R1174-1)*IF(Skills!H12&gt;0,Skills!I12/Skills!H12,1)+IF(Skills!H12&gt;0,MIN(Skills!I12,MAX(0,Inputs!$B$35-((R1174-1)*IF(Inputs!$B$4="pvp",15,MAX(0.1,Skills!D12-IF(Skills!E12=TRUE,Inputs!$B$31,0))))))/Skills!H12,1)))/Inputs!$B$35),G1174*Q1174)*IF(Inputs!$B$4="pvp",1,(1-Summary!$B$55)*(1)+Summary!$B$55*(MIN(Skills!W12,Inputs!$B$37))),0)</f>
        <v/>
      </c>
      <c r="P1174">
        <f>IF(B1206=0,0,O1174/B1206)</f>
        <v/>
      </c>
      <c r="Q1174">
        <f>IFERROR(1/IF(Inputs!$B$4="pvp",15,MAX(0.1,Skills!D12-IF(Skills!E12=TRUE,Inputs!$B$31,0))),0)</f>
        <v/>
      </c>
      <c r="R1174">
        <f>IF(AND(Inputs!$B$4&lt;&gt;"pvp",Inputs!$B$35&gt;0),(INT(Inputs!$B$35/IF(Inputs!$B$4="pvp",15,MAX(0.1,Skills!D12-IF(Skills!E12=TRUE,Inputs!$B$31,0))))+1),0)</f>
        <v/>
      </c>
      <c r="S1174">
        <f>IFERROR(O1174/N1174,0)</f>
        <v/>
      </c>
    </row>
    <row r="1175">
      <c r="A1175">
        <f>Skills!A13</f>
        <v/>
      </c>
      <c r="B1175">
        <f>Skills!B13</f>
        <v/>
      </c>
      <c r="C1175">
        <f>Inputs!$B$3&gt;=105</f>
        <v/>
      </c>
      <c r="D1175">
        <f>IF(Skills!C13=1,60+Inputs!$B$24+Inputs!$B$28,IF(Skills!C13=2,90+Inputs!$B$25+Inputs!$B$28,IF(Skills!C13=3,120+Inputs!$B$26+Inputs!$B$28,MAX(0,(Inputs!$B$3-100)*3)+Inputs!$B$27+Inputs!$B$28)))</f>
        <v/>
      </c>
      <c r="E1175">
        <f>INDEX(FactorTable!$B$2:$Y$301, MATCH(ROUND(MIN(300,MAX(1,D1175)),0), FactorTable!$A$2:$A$301,0), Skills!M13+1)</f>
        <v/>
      </c>
      <c r="F1175">
        <f>IF(Skills!N13=TRUE,(Skills!L13/10)*(E1175/1000),Skills!L13/10)+Skills!O13</f>
        <v/>
      </c>
      <c r="G1175">
        <f>Calc!G13</f>
        <v/>
      </c>
      <c r="H1175">
        <f>Calc!H13</f>
        <v/>
      </c>
      <c r="I1175">
        <f>IF(Skills!AA13&lt;&gt;"",1+(Skills!AA13/10)*(U1165/1000)/100,1)</f>
        <v/>
      </c>
      <c r="J1175">
        <f>(Inputs!$B$5*(1+Inputs!$B$6/100))*(F1175/100)</f>
        <v/>
      </c>
      <c r="K1175">
        <f>J1175*(1+((Inputs!$B$11*(1+Inputs!$B$12/100))*0.01+Inputs!$B$13*0.0025)/100)*(1+Inputs!$B$14/100)*(1+IF(Inputs!$B$4="pvp",0,(1-Summary!$B$55)*(Inputs!$B$19+((C1189=TRUE)*(F1189-Calc!F27))+Skills!P13+B1203)+Summary!$B$55*(Inputs!$B$20+Skills!Q13+B1203))/100)*(1+Inputs!$B$15/100)*(5000/(6000+Inputs!$B$7*(1-Inputs!$B$18/100)))*(1+(Inputs!$B$23+((C1192=TRUE)*(F1192-Calc!F30)))/100)*(1+Skills!R13/100)*(1+(IF(Skills!A13="SHOWDOWN",Inputs!$B$16+((C1185=TRUE)*(F1185-Calc!F23)),Inputs!$B$17+((C1191=TRUE)*(F1191-Calc!F29))))/100)*(((1+(((C1183=TRUE)*F1183*IF(AND(Inputs!$B$4&lt;&gt;"pvp",Inputs!$B$35&gt;0),(((S1183-1)*(Skills!Y21*(1+Inputs!$B$33/100))+MIN((Skills!Y21*(1+Inputs!$B$33/100)),MAX(0,Inputs!$B$35-((S1183-1)*Skills!D21))))/Inputs!$B$35),IF(Inputs!$B$4="pvp",MIN((Skills!Y21*(1+Inputs!$B$33/100)),15)/15,(Skills!Y21*(1+Inputs!$B$33/100))/Skills!D21)))+((C1190=TRUE)*(F1190-Calc!F28))+((C1180=TRUE)*(F1180-Calc!F18)))/100)*(1+((C1177=TRUE)*F1177*IF(AND(Inputs!$B$4&lt;&gt;"pvp",Inputs!$B$35&gt;0),(((S1177-1)*(Skills!Y15*(1+Inputs!$B$33/100))+MIN((Skills!Y15*(1+Inputs!$B$33/100)),MAX(0,Inputs!$B$35-((S1177-1)*Skills!D15))))/Inputs!$B$35),IF(Inputs!$B$4="pvp",MIN((Skills!Y15*(1+Inputs!$B$33/100)),15)/15,(Skills!Y15*(1+Inputs!$B$33/100))/Skills!D15)))/100)*(1+((C1168=TRUE)*F1168*B1196)/100))*B1204*I1175)</f>
        <v/>
      </c>
      <c r="L1175">
        <f>K1175*(MIN(Inputs!$B$21+((C1186=TRUE)*(F1186-Calc!F24)),Inputs!$B$22)/100+Inputs!$B$22/100)/2</f>
        <v/>
      </c>
      <c r="M1175">
        <f>L1175*(1+(Inputs!$B$9+((C1188=TRUE)*(F1188-Calc!F26))+B1205)/100)</f>
        <v/>
      </c>
      <c r="N1175">
        <f>L1175*(1-MIN((Inputs!$B$8+((C1187=TRUE)*(F1187-Calc!F25))+B1202),100)/100)+M1175*(MIN((Inputs!$B$8+((C1187=TRUE)*(F1187-Calc!F25))+B1202),100)/100)</f>
        <v/>
      </c>
      <c r="O1175">
        <f>IF(C1175,H1175*N1175*IF(AND(Inputs!$B$4&lt;&gt;"pvp",Inputs!$B$35&gt;0),((Skills!G13*((R1175-1)*IF(Skills!H13&gt;0,Skills!I13/Skills!H13,1)+IF(Skills!H13&gt;0,MIN(Skills!I13,MAX(0,Inputs!$B$35-((R1175-1)*IF(Inputs!$B$4="pvp",15,MAX(0.1,Skills!D13-IF(Skills!E13=TRUE,Inputs!$B$31,0))))))/Skills!H13,1)))/Inputs!$B$35),G1175*Q1175)*IF(Inputs!$B$4="pvp",1,(1-Summary!$B$55)*(1)+Summary!$B$55*(MIN(Skills!W13,Inputs!$B$37))),0)</f>
        <v/>
      </c>
      <c r="P1175">
        <f>IF(B1206=0,0,O1175/B1206)</f>
        <v/>
      </c>
      <c r="Q1175">
        <f>IFERROR(1/IF(Inputs!$B$4="pvp",15,MAX(0.1,Skills!D13-IF(Skills!E13=TRUE,Inputs!$B$31,0))),0)</f>
        <v/>
      </c>
      <c r="R1175">
        <f>IF(AND(Inputs!$B$4&lt;&gt;"pvp",Inputs!$B$35&gt;0),(INT(Inputs!$B$35/IF(Inputs!$B$4="pvp",15,MAX(0.1,Skills!D13-IF(Skills!E13=TRUE,Inputs!$B$31,0))))+1),0)</f>
        <v/>
      </c>
      <c r="S1175">
        <f>IFERROR(O1175/N1175,0)</f>
        <v/>
      </c>
    </row>
    <row r="1176">
      <c r="A1176">
        <f>Skills!A14</f>
        <v/>
      </c>
      <c r="B1176">
        <f>Skills!B14</f>
        <v/>
      </c>
      <c r="C1176">
        <f>Inputs!$B$3&gt;=105</f>
        <v/>
      </c>
      <c r="D1176">
        <f>IF(Skills!C14=1,60+Inputs!$B$24+Inputs!$B$28,IF(Skills!C14=2,90+Inputs!$B$25+Inputs!$B$28,IF(Skills!C14=3,120+Inputs!$B$26+Inputs!$B$28,MAX(0,(Inputs!$B$3-100)*3)+Inputs!$B$27+Inputs!$B$28)))</f>
        <v/>
      </c>
      <c r="E1176">
        <f>INDEX(FactorTable!$B$2:$Y$301, MATCH(ROUND(MIN(300,MAX(1,D1176)),0), FactorTable!$A$2:$A$301,0), Skills!M14+1)</f>
        <v/>
      </c>
      <c r="F1176">
        <f>IF(Skills!N14=TRUE,(Skills!L14/10)*(E1176/1000),Skills!L14/10)+Skills!O14</f>
        <v/>
      </c>
      <c r="G1176">
        <f>Calc!G14</f>
        <v/>
      </c>
      <c r="H1176">
        <f>Calc!H14</f>
        <v/>
      </c>
      <c r="I1176">
        <f>IF(Skills!AA14&lt;&gt;"",1+(Skills!AA14/10)*(U1165/1000)/100,1)</f>
        <v/>
      </c>
      <c r="J1176">
        <f>(Inputs!$B$5*(1+Inputs!$B$6/100))*(F1176/100)</f>
        <v/>
      </c>
      <c r="K1176">
        <f>J1176*(1+((Inputs!$B$11*(1+Inputs!$B$12/100))*0.01+Inputs!$B$13*0.0025)/100)*(1+Inputs!$B$14/100)*(1+IF(Inputs!$B$4="pvp",0,(1-Summary!$B$55)*(Inputs!$B$19+((C1189=TRUE)*(F1189-Calc!F27))+Skills!P14+B1203)+Summary!$B$55*(Inputs!$B$20+Skills!Q14+B1203))/100)*(1+Inputs!$B$15/100)*(5000/(6000+Inputs!$B$7*(1-Inputs!$B$18/100)))*(1+(Inputs!$B$23+((C1192=TRUE)*(F1192-Calc!F30)))/100)*(1+Skills!R14/100)*(1+(IF(Skills!A14="SHOWDOWN",Inputs!$B$16+((C1185=TRUE)*(F1185-Calc!F23)),Inputs!$B$17+((C1191=TRUE)*(F1191-Calc!F29))))/100)*(((1+(((C1183=TRUE)*F1183*IF(AND(Inputs!$B$4&lt;&gt;"pvp",Inputs!$B$35&gt;0),(((S1183-1)*(Skills!Y21*(1+Inputs!$B$33/100))+MIN((Skills!Y21*(1+Inputs!$B$33/100)),MAX(0,Inputs!$B$35-((S1183-1)*Skills!D21))))/Inputs!$B$35),IF(Inputs!$B$4="pvp",MIN((Skills!Y21*(1+Inputs!$B$33/100)),15)/15,(Skills!Y21*(1+Inputs!$B$33/100))/Skills!D21)))+((C1190=TRUE)*(F1190-Calc!F28))+((C1180=TRUE)*(F1180-Calc!F18)))/100)*(1+((C1177=TRUE)*F1177*IF(AND(Inputs!$B$4&lt;&gt;"pvp",Inputs!$B$35&gt;0),(((S1177-1)*(Skills!Y15*(1+Inputs!$B$33/100))+MIN((Skills!Y15*(1+Inputs!$B$33/100)),MAX(0,Inputs!$B$35-((S1177-1)*Skills!D15))))/Inputs!$B$35),IF(Inputs!$B$4="pvp",MIN((Skills!Y15*(1+Inputs!$B$33/100)),15)/15,(Skills!Y15*(1+Inputs!$B$33/100))/Skills!D15)))/100)*(1+((C1168=TRUE)*F1168*B1196)/100))*B1204*I1176)</f>
        <v/>
      </c>
      <c r="L1176">
        <f>K1176*(MIN(Inputs!$B$21+((C1186=TRUE)*(F1186-Calc!F24)),Inputs!$B$22)/100+Inputs!$B$22/100)/2</f>
        <v/>
      </c>
      <c r="M1176">
        <f>L1176*(1+(Inputs!$B$9+((C1188=TRUE)*(F1188-Calc!F26))+B1205)/100)</f>
        <v/>
      </c>
      <c r="N1176">
        <f>L1176*(1-MIN((Inputs!$B$8+((C1187=TRUE)*(F1187-Calc!F25))+B1202),100)/100)+M1176*(MIN((Inputs!$B$8+((C1187=TRUE)*(F1187-Calc!F25))+B1202),100)/100)</f>
        <v/>
      </c>
      <c r="O1176">
        <f>IF(C1176,H1176*N1176*IF(AND(Inputs!$B$4&lt;&gt;"pvp",Inputs!$B$35&gt;0),((Skills!G14*((R1176-1)*IF(Skills!H14&gt;0,Skills!I14/Skills!H14,1)+IF(Skills!H14&gt;0,MIN(Skills!I14,MAX(0,Inputs!$B$35-((R1176-1)*IF(Inputs!$B$4="pvp",15,MAX(0.1,Skills!D14-IF(Skills!E14=TRUE,Inputs!$B$31,0))))))/Skills!H14,1)))/Inputs!$B$35),G1176*Q1176)*IF(Inputs!$B$4="pvp",1,(1-Summary!$B$55)*(1)+Summary!$B$55*(MIN(Skills!W14,Inputs!$B$37))),0)</f>
        <v/>
      </c>
      <c r="P1176">
        <f>IF(B1206=0,0,O1176/B1206)</f>
        <v/>
      </c>
      <c r="Q1176">
        <f>IFERROR(1/IF(Inputs!$B$4="pvp",15,MAX(0.1,Skills!D14-IF(Skills!E14=TRUE,Inputs!$B$31,0))),0)</f>
        <v/>
      </c>
      <c r="R1176">
        <f>IF(AND(Inputs!$B$4&lt;&gt;"pvp",Inputs!$B$35&gt;0),(INT(Inputs!$B$35/IF(Inputs!$B$4="pvp",15,MAX(0.1,Skills!D14-IF(Skills!E14=TRUE,Inputs!$B$31,0))))+1),0)</f>
        <v/>
      </c>
      <c r="S1176">
        <f>IFERROR(O1176/N1176,0)</f>
        <v/>
      </c>
    </row>
    <row r="1177">
      <c r="A1177">
        <f>Skills!A15</f>
        <v/>
      </c>
      <c r="B1177">
        <f>Skills!B15</f>
        <v/>
      </c>
      <c r="C1177">
        <f>Inputs!$B$3&gt;=110</f>
        <v/>
      </c>
      <c r="D1177">
        <f>IF(Skills!C15=1,60+Inputs!$B$24+Inputs!$B$28,IF(Skills!C15=2,90+Inputs!$B$25+Inputs!$B$28,IF(Skills!C15=3,120+Inputs!$B$26+Inputs!$B$28,MAX(0,(Inputs!$B$3-100)*3)+Inputs!$B$27+Inputs!$B$28)))</f>
        <v/>
      </c>
      <c r="E1177">
        <f>INDEX(FactorTable!$B$2:$Y$301, MATCH(ROUND(MIN(300,MAX(1,D1177)),0), FactorTable!$A$2:$A$301,0), Skills!M15+1)</f>
        <v/>
      </c>
      <c r="F1177">
        <f>IF(Skills!N15=TRUE,(Skills!L15/10)*(E1177/1000),Skills!L15/10)+Skills!O15</f>
        <v/>
      </c>
      <c r="G1177">
        <f>Calc!G15</f>
        <v/>
      </c>
      <c r="H1177">
        <f>Calc!H15</f>
        <v/>
      </c>
      <c r="I1177">
        <f>IF(Skills!AA15&lt;&gt;"",1+(Skills!AA15/10)*(U1165/1000)/100,1)</f>
        <v/>
      </c>
      <c r="J1177" t="inlineStr"/>
      <c r="K1177" t="inlineStr"/>
      <c r="L1177" t="inlineStr"/>
      <c r="M1177" t="inlineStr"/>
      <c r="N1177" t="inlineStr"/>
      <c r="O1177" t="n">
        <v>0</v>
      </c>
      <c r="P1177">
        <f>IF(B1206=0,0,O1177/B1206)</f>
        <v/>
      </c>
      <c r="Q1177">
        <f>IFERROR(1/IF(Inputs!$B$4="pvp",15,MAX(0.1,Skills!D15-IF(Skills!E15=TRUE,Inputs!$B$31,0))),0)</f>
        <v/>
      </c>
      <c r="R1177">
        <f>IF(AND(Inputs!$B$4&lt;&gt;"pvp",Inputs!$B$35&gt;0),(INT(Inputs!$B$35/IF(Inputs!$B$4="pvp",15,MAX(0.1,Skills!D15-IF(Skills!E15=TRUE,Inputs!$B$31,0))))+1),0)</f>
        <v/>
      </c>
      <c r="S1177">
        <f>IFERROR(O1177/N1177,0)</f>
        <v/>
      </c>
    </row>
    <row r="1178">
      <c r="A1178">
        <f>Skills!A16</f>
        <v/>
      </c>
      <c r="B1178">
        <f>Skills!B16</f>
        <v/>
      </c>
      <c r="C1178">
        <f>Inputs!$B$3&gt;=110</f>
        <v/>
      </c>
      <c r="D1178">
        <f>IF(Skills!C16=1,60+Inputs!$B$24+Inputs!$B$28,IF(Skills!C16=2,90+Inputs!$B$25+Inputs!$B$28,IF(Skills!C16=3,120+Inputs!$B$26+Inputs!$B$28,MAX(0,(Inputs!$B$3-100)*3)+Inputs!$B$27+Inputs!$B$28)))</f>
        <v/>
      </c>
      <c r="E1178">
        <f>INDEX(FactorTable!$B$2:$Y$301, MATCH(ROUND(MIN(300,MAX(1,D1178)),0), FactorTable!$A$2:$A$301,0), Skills!M16+1)</f>
        <v/>
      </c>
      <c r="F1178">
        <f>IF(Skills!N16=TRUE,(Skills!L16/10)*(E1178/1000),Skills!L16/10)+Skills!O16</f>
        <v/>
      </c>
      <c r="G1178">
        <f>Calc!G16</f>
        <v/>
      </c>
      <c r="H1178">
        <f>Calc!H16</f>
        <v/>
      </c>
      <c r="I1178">
        <f>IF(Skills!AA16&lt;&gt;"",1+(Skills!AA16/10)*(U1165/1000)/100,1)</f>
        <v/>
      </c>
      <c r="J1178" t="inlineStr"/>
      <c r="K1178" t="inlineStr"/>
      <c r="L1178" t="inlineStr"/>
      <c r="M1178" t="inlineStr"/>
      <c r="N1178" t="inlineStr"/>
      <c r="O1178" t="n">
        <v>0</v>
      </c>
      <c r="P1178">
        <f>IF(B1206=0,0,O1178/B1206)</f>
        <v/>
      </c>
      <c r="Q1178">
        <f>IFERROR(1/IF(Inputs!$B$4="pvp",15,MAX(0.1,Skills!D16-IF(Skills!E16=TRUE,Inputs!$B$31,0))),0)</f>
        <v/>
      </c>
      <c r="R1178">
        <f>IF(AND(Inputs!$B$4&lt;&gt;"pvp",Inputs!$B$35&gt;0),(INT(Inputs!$B$35/IF(Inputs!$B$4="pvp",15,MAX(0.1,Skills!D16-IF(Skills!E16=TRUE,Inputs!$B$31,0))))+1),0)</f>
        <v/>
      </c>
      <c r="S1178">
        <f>IFERROR(O1178/N1178,0)</f>
        <v/>
      </c>
    </row>
    <row r="1179">
      <c r="A1179">
        <f>Skills!A17</f>
        <v/>
      </c>
      <c r="B1179">
        <f>Skills!B17</f>
        <v/>
      </c>
      <c r="C1179">
        <f>Inputs!$B$3&gt;=115</f>
        <v/>
      </c>
      <c r="D1179">
        <f>IF(Skills!C17=1,60+Inputs!$B$24+Inputs!$B$28,IF(Skills!C17=2,90+Inputs!$B$25+Inputs!$B$28,IF(Skills!C17=3,120+Inputs!$B$26+Inputs!$B$28,MAX(0,(Inputs!$B$3-100)*3)+Inputs!$B$27+Inputs!$B$28)))</f>
        <v/>
      </c>
      <c r="E1179">
        <f>INDEX(FactorTable!$B$2:$Y$301, MATCH(ROUND(MIN(300,MAX(1,D1179)),0), FactorTable!$A$2:$A$301,0), Skills!M17+1)</f>
        <v/>
      </c>
      <c r="F1179">
        <f>IF(Skills!N17=TRUE,(Skills!L17/10)*(E1179/1000),Skills!L17/10)+Skills!O17</f>
        <v/>
      </c>
      <c r="G1179">
        <f>Calc!G17</f>
        <v/>
      </c>
      <c r="H1179">
        <f>Calc!H17</f>
        <v/>
      </c>
      <c r="I1179">
        <f>IF(Skills!AA17&lt;&gt;"",1+(Skills!AA17/10)*(U1165/1000)/100,1)</f>
        <v/>
      </c>
      <c r="J1179">
        <f>(Inputs!$B$5*(1+Inputs!$B$6/100))*(F1179/100)</f>
        <v/>
      </c>
      <c r="K1179">
        <f>J1179*(1+((Inputs!$B$11*(1+Inputs!$B$12/100))*0.01+Inputs!$B$13*0.0025)/100)*(1+Inputs!$B$14/100)*(1+IF(Inputs!$B$4="pvp",0,(1-Summary!$B$55)*(Inputs!$B$19+((C1189=TRUE)*(F1189-Calc!F27))+Skills!P17+B1203)+Summary!$B$55*(Inputs!$B$20+Skills!Q17+B1203))/100)*(1+Inputs!$B$15/100)*(5000/(6000+Inputs!$B$7*(1-Inputs!$B$18/100)))*(1+(Inputs!$B$23+((C1192=TRUE)*(F1192-Calc!F30)))/100)*(1+Skills!R17/100)*(1+(IF(Skills!A17="SHOWDOWN",Inputs!$B$16+((C1185=TRUE)*(F1185-Calc!F23)),Inputs!$B$17+((C1191=TRUE)*(F1191-Calc!F29))))/100)*(((1+(((C1183=TRUE)*F1183*IF(AND(Inputs!$B$4&lt;&gt;"pvp",Inputs!$B$35&gt;0),(((S1183-1)*(Skills!Y21*(1+Inputs!$B$33/100))+MIN((Skills!Y21*(1+Inputs!$B$33/100)),MAX(0,Inputs!$B$35-((S1183-1)*Skills!D21))))/Inputs!$B$35),IF(Inputs!$B$4="pvp",MIN((Skills!Y21*(1+Inputs!$B$33/100)),15)/15,(Skills!Y21*(1+Inputs!$B$33/100))/Skills!D21)))+((C1190=TRUE)*(F1190-Calc!F28))+((C1180=TRUE)*(F1180-Calc!F18)))/100)*(1+((C1177=TRUE)*F1177*IF(AND(Inputs!$B$4&lt;&gt;"pvp",Inputs!$B$35&gt;0),(((S1177-1)*(Skills!Y15*(1+Inputs!$B$33/100))+MIN((Skills!Y15*(1+Inputs!$B$33/100)),MAX(0,Inputs!$B$35-((S1177-1)*Skills!D15))))/Inputs!$B$35),IF(Inputs!$B$4="pvp",MIN((Skills!Y15*(1+Inputs!$B$33/100)),15)/15,(Skills!Y15*(1+Inputs!$B$33/100))/Skills!D15)))/100)*(1+((C1168=TRUE)*F1168*B1196)/100))*B1204*I1179)</f>
        <v/>
      </c>
      <c r="L1179">
        <f>K1179*(MIN(Inputs!$B$21+((C1186=TRUE)*(F1186-Calc!F24)),Inputs!$B$22)/100+Inputs!$B$22/100)/2</f>
        <v/>
      </c>
      <c r="M1179">
        <f>L1179*(1+(Inputs!$B$9+((C1188=TRUE)*(F1188-Calc!F26))+B1205)/100)</f>
        <v/>
      </c>
      <c r="N1179">
        <f>L1179*(1-MIN((Inputs!$B$8+((C1187=TRUE)*(F1187-Calc!F25))+B1202),100)/100)+M1179*(MIN((Inputs!$B$8+((C1187=TRUE)*(F1187-Calc!F25))+B1202),100)/100)</f>
        <v/>
      </c>
      <c r="O1179">
        <f>IF(C1179,Inputs!$B$38*0.2*N1179,0)</f>
        <v/>
      </c>
      <c r="P1179">
        <f>IF(B1206=0,0,O1179/B1206)</f>
        <v/>
      </c>
      <c r="Q1179" t="n">
        <v>0</v>
      </c>
      <c r="R1179" t="n">
        <v>0</v>
      </c>
      <c r="S1179">
        <f>IFERROR(O1179/N1179,0)</f>
        <v/>
      </c>
    </row>
    <row r="1180">
      <c r="A1180">
        <f>Skills!A18</f>
        <v/>
      </c>
      <c r="B1180">
        <f>Skills!B18</f>
        <v/>
      </c>
      <c r="C1180">
        <f>Inputs!$B$3&gt;=115</f>
        <v/>
      </c>
      <c r="D1180">
        <f>IF(Skills!C18=1,60+Inputs!$B$24+Inputs!$B$28,IF(Skills!C18=2,90+Inputs!$B$25+Inputs!$B$28,IF(Skills!C18=3,120+Inputs!$B$26+Inputs!$B$28,MAX(0,(Inputs!$B$3-100)*3)+Inputs!$B$27+Inputs!$B$28)))</f>
        <v/>
      </c>
      <c r="E1180">
        <f>INDEX(FactorTable!$B$2:$Y$301, MATCH(ROUND(MIN(300,MAX(1,D1180)),0), FactorTable!$A$2:$A$301,0), Skills!M18+1)</f>
        <v/>
      </c>
      <c r="F1180">
        <f>IF(Skills!N18=TRUE,(Skills!L18/10)*(E1180/1000),Skills!L18/10)+Skills!O18</f>
        <v/>
      </c>
      <c r="G1180">
        <f>Calc!G18</f>
        <v/>
      </c>
      <c r="H1180">
        <f>Calc!H18</f>
        <v/>
      </c>
      <c r="I1180">
        <f>IF(Skills!AA18&lt;&gt;"",1+(Skills!AA18/10)*(U1165/1000)/100,1)</f>
        <v/>
      </c>
      <c r="J1180" t="inlineStr"/>
      <c r="K1180" t="inlineStr"/>
      <c r="L1180" t="inlineStr"/>
      <c r="M1180" t="inlineStr"/>
      <c r="N1180" t="inlineStr"/>
      <c r="O1180" t="n">
        <v>0</v>
      </c>
      <c r="P1180">
        <f>IF(B1206=0,0,O1180/B1206)</f>
        <v/>
      </c>
      <c r="Q1180" t="n">
        <v>0</v>
      </c>
      <c r="R1180" t="n">
        <v>0</v>
      </c>
      <c r="S1180">
        <f>IFERROR(O1180/N1180,0)</f>
        <v/>
      </c>
    </row>
    <row r="1181">
      <c r="A1181">
        <f>Skills!A19</f>
        <v/>
      </c>
      <c r="B1181">
        <f>Skills!B19</f>
        <v/>
      </c>
      <c r="C1181">
        <f>TRUE</f>
        <v/>
      </c>
      <c r="D1181">
        <f>IF(Skills!C19=1,60+Inputs!$B$24+Inputs!$B$28,IF(Skills!C19=2,90+Inputs!$B$25+Inputs!$B$28,IF(Skills!C19=3,120+Inputs!$B$26+Inputs!$B$28,MAX(0,(Inputs!$B$3-100)*3)+Inputs!$B$27+Inputs!$B$28)))</f>
        <v/>
      </c>
      <c r="E1181">
        <f>INDEX(FactorTable!$B$2:$Y$301, MATCH(ROUND(MIN(300,MAX(1,D1181)),0), FactorTable!$A$2:$A$301,0), Skills!M19+1)</f>
        <v/>
      </c>
      <c r="F1181">
        <f>IF(Skills!N19=TRUE,(Skills!L19/10)*(E1181/1000),Skills!L19/10)+Skills!O19</f>
        <v/>
      </c>
      <c r="G1181">
        <f>Calc!G19</f>
        <v/>
      </c>
      <c r="H1181">
        <f>Calc!H19</f>
        <v/>
      </c>
      <c r="I1181">
        <f>IF(Skills!AA19&lt;&gt;"",1+(Skills!AA19/10)*(U1165/1000)/100,1)</f>
        <v/>
      </c>
      <c r="J1181" t="inlineStr"/>
      <c r="K1181" t="inlineStr"/>
      <c r="L1181" t="inlineStr"/>
      <c r="M1181" t="inlineStr"/>
      <c r="N1181" t="inlineStr"/>
      <c r="O1181" t="n">
        <v>0</v>
      </c>
      <c r="P1181">
        <f>IF(B1206=0,0,O1181/B1206)</f>
        <v/>
      </c>
      <c r="Q1181">
        <f>IFERROR(1/IF(Inputs!$B$4="pvp",15,MAX(0.1,Skills!D19-IF(Skills!E19=TRUE,Inputs!$B$31,0))),0)</f>
        <v/>
      </c>
      <c r="R1181">
        <f>IF(AND(Inputs!$B$4&lt;&gt;"pvp",Inputs!$B$35&gt;0),(INT(Inputs!$B$35/IF(Inputs!$B$4="pvp",15,MAX(0.1,Skills!D19-IF(Skills!E19=TRUE,Inputs!$B$31,0))))+1),0)</f>
        <v/>
      </c>
      <c r="S1181">
        <f>IFERROR(O1181/N1181,0)</f>
        <v/>
      </c>
    </row>
    <row r="1182">
      <c r="A1182">
        <f>Skills!A20</f>
        <v/>
      </c>
      <c r="B1182">
        <f>Skills!B20</f>
        <v/>
      </c>
      <c r="C1182">
        <f>Inputs!$B$3&gt;=15</f>
        <v/>
      </c>
      <c r="D1182">
        <f>IF(Skills!C20=1,60+Inputs!$B$24+Inputs!$B$28,IF(Skills!C20=2,90+Inputs!$B$25+Inputs!$B$28,IF(Skills!C20=3,120+Inputs!$B$26+Inputs!$B$28,MAX(0,(Inputs!$B$3-100)*3)+Inputs!$B$27+Inputs!$B$28)))</f>
        <v/>
      </c>
      <c r="E1182">
        <f>INDEX(FactorTable!$B$2:$Y$301, MATCH(ROUND(MIN(300,MAX(1,D1182)),0), FactorTable!$A$2:$A$301,0), Skills!M20+1)</f>
        <v/>
      </c>
      <c r="F1182">
        <f>IF(Skills!N20=TRUE,(Skills!L20/10)*(E1182/1000),Skills!L20/10)+Skills!O20</f>
        <v/>
      </c>
      <c r="G1182">
        <f>Calc!G20</f>
        <v/>
      </c>
      <c r="H1182">
        <f>Calc!H20</f>
        <v/>
      </c>
      <c r="I1182">
        <f>IF(Skills!AA20&lt;&gt;"",1+(Skills!AA20/10)*(U1165/1000)/100,1)</f>
        <v/>
      </c>
      <c r="J1182" t="inlineStr"/>
      <c r="K1182" t="inlineStr"/>
      <c r="L1182" t="inlineStr"/>
      <c r="M1182" t="inlineStr"/>
      <c r="N1182" t="inlineStr"/>
      <c r="O1182" t="n">
        <v>0</v>
      </c>
      <c r="P1182">
        <f>IF(B1206=0,0,O1182/B1206)</f>
        <v/>
      </c>
      <c r="Q1182">
        <f>IFERROR(1/IF(Inputs!$B$4="pvp",15,MAX(0.1,Skills!D20-IF(Skills!E20=TRUE,Inputs!$B$31,0))),0)</f>
        <v/>
      </c>
      <c r="R1182">
        <f>IF(AND(Inputs!$B$4&lt;&gt;"pvp",Inputs!$B$35&gt;0),(INT(Inputs!$B$35/IF(Inputs!$B$4="pvp",15,MAX(0.1,Skills!D20-IF(Skills!E20=TRUE,Inputs!$B$31,0))))+1),0)</f>
        <v/>
      </c>
      <c r="S1182">
        <f>IFERROR(O1182/N1182,0)</f>
        <v/>
      </c>
    </row>
    <row r="1183">
      <c r="A1183">
        <f>Skills!A21</f>
        <v/>
      </c>
      <c r="B1183">
        <f>Skills!B21</f>
        <v/>
      </c>
      <c r="C1183">
        <f>Inputs!$B$3&gt;=15</f>
        <v/>
      </c>
      <c r="D1183">
        <f>IF(Skills!C21=1,60+Inputs!$B$24+Inputs!$B$28,IF(Skills!C21=2,90+Inputs!$B$25+Inputs!$B$28,IF(Skills!C21=3,120+Inputs!$B$26+Inputs!$B$28,MAX(0,(Inputs!$B$3-100)*3)+Inputs!$B$27+Inputs!$B$28)))</f>
        <v/>
      </c>
      <c r="E1183">
        <f>INDEX(FactorTable!$B$2:$Y$301, MATCH(ROUND(MIN(300,MAX(1,D1183)),0), FactorTable!$A$2:$A$301,0), Skills!M21+1)</f>
        <v/>
      </c>
      <c r="F1183">
        <f>IF(Skills!N21=TRUE,(Skills!L21/10)*(E1183/1000),Skills!L21/10)+Skills!O21</f>
        <v/>
      </c>
      <c r="G1183">
        <f>Calc!G21</f>
        <v/>
      </c>
      <c r="H1183">
        <f>Calc!H21</f>
        <v/>
      </c>
      <c r="I1183">
        <f>IF(Skills!AA21&lt;&gt;"",1+(Skills!AA21/10)*(U1165/1000)/100,1)</f>
        <v/>
      </c>
      <c r="J1183" t="inlineStr"/>
      <c r="K1183" t="inlineStr"/>
      <c r="L1183" t="inlineStr"/>
      <c r="M1183" t="inlineStr"/>
      <c r="N1183" t="inlineStr"/>
      <c r="O1183" t="n">
        <v>0</v>
      </c>
      <c r="P1183">
        <f>IF(B1206=0,0,O1183/B1206)</f>
        <v/>
      </c>
      <c r="Q1183">
        <f>IFERROR(1/IF(Inputs!$B$4="pvp",15,MAX(0.1,Skills!D21-IF(Skills!E21=TRUE,Inputs!$B$31,0))),0)</f>
        <v/>
      </c>
      <c r="R1183">
        <f>IF(AND(Inputs!$B$4&lt;&gt;"pvp",Inputs!$B$35&gt;0),(INT(Inputs!$B$35/IF(Inputs!$B$4="pvp",15,MAX(0.1,Skills!D21-IF(Skills!E21=TRUE,Inputs!$B$31,0))))+1),0)</f>
        <v/>
      </c>
      <c r="S1183">
        <f>IFERROR(O1183/N1183,0)</f>
        <v/>
      </c>
    </row>
    <row r="1184">
      <c r="A1184">
        <f>Skills!A22</f>
        <v/>
      </c>
      <c r="B1184">
        <f>Skills!B22</f>
        <v/>
      </c>
      <c r="C1184">
        <f>Inputs!$B$3&gt;=33</f>
        <v/>
      </c>
      <c r="D1184">
        <f>IF(Skills!C22=1,60+Inputs!$B$24+Inputs!$B$28,IF(Skills!C22=2,90+Inputs!$B$25+Inputs!$B$28,IF(Skills!C22=3,120+Inputs!$B$26+Inputs!$B$28,MAX(0,(Inputs!$B$3-100)*3)+Inputs!$B$27+Inputs!$B$28)))</f>
        <v/>
      </c>
      <c r="E1184">
        <f>INDEX(FactorTable!$B$2:$Y$301, MATCH(ROUND(MIN(300,MAX(1,D1184)),0), FactorTable!$A$2:$A$301,0), Skills!M22+1)</f>
        <v/>
      </c>
      <c r="F1184">
        <f>IF(Skills!N22=TRUE,(Skills!L22/10)*(E1184/1000),Skills!L22/10)+Skills!O22</f>
        <v/>
      </c>
      <c r="G1184">
        <f>Calc!G22</f>
        <v/>
      </c>
      <c r="H1184">
        <f>Calc!H22</f>
        <v/>
      </c>
      <c r="I1184">
        <f>IF(Skills!AA22&lt;&gt;"",1+(Skills!AA22/10)*(U1165/1000)/100,1)</f>
        <v/>
      </c>
      <c r="J1184" t="inlineStr"/>
      <c r="K1184" t="inlineStr"/>
      <c r="L1184" t="inlineStr"/>
      <c r="M1184" t="inlineStr"/>
      <c r="N1184" t="inlineStr"/>
      <c r="O1184" t="n">
        <v>0</v>
      </c>
      <c r="P1184">
        <f>IF(B1206=0,0,O1184/B1206)</f>
        <v/>
      </c>
      <c r="Q1184" t="n">
        <v>0</v>
      </c>
      <c r="R1184" t="n">
        <v>0</v>
      </c>
      <c r="S1184">
        <f>IFERROR(O1184/N1184,0)</f>
        <v/>
      </c>
    </row>
    <row r="1185">
      <c r="A1185">
        <f>Skills!A23</f>
        <v/>
      </c>
      <c r="B1185">
        <f>Skills!B23</f>
        <v/>
      </c>
      <c r="C1185">
        <f>Inputs!$B$3&gt;=38</f>
        <v/>
      </c>
      <c r="D1185">
        <f>IF(Skills!C23=1,60+Inputs!$B$24+Inputs!$B$28,IF(Skills!C23=2,90+Inputs!$B$25+Inputs!$B$28,IF(Skills!C23=3,120+Inputs!$B$26+Inputs!$B$28,MAX(0,(Inputs!$B$3-100)*3)+Inputs!$B$27+Inputs!$B$28)))</f>
        <v/>
      </c>
      <c r="E1185">
        <f>INDEX(FactorTable!$B$2:$Y$301, MATCH(ROUND(MIN(300,MAX(1,D1185)),0), FactorTable!$A$2:$A$301,0), Skills!M23+1)</f>
        <v/>
      </c>
      <c r="F1185">
        <f>IF(Skills!N23=TRUE,(Skills!L23/10)*(E1185/1000),Skills!L23/10)+Skills!O23</f>
        <v/>
      </c>
      <c r="G1185">
        <f>Calc!G23</f>
        <v/>
      </c>
      <c r="H1185">
        <f>Calc!H23</f>
        <v/>
      </c>
      <c r="I1185">
        <f>IF(Skills!AA23&lt;&gt;"",1+(Skills!AA23/10)*(U1165/1000)/100,1)</f>
        <v/>
      </c>
      <c r="J1185" t="inlineStr"/>
      <c r="K1185" t="inlineStr"/>
      <c r="L1185" t="inlineStr"/>
      <c r="M1185" t="inlineStr"/>
      <c r="N1185" t="inlineStr"/>
      <c r="O1185" t="n">
        <v>0</v>
      </c>
      <c r="P1185">
        <f>IF(B1206=0,0,O1185/B1206)</f>
        <v/>
      </c>
      <c r="Q1185" t="n">
        <v>0</v>
      </c>
      <c r="R1185" t="n">
        <v>0</v>
      </c>
      <c r="S1185">
        <f>IFERROR(O1185/N1185,0)</f>
        <v/>
      </c>
    </row>
    <row r="1186">
      <c r="A1186">
        <f>Skills!A24</f>
        <v/>
      </c>
      <c r="B1186">
        <f>Skills!B24</f>
        <v/>
      </c>
      <c r="C1186">
        <f>Inputs!$B$3&gt;=40</f>
        <v/>
      </c>
      <c r="D1186">
        <f>IF(Skills!C24=1,60+Inputs!$B$24+Inputs!$B$28,IF(Skills!C24=2,90+Inputs!$B$25+Inputs!$B$28,IF(Skills!C24=3,120+Inputs!$B$26+Inputs!$B$28,MAX(0,(Inputs!$B$3-100)*3)+Inputs!$B$27+Inputs!$B$28)))</f>
        <v/>
      </c>
      <c r="E1186">
        <f>INDEX(FactorTable!$B$2:$Y$301, MATCH(ROUND(MIN(300,MAX(1,D1186)),0), FactorTable!$A$2:$A$301,0), Skills!M24+1)</f>
        <v/>
      </c>
      <c r="F1186">
        <f>IF(Skills!N24=TRUE,(Skills!L24/10)*(E1186/1000),Skills!L24/10)+Skills!O24</f>
        <v/>
      </c>
      <c r="G1186">
        <f>Calc!G24</f>
        <v/>
      </c>
      <c r="H1186">
        <f>Calc!H24</f>
        <v/>
      </c>
      <c r="I1186">
        <f>IF(Skills!AA24&lt;&gt;"",1+(Skills!AA24/10)*(U1165/1000)/100,1)</f>
        <v/>
      </c>
      <c r="J1186" t="inlineStr"/>
      <c r="K1186" t="inlineStr"/>
      <c r="L1186" t="inlineStr"/>
      <c r="M1186" t="inlineStr"/>
      <c r="N1186" t="inlineStr"/>
      <c r="O1186" t="n">
        <v>0</v>
      </c>
      <c r="P1186">
        <f>IF(B1206=0,0,O1186/B1206)</f>
        <v/>
      </c>
      <c r="Q1186" t="n">
        <v>0</v>
      </c>
      <c r="R1186" t="n">
        <v>0</v>
      </c>
      <c r="S1186">
        <f>IFERROR(O1186/N1186,0)</f>
        <v/>
      </c>
    </row>
    <row r="1187">
      <c r="A1187">
        <f>Skills!A25</f>
        <v/>
      </c>
      <c r="B1187">
        <f>Skills!B25</f>
        <v/>
      </c>
      <c r="C1187">
        <f>Inputs!$B$3&gt;=45</f>
        <v/>
      </c>
      <c r="D1187">
        <f>IF(Skills!C25=1,60+Inputs!$B$24+Inputs!$B$28,IF(Skills!C25=2,90+Inputs!$B$25+Inputs!$B$28,IF(Skills!C25=3,120+Inputs!$B$26+Inputs!$B$28,MAX(0,(Inputs!$B$3-100)*3)+Inputs!$B$27+Inputs!$B$28)))</f>
        <v/>
      </c>
      <c r="E1187">
        <f>INDEX(FactorTable!$B$2:$Y$301, MATCH(ROUND(MIN(300,MAX(1,D1187)),0), FactorTable!$A$2:$A$301,0), Skills!M25+1)</f>
        <v/>
      </c>
      <c r="F1187">
        <f>IF(Skills!N25=TRUE,(Skills!L25/10)*(E1187/1000),Skills!L25/10)+Skills!O25</f>
        <v/>
      </c>
      <c r="G1187">
        <f>Calc!G25</f>
        <v/>
      </c>
      <c r="H1187">
        <f>Calc!H25</f>
        <v/>
      </c>
      <c r="I1187">
        <f>IF(Skills!AA25&lt;&gt;"",1+(Skills!AA25/10)*(U1165/1000)/100,1)</f>
        <v/>
      </c>
      <c r="J1187" t="inlineStr"/>
      <c r="K1187" t="inlineStr"/>
      <c r="L1187" t="inlineStr"/>
      <c r="M1187" t="inlineStr"/>
      <c r="N1187" t="inlineStr"/>
      <c r="O1187" t="n">
        <v>0</v>
      </c>
      <c r="P1187">
        <f>IF(B1206=0,0,O1187/B1206)</f>
        <v/>
      </c>
      <c r="Q1187" t="n">
        <v>0</v>
      </c>
      <c r="R1187" t="n">
        <v>0</v>
      </c>
      <c r="S1187">
        <f>IFERROR(O1187/N1187,0)</f>
        <v/>
      </c>
    </row>
    <row r="1188">
      <c r="A1188">
        <f>Skills!A26</f>
        <v/>
      </c>
      <c r="B1188">
        <f>Skills!B26</f>
        <v/>
      </c>
      <c r="C1188">
        <f>Inputs!$B$3&gt;=45</f>
        <v/>
      </c>
      <c r="D1188">
        <f>IF(Skills!C26=1,60+Inputs!$B$24+Inputs!$B$28,IF(Skills!C26=2,90+Inputs!$B$25+Inputs!$B$28,IF(Skills!C26=3,120+Inputs!$B$26+Inputs!$B$28,MAX(0,(Inputs!$B$3-100)*3)+Inputs!$B$27+Inputs!$B$28)))</f>
        <v/>
      </c>
      <c r="E1188">
        <f>INDEX(FactorTable!$B$2:$Y$301, MATCH(ROUND(MIN(300,MAX(1,D1188)),0), FactorTable!$A$2:$A$301,0), Skills!M26+1)</f>
        <v/>
      </c>
      <c r="F1188">
        <f>IF(Skills!N26=TRUE,(Skills!L26/10)*(E1188/1000),Skills!L26/10)+Skills!O26</f>
        <v/>
      </c>
      <c r="G1188">
        <f>Calc!G26</f>
        <v/>
      </c>
      <c r="H1188">
        <f>Calc!H26</f>
        <v/>
      </c>
      <c r="I1188">
        <f>IF(Skills!AA26&lt;&gt;"",1+(Skills!AA26/10)*(U1165/1000)/100,1)</f>
        <v/>
      </c>
      <c r="J1188" t="inlineStr"/>
      <c r="K1188" t="inlineStr"/>
      <c r="L1188" t="inlineStr"/>
      <c r="M1188" t="inlineStr"/>
      <c r="N1188" t="inlineStr"/>
      <c r="O1188" t="n">
        <v>0</v>
      </c>
      <c r="P1188">
        <f>IF(B1206=0,0,O1188/B1206)</f>
        <v/>
      </c>
      <c r="Q1188" t="n">
        <v>0</v>
      </c>
      <c r="R1188" t="n">
        <v>0</v>
      </c>
      <c r="S1188">
        <f>IFERROR(O1188/N1188,0)</f>
        <v/>
      </c>
    </row>
    <row r="1189">
      <c r="A1189">
        <f>Skills!A27</f>
        <v/>
      </c>
      <c r="B1189">
        <f>Skills!B27</f>
        <v/>
      </c>
      <c r="C1189">
        <f>Inputs!$B$3&gt;=72</f>
        <v/>
      </c>
      <c r="D1189">
        <f>IF(Skills!C27=1,60+Inputs!$B$24+Inputs!$B$28,IF(Skills!C27=2,90+Inputs!$B$25+Inputs!$B$28,IF(Skills!C27=3,120+Inputs!$B$26+Inputs!$B$28,MAX(0,(Inputs!$B$3-100)*3)+Inputs!$B$27+Inputs!$B$28)))</f>
        <v/>
      </c>
      <c r="E1189">
        <f>INDEX(FactorTable!$B$2:$Y$301, MATCH(ROUND(MIN(300,MAX(1,D1189)),0), FactorTable!$A$2:$A$301,0), Skills!M27+1)</f>
        <v/>
      </c>
      <c r="F1189">
        <f>IF(Skills!N27=TRUE,(Skills!L27/10)*(E1189/1000),Skills!L27/10)+Skills!O27</f>
        <v/>
      </c>
      <c r="G1189">
        <f>Calc!G27</f>
        <v/>
      </c>
      <c r="H1189">
        <f>Calc!H27</f>
        <v/>
      </c>
      <c r="I1189">
        <f>IF(Skills!AA27&lt;&gt;"",1+(Skills!AA27/10)*(U1165/1000)/100,1)</f>
        <v/>
      </c>
      <c r="J1189" t="inlineStr"/>
      <c r="K1189" t="inlineStr"/>
      <c r="L1189" t="inlineStr"/>
      <c r="M1189" t="inlineStr"/>
      <c r="N1189" t="inlineStr"/>
      <c r="O1189" t="n">
        <v>0</v>
      </c>
      <c r="P1189">
        <f>IF(B1206=0,0,O1189/B1206)</f>
        <v/>
      </c>
      <c r="Q1189" t="n">
        <v>0</v>
      </c>
      <c r="R1189" t="n">
        <v>0</v>
      </c>
      <c r="S1189">
        <f>IFERROR(O1189/N1189,0)</f>
        <v/>
      </c>
    </row>
    <row r="1190">
      <c r="A1190">
        <f>Skills!A28</f>
        <v/>
      </c>
      <c r="B1190">
        <f>Skills!B28</f>
        <v/>
      </c>
      <c r="C1190">
        <f>Inputs!$B$3&gt;=75</f>
        <v/>
      </c>
      <c r="D1190">
        <f>IF(Skills!C28=1,60+Inputs!$B$24+Inputs!$B$28,IF(Skills!C28=2,90+Inputs!$B$25+Inputs!$B$28,IF(Skills!C28=3,120+Inputs!$B$26+Inputs!$B$28,MAX(0,(Inputs!$B$3-100)*3)+Inputs!$B$27+Inputs!$B$28)))</f>
        <v/>
      </c>
      <c r="E1190">
        <f>INDEX(FactorTable!$B$2:$Y$301, MATCH(ROUND(MIN(300,MAX(1,D1190)),0), FactorTable!$A$2:$A$301,0), Skills!M28+1)</f>
        <v/>
      </c>
      <c r="F1190">
        <f>IF(Skills!N28=TRUE,(Skills!L28/10)*(E1190/1000),Skills!L28/10)+Skills!O28</f>
        <v/>
      </c>
      <c r="G1190">
        <f>Calc!G28</f>
        <v/>
      </c>
      <c r="H1190">
        <f>Calc!H28</f>
        <v/>
      </c>
      <c r="I1190">
        <f>IF(Skills!AA28&lt;&gt;"",1+(Skills!AA28/10)*(U1165/1000)/100,1)</f>
        <v/>
      </c>
      <c r="J1190" t="inlineStr"/>
      <c r="K1190" t="inlineStr"/>
      <c r="L1190" t="inlineStr"/>
      <c r="M1190" t="inlineStr"/>
      <c r="N1190" t="inlineStr"/>
      <c r="O1190" t="n">
        <v>0</v>
      </c>
      <c r="P1190">
        <f>IF(B1206=0,0,O1190/B1206)</f>
        <v/>
      </c>
      <c r="Q1190" t="n">
        <v>0</v>
      </c>
      <c r="R1190" t="n">
        <v>0</v>
      </c>
      <c r="S1190">
        <f>IFERROR(O1190/N1190,0)</f>
        <v/>
      </c>
    </row>
    <row r="1191">
      <c r="A1191">
        <f>Skills!A29</f>
        <v/>
      </c>
      <c r="B1191">
        <f>Skills!B29</f>
        <v/>
      </c>
      <c r="C1191">
        <f>Inputs!$B$3&gt;=120</f>
        <v/>
      </c>
      <c r="D1191">
        <f>IF(Skills!C29=1,60+Inputs!$B$24+Inputs!$B$28,IF(Skills!C29=2,90+Inputs!$B$25+Inputs!$B$28,IF(Skills!C29=3,120+Inputs!$B$26+Inputs!$B$28,MAX(0,(Inputs!$B$3-100)*3)+Inputs!$B$27+Inputs!$B$28)))</f>
        <v/>
      </c>
      <c r="E1191">
        <f>INDEX(FactorTable!$B$2:$Y$301, MATCH(ROUND(MIN(300,MAX(1,D1191)),0), FactorTable!$A$2:$A$301,0), Skills!M29+1)</f>
        <v/>
      </c>
      <c r="F1191">
        <f>IF(Skills!N29=TRUE,(Skills!L29/10)*(E1191/1000),Skills!L29/10)+Skills!O29</f>
        <v/>
      </c>
      <c r="G1191">
        <f>Calc!G29</f>
        <v/>
      </c>
      <c r="H1191">
        <f>Calc!H29</f>
        <v/>
      </c>
      <c r="I1191">
        <f>IF(Skills!AA29&lt;&gt;"",1+(Skills!AA29/10)*(U1165/1000)/100,1)</f>
        <v/>
      </c>
      <c r="J1191" t="inlineStr"/>
      <c r="K1191" t="inlineStr"/>
      <c r="L1191" t="inlineStr"/>
      <c r="M1191" t="inlineStr"/>
      <c r="N1191" t="inlineStr"/>
      <c r="O1191" t="n">
        <v>0</v>
      </c>
      <c r="P1191">
        <f>IF(B1206=0,0,O1191/B1206)</f>
        <v/>
      </c>
      <c r="Q1191" t="n">
        <v>0</v>
      </c>
      <c r="R1191" t="n">
        <v>0</v>
      </c>
      <c r="S1191">
        <f>IFERROR(O1191/N1191,0)</f>
        <v/>
      </c>
    </row>
    <row r="1192">
      <c r="A1192">
        <f>Skills!A30</f>
        <v/>
      </c>
      <c r="B1192">
        <f>Skills!B30</f>
        <v/>
      </c>
      <c r="C1192">
        <f>Inputs!$B$3&gt;=125</f>
        <v/>
      </c>
      <c r="D1192">
        <f>IF(Skills!C30=1,60+Inputs!$B$24+Inputs!$B$28,IF(Skills!C30=2,90+Inputs!$B$25+Inputs!$B$28,IF(Skills!C30=3,120+Inputs!$B$26+Inputs!$B$28,MAX(0,(Inputs!$B$3-100)*3)+Inputs!$B$27+Inputs!$B$28)))</f>
        <v/>
      </c>
      <c r="E1192">
        <f>INDEX(FactorTable!$B$2:$Y$301, MATCH(ROUND(MIN(300,MAX(1,D1192)),0), FactorTable!$A$2:$A$301,0), Skills!M30+1)</f>
        <v/>
      </c>
      <c r="F1192">
        <f>IF(Skills!N30=TRUE,(Skills!L30/10)*(E1192/1000),Skills!L30/10)+Skills!O30</f>
        <v/>
      </c>
      <c r="G1192">
        <f>Calc!G30</f>
        <v/>
      </c>
      <c r="H1192">
        <f>Calc!H30</f>
        <v/>
      </c>
      <c r="I1192">
        <f>IF(Skills!AA30&lt;&gt;"",1+(Skills!AA30/10)*(U1165/1000)/100,1)</f>
        <v/>
      </c>
      <c r="J1192" t="inlineStr"/>
      <c r="K1192" t="inlineStr"/>
      <c r="L1192" t="inlineStr"/>
      <c r="M1192" t="inlineStr"/>
      <c r="N1192" t="inlineStr"/>
      <c r="O1192" t="n">
        <v>0</v>
      </c>
      <c r="P1192">
        <f>IF(B1206=0,0,O1192/B1206)</f>
        <v/>
      </c>
      <c r="Q1192" t="n">
        <v>0</v>
      </c>
      <c r="R1192" t="n">
        <v>0</v>
      </c>
      <c r="S1192">
        <f>IFERROR(O1192/N1192,0)</f>
        <v/>
      </c>
    </row>
    <row r="1193">
      <c r="A1193">
        <f>Skills!A31</f>
        <v/>
      </c>
      <c r="B1193">
        <f>Skills!B31</f>
        <v/>
      </c>
      <c r="C1193">
        <f>Inputs!$B$3&gt;=107</f>
        <v/>
      </c>
      <c r="D1193">
        <f>IF(Skills!C31=1,60+Inputs!$B$24+Inputs!$B$28,IF(Skills!C31=2,90+Inputs!$B$25+Inputs!$B$28,IF(Skills!C31=3,120+Inputs!$B$26+Inputs!$B$28,MAX(0,(Inputs!$B$3-100)*3)+Inputs!$B$27+Inputs!$B$28)))</f>
        <v/>
      </c>
      <c r="E1193">
        <f>INDEX(FactorTable!$B$2:$Y$301, MATCH(ROUND(MIN(300,MAX(1,D1193)),0), FactorTable!$A$2:$A$301,0), Skills!M31+1)</f>
        <v/>
      </c>
      <c r="F1193">
        <f>IF(Skills!N31=TRUE,(Skills!L31/10)*(E1193/1000),Skills!L31/10)+Skills!O31</f>
        <v/>
      </c>
      <c r="G1193">
        <f>Calc!G31</f>
        <v/>
      </c>
      <c r="H1193">
        <f>Calc!H31</f>
        <v/>
      </c>
      <c r="I1193">
        <f>IF(Skills!AA31&lt;&gt;"",1+(Skills!AA31/10)*(U1165/1000)/100,1)</f>
        <v/>
      </c>
      <c r="J1193" t="inlineStr"/>
      <c r="K1193" t="inlineStr"/>
      <c r="L1193" t="inlineStr"/>
      <c r="M1193" t="inlineStr"/>
      <c r="N1193" t="inlineStr"/>
      <c r="O1193" t="n">
        <v>0</v>
      </c>
      <c r="P1193">
        <f>IF(B1206=0,0,O1193/B1206)</f>
        <v/>
      </c>
      <c r="Q1193" t="n">
        <v>0</v>
      </c>
      <c r="R1193" t="n">
        <v>0</v>
      </c>
      <c r="S1193">
        <f>IFERROR(O1193/N1193,0)</f>
        <v/>
      </c>
    </row>
    <row r="1195">
      <c r="A1195" t="inlineStr">
        <is>
          <t>Actions Per Second (pre-Adrenalin)</t>
        </is>
      </c>
      <c r="B1195">
        <f>1+MIN(150,150*(1-(1-(Inputs!$B$10+((C1184=TRUE)*(F1184-Calc!F22)))/150)*(1-((C1181=TRUE)*F1181*IF(AND(Inputs!$B$4&lt;&gt;"pvp",Inputs!$B$35&gt;0),(((S1181-1)*(Skills!Y19*(1+Inputs!$B$33/100))+MIN((Skills!Y19*(1+Inputs!$B$33/100)),MAX(0,Inputs!$B$35-((S1181-1)*Skills!D19))))/Inputs!$B$35),IF(Inputs!$B$4="pvp",MIN((Skills!Y19*(1+Inputs!$B$33/100)),15)/15,(Skills!Y19*(1+Inputs!$B$33/100))/Skills!D19)))/150)))/100</f>
        <v/>
      </c>
    </row>
    <row r="1196">
      <c r="A1196" t="inlineStr">
        <is>
          <t>Alchemic Adrenaline Uptime</t>
        </is>
      </c>
      <c r="B1196">
        <f>(Skills!Y6*(1+Inputs!$B$33/100))/((Skills!Y6*(1+Inputs!$B$33/100))+(5/B1195))</f>
        <v/>
      </c>
    </row>
    <row r="1197">
      <c r="A1197" t="inlineStr">
        <is>
          <t>Attack Speed Buff Bonus %</t>
        </is>
      </c>
      <c r="B1197">
        <f>((C1181=TRUE)*F1181*IF(AND(Inputs!$B$4&lt;&gt;"pvp",Inputs!$B$35&gt;0),(((S1181-1)*(Skills!Y19*(1+Inputs!$B$33/100))+MIN((Skills!Y19*(1+Inputs!$B$33/100)),MAX(0,Inputs!$B$35-((S1181-1)*Skills!D19))))/Inputs!$B$35),IF(Inputs!$B$4="pvp",MIN((Skills!Y19*(1+Inputs!$B$33/100)),15)/15,(Skills!Y19*(1+Inputs!$B$33/100))/Skills!D19)))+((C1169=TRUE)*F1169*B1196)</f>
        <v/>
      </c>
    </row>
    <row r="1198">
      <c r="A1198" t="inlineStr">
        <is>
          <t>Actions Per Second (final)</t>
        </is>
      </c>
      <c r="B1198">
        <f>1+MIN(150,150*(1-(1-(Inputs!$B$10+((C1184=TRUE)*(F1184-Calc!F22)))/150)*(1-B1197/150)))/100</f>
        <v/>
      </c>
    </row>
    <row r="1199">
      <c r="A1199" t="inlineStr">
        <is>
          <t>Skill + Buff Cast Rate</t>
        </is>
      </c>
      <c r="B1199">
        <f>IF(AND(Inputs!$B$4&lt;&gt;"pvp",Inputs!$B$35&gt;0),SUMPRODUCT((Skills!E2:E31=TRUE)*(C1164:C1193=TRUE)*R1164:R1193*Skills!F2:F31)/Inputs!$B$35,SUMPRODUCT((Skills!E2:E31=TRUE)*(C1164:C1193=TRUE)*Q1164:Q1193*Skills!F2:F31))</f>
        <v/>
      </c>
    </row>
    <row r="1200">
      <c r="A1200" t="inlineStr">
        <is>
          <t>Showdown Casts Per Second</t>
        </is>
      </c>
      <c r="B1200">
        <f>MAX(0,B1198-B1199)</f>
        <v/>
      </c>
    </row>
    <row r="1201">
      <c r="A1201" t="inlineStr">
        <is>
          <t>Average Buff Multiplier</t>
        </is>
      </c>
      <c r="B1201">
        <f>(1+(((C1183=TRUE)*F1183*IF(AND(Inputs!$B$4&lt;&gt;"pvp",Inputs!$B$35&gt;0),(((S1183-1)*(Skills!Y21*(1+Inputs!$B$33/100))+MIN((Skills!Y21*(1+Inputs!$B$33/100)),MAX(0,Inputs!$B$35-((S1183-1)*Skills!D21))))/Inputs!$B$35),IF(Inputs!$B$4="pvp",MIN((Skills!Y21*(1+Inputs!$B$33/100)),15)/15,(Skills!Y21*(1+Inputs!$B$33/100))/Skills!D21)))+((C1190=TRUE)*(F1190-Calc!F28))+((C1180=TRUE)*(F1180-Calc!F18)))/100)*(1+((C1177=TRUE)*F1177*IF(AND(Inputs!$B$4&lt;&gt;"pvp",Inputs!$B$35&gt;0),(((S1177-1)*(Skills!Y15*(1+Inputs!$B$33/100))+MIN((Skills!Y15*(1+Inputs!$B$33/100)),MAX(0,Inputs!$B$35-((S1177-1)*Skills!D15))))/Inputs!$B$35),IF(Inputs!$B$4="pvp",MIN((Skills!Y15*(1+Inputs!$B$33/100)),15)/15,(Skills!Y15*(1+Inputs!$B$33/100))/Skills!D15)))/100)*(1+((C1168=TRUE)*F1168*B1196)/100)</f>
        <v/>
      </c>
    </row>
    <row r="1202">
      <c r="A1202" t="inlineStr">
        <is>
          <t>Global Crit Rate Bonus %</t>
        </is>
      </c>
      <c r="B1202">
        <f>IF(Inputs!$B$3&gt;=47,8,0)+((C1182=TRUE)*F1182*IF(AND(Inputs!$B$4&lt;&gt;"pvp",Inputs!$B$35&gt;0),(((S1182-1)*(Skills!Y20*(1+Inputs!$B$33/100))+MIN((Skills!Y20*(1+Inputs!$B$33/100)),MAX(0,Inputs!$B$35-((S1182-1)*Skills!D20))))/Inputs!$B$35),IF(Inputs!$B$4="pvp",MIN((Skills!Y20*(1+Inputs!$B$33/100)),15)/15,(Skills!Y20*(1+Inputs!$B$33/100))/Skills!D20)))</f>
        <v/>
      </c>
    </row>
    <row r="1203">
      <c r="A1203" t="inlineStr">
        <is>
          <t>Global Monster Damage-Taken Bonus %</t>
        </is>
      </c>
      <c r="B1203">
        <f>IF(Inputs!$B$3&gt;=82,15,0)+((C1178=TRUE)*F1178*IF(AND(Inputs!$B$4&lt;&gt;"pvp",Inputs!$B$35&gt;0),(((S1178-1)*(Skills!Y16*(1+Inputs!$B$33/100))+MIN((Skills!Y16*(1+Inputs!$B$33/100)),MAX(0,Inputs!$B$35-((S1178-1)*Skills!D16))))/Inputs!$B$35),IF(Inputs!$B$4="pvp",MIN((Skills!Y16*(1+Inputs!$B$33/100)),15)/15,(Skills!Y16*(1+Inputs!$B$33/100))/Skills!D16)))</f>
        <v/>
      </c>
    </row>
    <row r="1204">
      <c r="A1204" t="inlineStr">
        <is>
          <t>Shadow Partner Average Multiplier</t>
        </is>
      </c>
      <c r="B1204">
        <f>1+((C1173=TRUE)*F1173*I1173*Skills!J11/100)/100</f>
        <v/>
      </c>
    </row>
    <row r="1205">
      <c r="A1205" t="inlineStr">
        <is>
          <t>Global Critical Damage Bonus % (Frailty Curse Mastery Lv.111)</t>
        </is>
      </c>
      <c r="B1205">
        <f>IF(Inputs!$B$3&gt;=111,30,0)*IF(AND(Inputs!$B$4&lt;&gt;"pvp",Inputs!$B$35&gt;0),(((S1178-1)*(Skills!Y16*(1+Inputs!$B$33/100))+MIN((Skills!Y16*(1+Inputs!$B$33/100)),MAX(0,Inputs!$B$35-((S1178-1)*Skills!D16))))/Inputs!$B$35),IF(Inputs!$B$4="pvp",MIN((Skills!Y16*(1+Inputs!$B$33/100)),15)/15,(Skills!Y16*(1+Inputs!$B$33/100))/Skills!D16))</f>
        <v/>
      </c>
    </row>
    <row r="1206">
      <c r="A1206" s="5" t="inlineStr">
        <is>
          <t>TOTAL DPS</t>
        </is>
      </c>
      <c r="B1206" s="5">
        <f>SUM(O1164:O1193)</f>
        <v/>
      </c>
    </row>
    <row r="1209">
      <c r="A1209" s="5" t="inlineStr">
        <is>
          <t>Stat: Buff Duration Increase %</t>
        </is>
      </c>
    </row>
    <row r="1210">
      <c r="A1210" s="8" t="inlineStr">
        <is>
          <t>Key</t>
        </is>
      </c>
      <c r="B1210" s="8" t="inlineStr">
        <is>
          <t>Name</t>
        </is>
      </c>
      <c r="C1210" s="8" t="inlineStr">
        <is>
          <t>Unlocked</t>
        </is>
      </c>
      <c r="D1210" s="8" t="inlineStr">
        <is>
          <t>InputLevel</t>
        </is>
      </c>
      <c r="E1210" s="8" t="inlineStr">
        <is>
          <t>Factor</t>
        </is>
      </c>
      <c r="F1210" s="8" t="inlineStr">
        <is>
          <t>CoefficientPercent</t>
        </is>
      </c>
      <c r="G1210" s="8" t="inlineStr">
        <is>
          <t>EffectiveHits</t>
        </is>
      </c>
      <c r="H1210" s="8" t="inlineStr">
        <is>
          <t>ProcProbability</t>
        </is>
      </c>
      <c r="I1210" s="8" t="inlineStr">
        <is>
          <t>MapleHeroMultiplier</t>
        </is>
      </c>
      <c r="J1210" s="8" t="inlineStr">
        <is>
          <t>BaseDamage</t>
        </is>
      </c>
      <c r="K1210" s="8" t="inlineStr">
        <is>
          <t>BaseHitDamage</t>
        </is>
      </c>
      <c r="L1210" s="8" t="inlineStr">
        <is>
          <t>NonCritAvg</t>
        </is>
      </c>
      <c r="M1210" s="8" t="inlineStr">
        <is>
          <t>CritAvg</t>
        </is>
      </c>
      <c r="N1210" s="8" t="inlineStr">
        <is>
          <t>ExpectedDamage(perHit)</t>
        </is>
      </c>
      <c r="O1210" s="8" t="inlineStr">
        <is>
          <t>DPS</t>
        </is>
      </c>
      <c r="P1210" s="8" t="inlineStr">
        <is>
          <t>% of Total</t>
        </is>
      </c>
      <c r="Q1210" s="8" t="inlineStr">
        <is>
          <t>InvCooldown</t>
        </is>
      </c>
      <c r="R1210" s="8" t="inlineStr">
        <is>
          <t>CastsInFight</t>
        </is>
      </c>
      <c r="S1210" s="8" t="inlineStr">
        <is>
          <t>HitRate(perSec)</t>
        </is>
      </c>
      <c r="U1210" t="inlineStr">
        <is>
          <t>helpers</t>
        </is>
      </c>
    </row>
    <row r="1211">
      <c r="A1211">
        <f>Skills!A2</f>
        <v/>
      </c>
      <c r="B1211">
        <f>Skills!B2</f>
        <v/>
      </c>
      <c r="C1211">
        <f>Inputs!$B$3&gt;=100</f>
        <v/>
      </c>
      <c r="D1211" t="inlineStr"/>
      <c r="E1211" t="inlineStr"/>
      <c r="F1211">
        <f>U1215+Skills!O2</f>
        <v/>
      </c>
      <c r="G1211">
        <f>Calc!G2</f>
        <v/>
      </c>
      <c r="H1211">
        <f>Calc!H2</f>
        <v/>
      </c>
      <c r="I1211">
        <f>IF(Skills!AA2&lt;&gt;"",1+(Skills!AA2/10)*(U1212/1000)/100,1)</f>
        <v/>
      </c>
      <c r="J1211">
        <f>(Inputs!$B$5*(1+Inputs!$B$6/100))*(F1211/100)</f>
        <v/>
      </c>
      <c r="K1211">
        <f>J1211*(1+((Inputs!$B$11*(1+Inputs!$B$12/100))*0.01+Inputs!$B$13*0.0025)/100)*(1+Inputs!$B$14/100)*(1+IF(Inputs!$B$4="pvp",0,(1-Summary!$B$55)*(Inputs!$B$19+((C1236=TRUE)*(F1236-Calc!F27))+Skills!P2+B1250)+Summary!$B$55*(Inputs!$B$20+Skills!Q2+B1250))/100)*(1+Inputs!$B$15/100)*(5000/(6000+Inputs!$B$7*(1-Inputs!$B$18/100)))*(1+(Inputs!$B$23+((C1239=TRUE)*(F1239-Calc!F30)))/100)*(1+Skills!R2/100)*(1+(IF(Skills!A2="SHOWDOWN",Inputs!$B$16+((C1232=TRUE)*(F1232-Calc!F23)),Inputs!$B$17+((C1238=TRUE)*(F1238-Calc!F29))))/100)*(((1+(((C1230=TRUE)*F1230*IF(AND(Inputs!$B$4&lt;&gt;"pvp",Inputs!$B$35&gt;0),(((S1230-1)*(Skills!Y21*(1+(Inputs!$B$33+1)/100))+MIN((Skills!Y21*(1+(Inputs!$B$33+1)/100)),MAX(0,Inputs!$B$35-((S1230-1)*Skills!D21))))/Inputs!$B$35),IF(Inputs!$B$4="pvp",MIN((Skills!Y21*(1+(Inputs!$B$33+1)/100)),15)/15,(Skills!Y21*(1+(Inputs!$B$33+1)/100))/Skills!D21)))+((C1237=TRUE)*(F1237-Calc!F28))+((C1227=TRUE)*(F1227-Calc!F18)))/100)*(1+((C1224=TRUE)*F1224*IF(AND(Inputs!$B$4&lt;&gt;"pvp",Inputs!$B$35&gt;0),(((S1224-1)*(Skills!Y15*(1+(Inputs!$B$33+1)/100))+MIN((Skills!Y15*(1+(Inputs!$B$33+1)/100)),MAX(0,Inputs!$B$35-((S1224-1)*Skills!D15))))/Inputs!$B$35),IF(Inputs!$B$4="pvp",MIN((Skills!Y15*(1+(Inputs!$B$33+1)/100)),15)/15,(Skills!Y15*(1+(Inputs!$B$33+1)/100))/Skills!D15)))/100)*(1+((C1215=TRUE)*F1215*B1243)/100))*B1251*I1211)</f>
        <v/>
      </c>
      <c r="L1211">
        <f>K1211*(MIN(Inputs!$B$21+((C1233=TRUE)*(F1233-Calc!F24)),Inputs!$B$22)/100+Inputs!$B$22/100)/2</f>
        <v/>
      </c>
      <c r="M1211">
        <f>L1211*(1+(Inputs!$B$9+((C1235=TRUE)*(F1235-Calc!F26))+B1252)/100)</f>
        <v/>
      </c>
      <c r="N1211">
        <f>L1211*(1-MIN((Inputs!$B$8+((C1234=TRUE)*(F1234-Calc!F25))+B1249),100)/100)+M1211*(MIN((Inputs!$B$8+((C1234=TRUE)*(F1234-Calc!F25))+B1249),100)/100)</f>
        <v/>
      </c>
      <c r="O1211">
        <f>IF(C1211,Skills!G2*N1211*B1247*IF(Inputs!$B$4="pvp",1,(1-Summary!$B$55)*(1)+Summary!$B$55*(MIN((6+Inputs!$B$32),Inputs!$B$37))),0)</f>
        <v/>
      </c>
      <c r="P1211">
        <f>IF(B1253=0,0,O1211/B1253)</f>
        <v/>
      </c>
      <c r="Q1211" t="n">
        <v>0</v>
      </c>
      <c r="R1211" t="n">
        <v>0</v>
      </c>
      <c r="S1211">
        <f>IFERROR(O1211/N1211,0)</f>
        <v/>
      </c>
      <c r="U1211">
        <f>MAX(0,(Inputs!$B$3-100)*3)+Inputs!$B$27+Inputs!$B$28</f>
        <v/>
      </c>
    </row>
    <row r="1212">
      <c r="A1212">
        <f>Skills!A3</f>
        <v/>
      </c>
      <c r="B1212">
        <f>Skills!B3</f>
        <v/>
      </c>
      <c r="C1212">
        <f>Inputs!$B$3&gt;=35</f>
        <v/>
      </c>
      <c r="D1212">
        <f>IF(Skills!C3=1,60+Inputs!$B$24+Inputs!$B$28,IF(Skills!C3=2,90+Inputs!$B$25+Inputs!$B$28,IF(Skills!C3=3,120+Inputs!$B$26+Inputs!$B$28,MAX(0,(Inputs!$B$3-100)*3)+Inputs!$B$27+Inputs!$B$28)))</f>
        <v/>
      </c>
      <c r="E1212">
        <f>INDEX(FactorTable!$B$2:$Y$301, MATCH(ROUND(MIN(300,MAX(1,D1212)),0), FactorTable!$A$2:$A$301,0), Skills!M3+1)</f>
        <v/>
      </c>
      <c r="F1212">
        <f>IF(Skills!N3=TRUE,(Skills!L3/10)*(E1212/1000),Skills!L3/10)+Skills!O3</f>
        <v/>
      </c>
      <c r="G1212">
        <f>Calc!G3</f>
        <v/>
      </c>
      <c r="H1212">
        <f>Calc!H3</f>
        <v/>
      </c>
      <c r="I1212">
        <f>IF(Skills!AA3&lt;&gt;"",1+(Skills!AA3/10)*(U1212/1000)/100,1)</f>
        <v/>
      </c>
      <c r="J1212">
        <f>(Inputs!$B$5*(1+Inputs!$B$6/100))*(F1212/100)</f>
        <v/>
      </c>
      <c r="K1212">
        <f>J1212*(1+((Inputs!$B$11*(1+Inputs!$B$12/100))*0.01+Inputs!$B$13*0.0025)/100)*(1+Inputs!$B$14/100)*(1+IF(Inputs!$B$4="pvp",0,(1-Summary!$B$55)*(Inputs!$B$19+((C1236=TRUE)*(F1236-Calc!F27))+Skills!P3+B1250)+Summary!$B$55*(Inputs!$B$20+Skills!Q3+B1250))/100)*(1+Inputs!$B$15/100)*(5000/(6000+Inputs!$B$7*(1-Inputs!$B$18/100)))*(1+(Inputs!$B$23+((C1239=TRUE)*(F1239-Calc!F30)))/100)*(1+Skills!R3/100)*(1+(IF(Skills!A3="SHOWDOWN",Inputs!$B$16+((C1232=TRUE)*(F1232-Calc!F23)),Inputs!$B$17+((C1238=TRUE)*(F1238-Calc!F29))))/100)*(((1+(((C1230=TRUE)*F1230*IF(AND(Inputs!$B$4&lt;&gt;"pvp",Inputs!$B$35&gt;0),(((S1230-1)*(Skills!Y21*(1+(Inputs!$B$33+1)/100))+MIN((Skills!Y21*(1+(Inputs!$B$33+1)/100)),MAX(0,Inputs!$B$35-((S1230-1)*Skills!D21))))/Inputs!$B$35),IF(Inputs!$B$4="pvp",MIN((Skills!Y21*(1+(Inputs!$B$33+1)/100)),15)/15,(Skills!Y21*(1+(Inputs!$B$33+1)/100))/Skills!D21)))+((C1237=TRUE)*(F1237-Calc!F28))+((C1227=TRUE)*(F1227-Calc!F18)))/100)*(1+((C1224=TRUE)*F1224*IF(AND(Inputs!$B$4&lt;&gt;"pvp",Inputs!$B$35&gt;0),(((S1224-1)*(Skills!Y15*(1+(Inputs!$B$33+1)/100))+MIN((Skills!Y15*(1+(Inputs!$B$33+1)/100)),MAX(0,Inputs!$B$35-((S1224-1)*Skills!D15))))/Inputs!$B$35),IF(Inputs!$B$4="pvp",MIN((Skills!Y15*(1+(Inputs!$B$33+1)/100)),15)/15,(Skills!Y15*(1+(Inputs!$B$33+1)/100))/Skills!D15)))/100)*(1+((C1215=TRUE)*F1215*B1243)/100))*B1251*I1212)</f>
        <v/>
      </c>
      <c r="L1212">
        <f>K1212*(MIN(Inputs!$B$21+((C1233=TRUE)*(F1233-Calc!F24)),Inputs!$B$22)/100+Inputs!$B$22/100)/2</f>
        <v/>
      </c>
      <c r="M1212">
        <f>L1212*(1+(Inputs!$B$9+((C1235=TRUE)*(F1235-Calc!F26))+B1252)/100)</f>
        <v/>
      </c>
      <c r="N1212">
        <f>L1212*(1-MIN((Inputs!$B$8+((C1234=TRUE)*(F1234-Calc!F25))+B1249),100)/100)+M1212*(MIN((Inputs!$B$8+((C1234=TRUE)*(F1234-Calc!F25))+B1249),100)/100)</f>
        <v/>
      </c>
      <c r="O1212">
        <f>IF(C1212,H1212*N1212*IF(AND(Inputs!$B$4&lt;&gt;"pvp",Inputs!$B$35&gt;0),((Skills!G3*((R1212-1)*IF(Skills!H3&gt;0,Skills!I3/Skills!H3,1)+IF(Skills!H3&gt;0,MIN(Skills!I3,MAX(0,Inputs!$B$35-((R1212-1)*IF(Inputs!$B$4="pvp",15,MAX(0.1,Skills!D3-IF(Skills!E3=TRUE,Inputs!$B$31,0))))))/Skills!H3,1)))/Inputs!$B$35),G1212*Q1212)*IF(Inputs!$B$4="pvp",1,(1-Summary!$B$55)*(1)+Summary!$B$55*(MIN(Skills!W3,Inputs!$B$37))),0)</f>
        <v/>
      </c>
      <c r="P1212">
        <f>IF(B1253=0,0,O1212/B1253)</f>
        <v/>
      </c>
      <c r="Q1212">
        <f>IFERROR(1/IF(Inputs!$B$4="pvp",15,MAX(0.1,Skills!D3-IF(Skills!E3=TRUE,Inputs!$B$31,0))),0)</f>
        <v/>
      </c>
      <c r="R1212">
        <f>IF(AND(Inputs!$B$4&lt;&gt;"pvp",Inputs!$B$35&gt;0),(INT(Inputs!$B$35/IF(Inputs!$B$4="pvp",15,MAX(0.1,Skills!D3-IF(Skills!E3=TRUE,Inputs!$B$31,0))))+1),0)</f>
        <v/>
      </c>
      <c r="S1212">
        <f>IFERROR(O1212/N1212,0)</f>
        <v/>
      </c>
      <c r="U1212">
        <f>INDEX(FactorTable!$B$2:$Y$301, MATCH(ROUND(MIN(300,MAX(1,U1211)),0), FactorTable!$A$2:$A$301,0), 24)</f>
        <v/>
      </c>
    </row>
    <row r="1213">
      <c r="A1213">
        <f>Skills!A4</f>
        <v/>
      </c>
      <c r="B1213">
        <f>Skills!B4</f>
        <v/>
      </c>
      <c r="C1213">
        <f>Inputs!$B$3&gt;=40</f>
        <v/>
      </c>
      <c r="D1213">
        <f>IF(Skills!C4=1,60+Inputs!$B$24+Inputs!$B$28,IF(Skills!C4=2,90+Inputs!$B$25+Inputs!$B$28,IF(Skills!C4=3,120+Inputs!$B$26+Inputs!$B$28,MAX(0,(Inputs!$B$3-100)*3)+Inputs!$B$27+Inputs!$B$28)))</f>
        <v/>
      </c>
      <c r="E1213">
        <f>INDEX(FactorTable!$B$2:$Y$301, MATCH(ROUND(MIN(300,MAX(1,D1213)),0), FactorTable!$A$2:$A$301,0), Skills!M4+1)</f>
        <v/>
      </c>
      <c r="F1213">
        <f>IF(Skills!N4=TRUE,(Skills!L4/10)*(E1213/1000),Skills!L4/10)+Skills!O4</f>
        <v/>
      </c>
      <c r="G1213">
        <f>Calc!G4</f>
        <v/>
      </c>
      <c r="H1213">
        <f>Calc!H4</f>
        <v/>
      </c>
      <c r="I1213">
        <f>IF(Skills!AA4&lt;&gt;"",1+(Skills!AA4/10)*(U1212/1000)/100,1)</f>
        <v/>
      </c>
      <c r="J1213">
        <f>(Inputs!$B$5*(1+Inputs!$B$6/100))*(F1213/100)</f>
        <v/>
      </c>
      <c r="K1213">
        <f>J1213*(1+((Inputs!$B$11*(1+Inputs!$B$12/100))*0.01+Inputs!$B$13*0.0025)/100)*(1+Inputs!$B$14/100)*(1+IF(Inputs!$B$4="pvp",0,(1-Summary!$B$55)*(Inputs!$B$19+((C1236=TRUE)*(F1236-Calc!F27))+Skills!P4+B1250)+Summary!$B$55*(Inputs!$B$20+Skills!Q4+B1250))/100)*(1+Inputs!$B$15/100)*(5000/(6000+Inputs!$B$7*(1-Inputs!$B$18/100)))*(1+(Inputs!$B$23+((C1239=TRUE)*(F1239-Calc!F30)))/100)*(1+Skills!R4/100)*(1+(IF(Skills!A4="SHOWDOWN",Inputs!$B$16+((C1232=TRUE)*(F1232-Calc!F23)),Inputs!$B$17+((C1238=TRUE)*(F1238-Calc!F29))))/100)*(((1+(((C1230=TRUE)*F1230*IF(AND(Inputs!$B$4&lt;&gt;"pvp",Inputs!$B$35&gt;0),(((S1230-1)*(Skills!Y21*(1+(Inputs!$B$33+1)/100))+MIN((Skills!Y21*(1+(Inputs!$B$33+1)/100)),MAX(0,Inputs!$B$35-((S1230-1)*Skills!D21))))/Inputs!$B$35),IF(Inputs!$B$4="pvp",MIN((Skills!Y21*(1+(Inputs!$B$33+1)/100)),15)/15,(Skills!Y21*(1+(Inputs!$B$33+1)/100))/Skills!D21)))+((C1237=TRUE)*(F1237-Calc!F28))+((C1227=TRUE)*(F1227-Calc!F18)))/100)*(1+((C1224=TRUE)*F1224*IF(AND(Inputs!$B$4&lt;&gt;"pvp",Inputs!$B$35&gt;0),(((S1224-1)*(Skills!Y15*(1+(Inputs!$B$33+1)/100))+MIN((Skills!Y15*(1+(Inputs!$B$33+1)/100)),MAX(0,Inputs!$B$35-((S1224-1)*Skills!D15))))/Inputs!$B$35),IF(Inputs!$B$4="pvp",MIN((Skills!Y15*(1+(Inputs!$B$33+1)/100)),15)/15,(Skills!Y15*(1+(Inputs!$B$33+1)/100))/Skills!D15)))/100)*(1+((C1215=TRUE)*F1215*B1243)/100))*B1251*I1213)</f>
        <v/>
      </c>
      <c r="L1213">
        <f>K1213*(MIN(Inputs!$B$21+((C1233=TRUE)*(F1233-Calc!F24)),Inputs!$B$22)/100+Inputs!$B$22/100)/2</f>
        <v/>
      </c>
      <c r="M1213">
        <f>L1213*(1+(Inputs!$B$9+((C1235=TRUE)*(F1235-Calc!F26))+B1252)/100)</f>
        <v/>
      </c>
      <c r="N1213">
        <f>L1213*(1-MIN((Inputs!$B$8+((C1234=TRUE)*(F1234-Calc!F25))+B1249),100)/100)+M1213*(MIN((Inputs!$B$8+((C1234=TRUE)*(F1234-Calc!F25))+B1249),100)/100)</f>
        <v/>
      </c>
      <c r="O1213">
        <f>IF(C1213,H1213*N1213*IF(AND(Inputs!$B$4&lt;&gt;"pvp",Inputs!$B$35&gt;0),((Skills!G4*((R1213-1)*IF(Skills!H4&gt;0,Skills!I4/Skills!H4,1)+IF(Skills!H4&gt;0,MIN(Skills!I4,MAX(0,Inputs!$B$35-((R1213-1)*IF(Inputs!$B$4="pvp",15,MAX(0.1,Skills!D4-IF(Skills!E4=TRUE,Inputs!$B$31,0))))))/Skills!H4,1)))/Inputs!$B$35),G1213*Q1213)*IF(Inputs!$B$4="pvp",1,(1-Summary!$B$55)*(1)+Summary!$B$55*(MIN(Skills!W4,Inputs!$B$37))),0)</f>
        <v/>
      </c>
      <c r="P1213">
        <f>IF(B1253=0,0,O1213/B1253)</f>
        <v/>
      </c>
      <c r="Q1213">
        <f>IFERROR(1/IF(Inputs!$B$4="pvp",15,MAX(0.1,Skills!D4-IF(Skills!E4=TRUE,Inputs!$B$31,0))),0)</f>
        <v/>
      </c>
      <c r="R1213">
        <f>IF(AND(Inputs!$B$4&lt;&gt;"pvp",Inputs!$B$35&gt;0),(INT(Inputs!$B$35/IF(Inputs!$B$4="pvp",15,MAX(0.1,Skills!D4-IF(Skills!E4=TRUE,Inputs!$B$31,0))))+1),0)</f>
        <v/>
      </c>
      <c r="S1213">
        <f>IFERROR(O1213/N1213,0)</f>
        <v/>
      </c>
      <c r="U1213">
        <f>MAX(0,(Inputs!$B$3-100)*3)+Inputs!$B$27+Inputs!$B$28</f>
        <v/>
      </c>
    </row>
    <row r="1214">
      <c r="A1214">
        <f>Skills!A5</f>
        <v/>
      </c>
      <c r="B1214">
        <f>Skills!B5</f>
        <v/>
      </c>
      <c r="C1214">
        <f>Inputs!$B$3&gt;=63</f>
        <v/>
      </c>
      <c r="D1214">
        <f>IF(Skills!C5=1,60+Inputs!$B$24+Inputs!$B$28,IF(Skills!C5=2,90+Inputs!$B$25+Inputs!$B$28,IF(Skills!C5=3,120+Inputs!$B$26+Inputs!$B$28,MAX(0,(Inputs!$B$3-100)*3)+Inputs!$B$27+Inputs!$B$28)))</f>
        <v/>
      </c>
      <c r="E1214">
        <f>INDEX(FactorTable!$B$2:$Y$301, MATCH(ROUND(MIN(300,MAX(1,D1214)),0), FactorTable!$A$2:$A$301,0), Skills!M5+1)</f>
        <v/>
      </c>
      <c r="F1214">
        <f>IF(Skills!N5=TRUE,(Skills!L5/10)*(E1214/1000),Skills!L5/10)+Skills!O5</f>
        <v/>
      </c>
      <c r="G1214">
        <f>Calc!G5</f>
        <v/>
      </c>
      <c r="H1214">
        <f>Calc!H5</f>
        <v/>
      </c>
      <c r="I1214">
        <f>IF(Skills!AA5&lt;&gt;"",1+(Skills!AA5/10)*(U1212/1000)/100,1)</f>
        <v/>
      </c>
      <c r="J1214">
        <f>(Inputs!$B$5*(1+Inputs!$B$6/100))*(F1214/100)</f>
        <v/>
      </c>
      <c r="K1214">
        <f>J1214*(1+((Inputs!$B$11*(1+Inputs!$B$12/100))*0.01+Inputs!$B$13*0.0025)/100)*(1+Inputs!$B$14/100)*(1+IF(Inputs!$B$4="pvp",0,(1-Summary!$B$55)*(Inputs!$B$19+((C1236=TRUE)*(F1236-Calc!F27))+Skills!P5+B1250)+Summary!$B$55*(Inputs!$B$20+Skills!Q5+B1250))/100)*(1+Inputs!$B$15/100)*(5000/(6000+Inputs!$B$7*(1-Inputs!$B$18/100)))*(1+(Inputs!$B$23+((C1239=TRUE)*(F1239-Calc!F30)))/100)*(1+Skills!R5/100)*(1+(IF(Skills!A5="SHOWDOWN",Inputs!$B$16+((C1232=TRUE)*(F1232-Calc!F23)),Inputs!$B$17+((C1238=TRUE)*(F1238-Calc!F29))))/100)*(((1+(((C1230=TRUE)*F1230*IF(AND(Inputs!$B$4&lt;&gt;"pvp",Inputs!$B$35&gt;0),(((S1230-1)*(Skills!Y21*(1+(Inputs!$B$33+1)/100))+MIN((Skills!Y21*(1+(Inputs!$B$33+1)/100)),MAX(0,Inputs!$B$35-((S1230-1)*Skills!D21))))/Inputs!$B$35),IF(Inputs!$B$4="pvp",MIN((Skills!Y21*(1+(Inputs!$B$33+1)/100)),15)/15,(Skills!Y21*(1+(Inputs!$B$33+1)/100))/Skills!D21)))+((C1237=TRUE)*(F1237-Calc!F28))+((C1227=TRUE)*(F1227-Calc!F18)))/100)*(1+((C1224=TRUE)*F1224*IF(AND(Inputs!$B$4&lt;&gt;"pvp",Inputs!$B$35&gt;0),(((S1224-1)*(Skills!Y15*(1+(Inputs!$B$33+1)/100))+MIN((Skills!Y15*(1+(Inputs!$B$33+1)/100)),MAX(0,Inputs!$B$35-((S1224-1)*Skills!D15))))/Inputs!$B$35),IF(Inputs!$B$4="pvp",MIN((Skills!Y15*(1+(Inputs!$B$33+1)/100)),15)/15,(Skills!Y15*(1+(Inputs!$B$33+1)/100))/Skills!D15)))/100)*(1+((C1215=TRUE)*F1215*B1243)/100))*B1251*I1214)</f>
        <v/>
      </c>
      <c r="L1214">
        <f>K1214*(MIN(Inputs!$B$21+((C1233=TRUE)*(F1233-Calc!F24)),Inputs!$B$22)/100+Inputs!$B$22/100)/2</f>
        <v/>
      </c>
      <c r="M1214">
        <f>L1214*(1+(Inputs!$B$9+((C1235=TRUE)*(F1235-Calc!F26))+B1252)/100)</f>
        <v/>
      </c>
      <c r="N1214">
        <f>L1214*(1-MIN((Inputs!$B$8+((C1234=TRUE)*(F1234-Calc!F25))+B1249),100)/100)+M1214*(MIN((Inputs!$B$8+((C1234=TRUE)*(F1234-Calc!F25))+B1249),100)/100)</f>
        <v/>
      </c>
      <c r="O1214">
        <f>IF(C1214,H1214*N1214*IF(AND(Inputs!$B$4&lt;&gt;"pvp",Inputs!$B$35&gt;0),((Skills!G5*((R1214-1)*IF(Skills!H5&gt;0,Skills!I5/Skills!H5,1)+IF(Skills!H5&gt;0,MIN(Skills!I5,MAX(0,Inputs!$B$35-((R1214-1)*IF(Inputs!$B$4="pvp",15,MAX(0.1,Skills!D5-IF(Skills!E5=TRUE,Inputs!$B$31,0))))))/Skills!H5,1)))/Inputs!$B$35),G1214*Q1214)*IF(Inputs!$B$4="pvp",1,(1-Summary!$B$55)*(1)+Summary!$B$55*(MIN(Skills!W5,Inputs!$B$37))),0)</f>
        <v/>
      </c>
      <c r="P1214">
        <f>IF(B1253=0,0,O1214/B1253)</f>
        <v/>
      </c>
      <c r="Q1214">
        <f>IFERROR(1/IF(Inputs!$B$4="pvp",15,MAX(0.1,Skills!D5-IF(Skills!E5=TRUE,Inputs!$B$31,0))),0)</f>
        <v/>
      </c>
      <c r="R1214">
        <f>IF(AND(Inputs!$B$4&lt;&gt;"pvp",Inputs!$B$35&gt;0),(INT(Inputs!$B$35/IF(Inputs!$B$4="pvp",15,MAX(0.1,Skills!D5-IF(Skills!E5=TRUE,Inputs!$B$31,0))))+1),0)</f>
        <v/>
      </c>
      <c r="S1214">
        <f>IFERROR(O1214/N1214,0)</f>
        <v/>
      </c>
      <c r="U1214">
        <f>INDEX(FactorTable!$B$2:$Y$301, MATCH(ROUND(MIN(300,MAX(1,U1213)),0), FactorTable!$A$2:$A$301,0), 22)</f>
        <v/>
      </c>
    </row>
    <row r="1215">
      <c r="A1215">
        <f>Skills!A6</f>
        <v/>
      </c>
      <c r="B1215">
        <f>Skills!B6</f>
        <v/>
      </c>
      <c r="C1215">
        <f>Inputs!$B$3&gt;=66</f>
        <v/>
      </c>
      <c r="D1215">
        <f>IF(Skills!C6=1,60+Inputs!$B$24+Inputs!$B$28,IF(Skills!C6=2,90+Inputs!$B$25+Inputs!$B$28,IF(Skills!C6=3,120+Inputs!$B$26+Inputs!$B$28,MAX(0,(Inputs!$B$3-100)*3)+Inputs!$B$27+Inputs!$B$28)))</f>
        <v/>
      </c>
      <c r="E1215">
        <f>INDEX(FactorTable!$B$2:$Y$301, MATCH(ROUND(MIN(300,MAX(1,D1215)),0), FactorTable!$A$2:$A$301,0), Skills!M6+1)</f>
        <v/>
      </c>
      <c r="F1215">
        <f>IF(Skills!N6=TRUE,(Skills!L6/10)*(E1215/1000),Skills!L6/10)+Skills!O6</f>
        <v/>
      </c>
      <c r="G1215">
        <f>Calc!G6</f>
        <v/>
      </c>
      <c r="H1215">
        <f>Calc!H6</f>
        <v/>
      </c>
      <c r="I1215">
        <f>IF(Skills!AA6&lt;&gt;"",1+(Skills!AA6/10)*(U1212/1000)/100,1)</f>
        <v/>
      </c>
      <c r="J1215" t="inlineStr"/>
      <c r="K1215" t="inlineStr"/>
      <c r="L1215" t="inlineStr"/>
      <c r="M1215" t="inlineStr"/>
      <c r="N1215" t="inlineStr"/>
      <c r="O1215" t="n">
        <v>0</v>
      </c>
      <c r="P1215">
        <f>IF(B1253=0,0,O1215/B1253)</f>
        <v/>
      </c>
      <c r="Q1215" t="n">
        <v>0</v>
      </c>
      <c r="R1215" t="n">
        <v>0</v>
      </c>
      <c r="S1215">
        <f>IFERROR(O1215/N1215,0)</f>
        <v/>
      </c>
      <c r="U1215">
        <f>290*U1214/1000</f>
        <v/>
      </c>
    </row>
    <row r="1216">
      <c r="A1216">
        <f>Skills!A7</f>
        <v/>
      </c>
      <c r="B1216">
        <f>Skills!B7</f>
        <v/>
      </c>
      <c r="C1216">
        <f>Inputs!$B$3&gt;=66</f>
        <v/>
      </c>
      <c r="D1216">
        <f>IF(Skills!C7=1,60+Inputs!$B$24+Inputs!$B$28,IF(Skills!C7=2,90+Inputs!$B$25+Inputs!$B$28,IF(Skills!C7=3,120+Inputs!$B$26+Inputs!$B$28,MAX(0,(Inputs!$B$3-100)*3)+Inputs!$B$27+Inputs!$B$28)))</f>
        <v/>
      </c>
      <c r="E1216">
        <f>INDEX(FactorTable!$B$2:$Y$301, MATCH(ROUND(MIN(300,MAX(1,D1216)),0), FactorTable!$A$2:$A$301,0), Skills!M7+1)</f>
        <v/>
      </c>
      <c r="F1216">
        <f>IF(Skills!N7=TRUE,(Skills!L7/10)*(E1216/1000),Skills!L7/10)+Skills!O7</f>
        <v/>
      </c>
      <c r="G1216">
        <f>Calc!G7</f>
        <v/>
      </c>
      <c r="H1216">
        <f>Calc!H7</f>
        <v/>
      </c>
      <c r="I1216">
        <f>IF(Skills!AA7&lt;&gt;"",1+(Skills!AA7/10)*(U1212/1000)/100,1)</f>
        <v/>
      </c>
      <c r="J1216" t="inlineStr"/>
      <c r="K1216" t="inlineStr"/>
      <c r="L1216" t="inlineStr"/>
      <c r="M1216" t="inlineStr"/>
      <c r="N1216" t="inlineStr"/>
      <c r="O1216" t="n">
        <v>0</v>
      </c>
      <c r="P1216">
        <f>IF(B1253=0,0,O1216/B1253)</f>
        <v/>
      </c>
      <c r="Q1216" t="n">
        <v>0</v>
      </c>
      <c r="R1216" t="n">
        <v>0</v>
      </c>
      <c r="S1216">
        <f>IFERROR(O1216/N1216,0)</f>
        <v/>
      </c>
    </row>
    <row r="1217">
      <c r="A1217">
        <f>Skills!A8</f>
        <v/>
      </c>
      <c r="B1217">
        <f>Skills!B8</f>
        <v/>
      </c>
      <c r="C1217">
        <f>Inputs!$B$3&gt;=69</f>
        <v/>
      </c>
      <c r="D1217">
        <f>IF(Skills!C8=1,60+Inputs!$B$24+Inputs!$B$28,IF(Skills!C8=2,90+Inputs!$B$25+Inputs!$B$28,IF(Skills!C8=3,120+Inputs!$B$26+Inputs!$B$28,MAX(0,(Inputs!$B$3-100)*3)+Inputs!$B$27+Inputs!$B$28)))</f>
        <v/>
      </c>
      <c r="E1217">
        <f>INDEX(FactorTable!$B$2:$Y$301, MATCH(ROUND(MIN(300,MAX(1,D1217)),0), FactorTable!$A$2:$A$301,0), Skills!M8+1)</f>
        <v/>
      </c>
      <c r="F1217">
        <f>IF(Skills!N8=TRUE,(Skills!L8/10)*(E1217/1000),Skills!L8/10)+Skills!O8</f>
        <v/>
      </c>
      <c r="G1217">
        <f>Calc!G8</f>
        <v/>
      </c>
      <c r="H1217">
        <f>Calc!H8</f>
        <v/>
      </c>
      <c r="I1217">
        <f>IF(Skills!AA8&lt;&gt;"",1+(Skills!AA8/10)*(U1212/1000)/100,1)</f>
        <v/>
      </c>
      <c r="J1217">
        <f>(Inputs!$B$5*(1+Inputs!$B$6/100))*(F1217/100)</f>
        <v/>
      </c>
      <c r="K1217">
        <f>J1217*(1+((Inputs!$B$11*(1+Inputs!$B$12/100))*0.01+Inputs!$B$13*0.0025)/100)*(1+Inputs!$B$14/100)*(1+IF(Inputs!$B$4="pvp",0,(1-Summary!$B$55)*(Inputs!$B$19+((C1236=TRUE)*(F1236-Calc!F27))+Skills!P8+B1250)+Summary!$B$55*(Inputs!$B$20+Skills!Q8+B1250))/100)*(1+Inputs!$B$15/100)*(5000/(6000+Inputs!$B$7*(1-Inputs!$B$18/100)))*(1+(Inputs!$B$23+((C1239=TRUE)*(F1239-Calc!F30)))/100)*(1+Skills!R8/100)*(1+(IF(Skills!A8="SHOWDOWN",Inputs!$B$16+((C1232=TRUE)*(F1232-Calc!F23)),Inputs!$B$17+((C1238=TRUE)*(F1238-Calc!F29))))/100)*(((1+(((C1230=TRUE)*F1230*IF(AND(Inputs!$B$4&lt;&gt;"pvp",Inputs!$B$35&gt;0),(((S1230-1)*(Skills!Y21*(1+(Inputs!$B$33+1)/100))+MIN((Skills!Y21*(1+(Inputs!$B$33+1)/100)),MAX(0,Inputs!$B$35-((S1230-1)*Skills!D21))))/Inputs!$B$35),IF(Inputs!$B$4="pvp",MIN((Skills!Y21*(1+(Inputs!$B$33+1)/100)),15)/15,(Skills!Y21*(1+(Inputs!$B$33+1)/100))/Skills!D21)))+((C1237=TRUE)*(F1237-Calc!F28))+((C1227=TRUE)*(F1227-Calc!F18)))/100)*(1+((C1224=TRUE)*F1224*IF(AND(Inputs!$B$4&lt;&gt;"pvp",Inputs!$B$35&gt;0),(((S1224-1)*(Skills!Y15*(1+(Inputs!$B$33+1)/100))+MIN((Skills!Y15*(1+(Inputs!$B$33+1)/100)),MAX(0,Inputs!$B$35-((S1224-1)*Skills!D15))))/Inputs!$B$35),IF(Inputs!$B$4="pvp",MIN((Skills!Y15*(1+(Inputs!$B$33+1)/100)),15)/15,(Skills!Y15*(1+(Inputs!$B$33+1)/100))/Skills!D15)))/100)*(1+((C1215=TRUE)*F1215*B1243)/100))*B1251*I1217)</f>
        <v/>
      </c>
      <c r="L1217">
        <f>K1217*(MIN(Inputs!$B$21+((C1233=TRUE)*(F1233-Calc!F24)),Inputs!$B$22)/100+Inputs!$B$22/100)/2</f>
        <v/>
      </c>
      <c r="M1217">
        <f>L1217*(1+(Inputs!$B$9+((C1235=TRUE)*(F1235-Calc!F26))+B1252)/100)</f>
        <v/>
      </c>
      <c r="N1217">
        <f>L1217*(1-MIN((Inputs!$B$8+((C1234=TRUE)*(F1234-Calc!F25))+B1249),100)/100)+M1217*(MIN((Inputs!$B$8+((C1234=TRUE)*(F1234-Calc!F25))+B1249),100)/100)</f>
        <v/>
      </c>
      <c r="O1217">
        <f>IF(C1217,H1217*N1217*IF(AND(Inputs!$B$4&lt;&gt;"pvp",Inputs!$B$35&gt;0),((Skills!G8*((R1217-1)*IF(Skills!H8&gt;0,Skills!I8/Skills!H8,1)+IF(Skills!H8&gt;0,MIN(Skills!I8,MAX(0,Inputs!$B$35-((R1217-1)*IF(Inputs!$B$4="pvp",15,MAX(0.1,Skills!D8-IF(Skills!E8=TRUE,Inputs!$B$31,0))))))/Skills!H8,1)))/Inputs!$B$35),G1217*Q1217)*IF(Inputs!$B$4="pvp",1,(1-Summary!$B$55)*(1)+Summary!$B$55*(MIN(Skills!W8,Inputs!$B$37))),0)</f>
        <v/>
      </c>
      <c r="P1217">
        <f>IF(B1253=0,0,O1217/B1253)</f>
        <v/>
      </c>
      <c r="Q1217">
        <f>IFERROR(1/IF(Inputs!$B$4="pvp",15,MAX(0.1,Skills!D8-IF(Skills!E8=TRUE,Inputs!$B$31,0))),0)</f>
        <v/>
      </c>
      <c r="R1217">
        <f>IF(AND(Inputs!$B$4&lt;&gt;"pvp",Inputs!$B$35&gt;0),(INT(Inputs!$B$35/IF(Inputs!$B$4="pvp",15,MAX(0.1,Skills!D8-IF(Skills!E8=TRUE,Inputs!$B$31,0))))+1),0)</f>
        <v/>
      </c>
      <c r="S1217">
        <f>IFERROR(O1217/N1217,0)</f>
        <v/>
      </c>
    </row>
    <row r="1218">
      <c r="A1218">
        <f>Skills!A9</f>
        <v/>
      </c>
      <c r="B1218">
        <f>Skills!B9</f>
        <v/>
      </c>
      <c r="C1218">
        <f>Inputs!$B$3&gt;=72</f>
        <v/>
      </c>
      <c r="D1218">
        <f>IF(Skills!C9=1,60+Inputs!$B$24+Inputs!$B$28,IF(Skills!C9=2,90+Inputs!$B$25+Inputs!$B$28,IF(Skills!C9=3,120+Inputs!$B$26+Inputs!$B$28,MAX(0,(Inputs!$B$3-100)*3)+Inputs!$B$27+Inputs!$B$28)))</f>
        <v/>
      </c>
      <c r="E1218">
        <f>INDEX(FactorTable!$B$2:$Y$301, MATCH(ROUND(MIN(300,MAX(1,D1218)),0), FactorTable!$A$2:$A$301,0), Skills!M9+1)</f>
        <v/>
      </c>
      <c r="F1218">
        <f>IF(Skills!N9=TRUE,(Skills!L9/10)*(E1218/1000),Skills!L9/10)+Skills!O9</f>
        <v/>
      </c>
      <c r="G1218">
        <f>Calc!G9</f>
        <v/>
      </c>
      <c r="H1218">
        <f>Calc!H9</f>
        <v/>
      </c>
      <c r="I1218">
        <f>IF(Skills!AA9&lt;&gt;"",1+(Skills!AA9/10)*(U1212/1000)/100,1)</f>
        <v/>
      </c>
      <c r="J1218">
        <f>(Inputs!$B$5*(1+Inputs!$B$6/100))*(F1218/100)</f>
        <v/>
      </c>
      <c r="K1218">
        <f>J1218*(1+((Inputs!$B$11*(1+Inputs!$B$12/100))*0.01+Inputs!$B$13*0.0025)/100)*(1+Inputs!$B$14/100)*(1+IF(Inputs!$B$4="pvp",0,(1-Summary!$B$55)*(Inputs!$B$19+((C1236=TRUE)*(F1236-Calc!F27))+Skills!P9+B1250)+Summary!$B$55*(Inputs!$B$20+Skills!Q9+B1250))/100)*(1+Inputs!$B$15/100)*(5000/(6000+Inputs!$B$7*(1-Inputs!$B$18/100)))*(1+(Inputs!$B$23+((C1239=TRUE)*(F1239-Calc!F30)))/100)*(1+Skills!R9/100)*(1+(IF(Skills!A9="SHOWDOWN",Inputs!$B$16+((C1232=TRUE)*(F1232-Calc!F23)),Inputs!$B$17+((C1238=TRUE)*(F1238-Calc!F29))))/100)*(((1+(((C1230=TRUE)*F1230*IF(AND(Inputs!$B$4&lt;&gt;"pvp",Inputs!$B$35&gt;0),(((S1230-1)*(Skills!Y21*(1+(Inputs!$B$33+1)/100))+MIN((Skills!Y21*(1+(Inputs!$B$33+1)/100)),MAX(0,Inputs!$B$35-((S1230-1)*Skills!D21))))/Inputs!$B$35),IF(Inputs!$B$4="pvp",MIN((Skills!Y21*(1+(Inputs!$B$33+1)/100)),15)/15,(Skills!Y21*(1+(Inputs!$B$33+1)/100))/Skills!D21)))+((C1237=TRUE)*(F1237-Calc!F28))+((C1227=TRUE)*(F1227-Calc!F18)))/100)*(1+((C1224=TRUE)*F1224*IF(AND(Inputs!$B$4&lt;&gt;"pvp",Inputs!$B$35&gt;0),(((S1224-1)*(Skills!Y15*(1+(Inputs!$B$33+1)/100))+MIN((Skills!Y15*(1+(Inputs!$B$33+1)/100)),MAX(0,Inputs!$B$35-((S1224-1)*Skills!D15))))/Inputs!$B$35),IF(Inputs!$B$4="pvp",MIN((Skills!Y15*(1+(Inputs!$B$33+1)/100)),15)/15,(Skills!Y15*(1+(Inputs!$B$33+1)/100))/Skills!D15)))/100)*(1+((C1215=TRUE)*F1215*B1243)/100))*B1251*I1218)</f>
        <v/>
      </c>
      <c r="L1218">
        <f>K1218*(MIN(Inputs!$B$21+((C1233=TRUE)*(F1233-Calc!F24)),Inputs!$B$22)/100+Inputs!$B$22/100)/2</f>
        <v/>
      </c>
      <c r="M1218">
        <f>L1218*(1+(Inputs!$B$9+((C1235=TRUE)*(F1235-Calc!F26))+B1252)/100)</f>
        <v/>
      </c>
      <c r="N1218">
        <f>L1218*(1-MIN((Inputs!$B$8+((C1234=TRUE)*(F1234-Calc!F25))+B1249),100)/100)+M1218*(MIN((Inputs!$B$8+((C1234=TRUE)*(F1234-Calc!F25))+B1249),100)/100)</f>
        <v/>
      </c>
      <c r="O1218">
        <f>IF(C1218,H1218*N1218*IF(AND(Inputs!$B$4&lt;&gt;"pvp",Inputs!$B$35&gt;0),((Skills!G9*((R1218-1)*IF(Skills!H9&gt;0,Skills!I9/Skills!H9,1)+IF(Skills!H9&gt;0,MIN(Skills!I9,MAX(0,Inputs!$B$35-((R1218-1)*IF(Inputs!$B$4="pvp",15,MAX(0.1,Skills!D9-IF(Skills!E9=TRUE,Inputs!$B$31,0))))))/Skills!H9,1)))/Inputs!$B$35),G1218*Q1218)*IF(Inputs!$B$4="pvp",1,(1-Summary!$B$55)*(1)+Summary!$B$55*(MIN(Skills!W9,Inputs!$B$37))),0)</f>
        <v/>
      </c>
      <c r="P1218">
        <f>IF(B1253=0,0,O1218/B1253)</f>
        <v/>
      </c>
      <c r="Q1218">
        <f>IFERROR(1/IF(Inputs!$B$4="pvp",15,MAX(0.1,Skills!D9-IF(Skills!E9=TRUE,Inputs!$B$31,0))),0)</f>
        <v/>
      </c>
      <c r="R1218">
        <f>IF(AND(Inputs!$B$4&lt;&gt;"pvp",Inputs!$B$35&gt;0),(INT(Inputs!$B$35/IF(Inputs!$B$4="pvp",15,MAX(0.1,Skills!D9-IF(Skills!E9=TRUE,Inputs!$B$31,0))))+1),0)</f>
        <v/>
      </c>
      <c r="S1218">
        <f>IFERROR(O1218/N1218,0)</f>
        <v/>
      </c>
    </row>
    <row r="1219">
      <c r="A1219">
        <f>Skills!A10</f>
        <v/>
      </c>
      <c r="B1219">
        <f>Skills!B10</f>
        <v/>
      </c>
      <c r="C1219">
        <f>Inputs!$B$3&gt;=117</f>
        <v/>
      </c>
      <c r="D1219">
        <f>IF(Skills!C10=1,60+Inputs!$B$24+Inputs!$B$28,IF(Skills!C10=2,90+Inputs!$B$25+Inputs!$B$28,IF(Skills!C10=3,120+Inputs!$B$26+Inputs!$B$28,MAX(0,(Inputs!$B$3-100)*3)+Inputs!$B$27+Inputs!$B$28)))</f>
        <v/>
      </c>
      <c r="E1219">
        <f>INDEX(FactorTable!$B$2:$Y$301, MATCH(ROUND(MIN(300,MAX(1,D1219)),0), FactorTable!$A$2:$A$301,0), Skills!M10+1)</f>
        <v/>
      </c>
      <c r="F1219">
        <f>IF(Skills!N10=TRUE,(Skills!L10/10)*(E1219/1000),Skills!L10/10)+Skills!O10</f>
        <v/>
      </c>
      <c r="G1219">
        <f>Calc!G10</f>
        <v/>
      </c>
      <c r="H1219">
        <f>Calc!H10</f>
        <v/>
      </c>
      <c r="I1219">
        <f>IF(Skills!AA10&lt;&gt;"",1+(Skills!AA10/10)*(U1212/1000)/100,1)</f>
        <v/>
      </c>
      <c r="J1219">
        <f>(Inputs!$B$5*(1+Inputs!$B$6/100))*(F1219/100)</f>
        <v/>
      </c>
      <c r="K1219">
        <f>J1219*(1+((Inputs!$B$11*(1+Inputs!$B$12/100))*0.01+Inputs!$B$13*0.0025)/100)*(1+Inputs!$B$14/100)*(1+IF(Inputs!$B$4="pvp",0,(1-Summary!$B$55)*(Inputs!$B$19+((C1236=TRUE)*(F1236-Calc!F27))+Skills!P10+B1250)+Summary!$B$55*(Inputs!$B$20+Skills!Q10+B1250))/100)*(1+Inputs!$B$15/100)*(5000/(6000+Inputs!$B$7*(1-Inputs!$B$18/100)))*(1+(Inputs!$B$23+((C1239=TRUE)*(F1239-Calc!F30)))/100)*(1+Skills!R10/100)*(1+(IF(Skills!A10="SHOWDOWN",Inputs!$B$16+((C1232=TRUE)*(F1232-Calc!F23)),Inputs!$B$17+((C1238=TRUE)*(F1238-Calc!F29))))/100)*(((1+(((C1230=TRUE)*F1230*IF(AND(Inputs!$B$4&lt;&gt;"pvp",Inputs!$B$35&gt;0),(((S1230-1)*(Skills!Y21*(1+(Inputs!$B$33+1)/100))+MIN((Skills!Y21*(1+(Inputs!$B$33+1)/100)),MAX(0,Inputs!$B$35-((S1230-1)*Skills!D21))))/Inputs!$B$35),IF(Inputs!$B$4="pvp",MIN((Skills!Y21*(1+(Inputs!$B$33+1)/100)),15)/15,(Skills!Y21*(1+(Inputs!$B$33+1)/100))/Skills!D21)))+((C1237=TRUE)*(F1237-Calc!F28))+((C1227=TRUE)*(F1227-Calc!F18)))/100)*(1+((C1224=TRUE)*F1224*IF(AND(Inputs!$B$4&lt;&gt;"pvp",Inputs!$B$35&gt;0),(((S1224-1)*(Skills!Y15*(1+(Inputs!$B$33+1)/100))+MIN((Skills!Y15*(1+(Inputs!$B$33+1)/100)),MAX(0,Inputs!$B$35-((S1224-1)*Skills!D15))))/Inputs!$B$35),IF(Inputs!$B$4="pvp",MIN((Skills!Y15*(1+(Inputs!$B$33+1)/100)),15)/15,(Skills!Y15*(1+(Inputs!$B$33+1)/100))/Skills!D15)))/100)*(1+((C1215=TRUE)*F1215*B1243)/100))*B1251*I1219)</f>
        <v/>
      </c>
      <c r="L1219">
        <f>K1219*(MIN(Inputs!$B$21+((C1233=TRUE)*(F1233-Calc!F24)),Inputs!$B$22)/100+Inputs!$B$22/100)/2</f>
        <v/>
      </c>
      <c r="M1219">
        <f>L1219*(1+(Inputs!$B$9+((C1235=TRUE)*(F1235-Calc!F26))+B1252)/100)</f>
        <v/>
      </c>
      <c r="N1219">
        <f>L1219*(1-MIN((Inputs!$B$8+((C1234=TRUE)*(F1234-Calc!F25))+B1249),100)/100)+M1219*(MIN((Inputs!$B$8+((C1234=TRUE)*(F1234-Calc!F25))+B1249),100)/100)</f>
        <v/>
      </c>
      <c r="O1219">
        <f>IF(C1219,0.2*SUMPRODUCT((Skills!Z2:Z31=TRUE)*(C1211:C1240=TRUE)*S1211:S1240)*N1219,0)</f>
        <v/>
      </c>
      <c r="P1219">
        <f>IF(B1253=0,0,O1219/B1253)</f>
        <v/>
      </c>
      <c r="Q1219" t="n">
        <v>0</v>
      </c>
      <c r="R1219" t="n">
        <v>0</v>
      </c>
      <c r="S1219" t="n">
        <v>0</v>
      </c>
    </row>
    <row r="1220">
      <c r="A1220">
        <f>Skills!A11</f>
        <v/>
      </c>
      <c r="B1220">
        <f>Skills!B11</f>
        <v/>
      </c>
      <c r="C1220">
        <f>Inputs!$B$3&gt;=60</f>
        <v/>
      </c>
      <c r="D1220">
        <f>IF(Skills!C11=1,60+Inputs!$B$24+Inputs!$B$28,IF(Skills!C11=2,90+Inputs!$B$25+Inputs!$B$28,IF(Skills!C11=3,120+Inputs!$B$26+Inputs!$B$28,MAX(0,(Inputs!$B$3-100)*3)+Inputs!$B$27+Inputs!$B$28)))</f>
        <v/>
      </c>
      <c r="E1220">
        <f>INDEX(FactorTable!$B$2:$Y$301, MATCH(ROUND(MIN(300,MAX(1,D1220)),0), FactorTable!$A$2:$A$301,0), Skills!M11+1)</f>
        <v/>
      </c>
      <c r="F1220">
        <f>IF(Skills!N11=TRUE,(Skills!L11/10)*(E1220/1000),Skills!L11/10)+Skills!O11</f>
        <v/>
      </c>
      <c r="G1220">
        <f>Calc!G11</f>
        <v/>
      </c>
      <c r="H1220">
        <f>Calc!H11</f>
        <v/>
      </c>
      <c r="I1220">
        <f>IF(Skills!AA11&lt;&gt;"",1+(Skills!AA11/10)*(U1212/1000)/100,1)</f>
        <v/>
      </c>
      <c r="J1220" t="inlineStr"/>
      <c r="K1220" t="inlineStr"/>
      <c r="L1220" t="inlineStr"/>
      <c r="M1220" t="inlineStr"/>
      <c r="N1220" t="inlineStr"/>
      <c r="O1220" t="n">
        <v>0</v>
      </c>
      <c r="P1220">
        <f>IF(B1253=0,0,O1220/B1253)</f>
        <v/>
      </c>
      <c r="Q1220" t="n">
        <v>0</v>
      </c>
      <c r="R1220" t="n">
        <v>0</v>
      </c>
      <c r="S1220">
        <f>IFERROR(O1220/N1220,0)</f>
        <v/>
      </c>
    </row>
    <row r="1221">
      <c r="A1221">
        <f>Skills!A12</f>
        <v/>
      </c>
      <c r="B1221">
        <f>Skills!B12</f>
        <v/>
      </c>
      <c r="C1221">
        <f>Inputs!$B$3&gt;=103</f>
        <v/>
      </c>
      <c r="D1221">
        <f>IF(Skills!C12=1,60+Inputs!$B$24+Inputs!$B$28,IF(Skills!C12=2,90+Inputs!$B$25+Inputs!$B$28,IF(Skills!C12=3,120+Inputs!$B$26+Inputs!$B$28,MAX(0,(Inputs!$B$3-100)*3)+Inputs!$B$27+Inputs!$B$28)))</f>
        <v/>
      </c>
      <c r="E1221">
        <f>INDEX(FactorTable!$B$2:$Y$301, MATCH(ROUND(MIN(300,MAX(1,D1221)),0), FactorTable!$A$2:$A$301,0), Skills!M12+1)</f>
        <v/>
      </c>
      <c r="F1221">
        <f>IF(Skills!N12=TRUE,(Skills!L12/10)*(E1221/1000),Skills!L12/10)+Skills!O12</f>
        <v/>
      </c>
      <c r="G1221">
        <f>Calc!G12</f>
        <v/>
      </c>
      <c r="H1221">
        <f>Calc!H12</f>
        <v/>
      </c>
      <c r="I1221">
        <f>IF(Skills!AA12&lt;&gt;"",1+(Skills!AA12/10)*(U1212/1000)/100,1)</f>
        <v/>
      </c>
      <c r="J1221">
        <f>(Inputs!$B$5*(1+Inputs!$B$6/100))*(F1221/100)</f>
        <v/>
      </c>
      <c r="K1221">
        <f>J1221*(1+((Inputs!$B$11*(1+Inputs!$B$12/100))*0.01+Inputs!$B$13*0.0025)/100)*(1+Inputs!$B$14/100)*(1+IF(Inputs!$B$4="pvp",0,(1-Summary!$B$55)*(Inputs!$B$19+((C1236=TRUE)*(F1236-Calc!F27))+Skills!P12+B1250)+Summary!$B$55*(Inputs!$B$20+Skills!Q12+B1250))/100)*(1+Inputs!$B$15/100)*(5000/(6000+Inputs!$B$7*(1-Inputs!$B$18/100)))*(1+(Inputs!$B$23+((C1239=TRUE)*(F1239-Calc!F30)))/100)*(1+Skills!R12/100)*(1+(IF(Skills!A12="SHOWDOWN",Inputs!$B$16+((C1232=TRUE)*(F1232-Calc!F23)),Inputs!$B$17+((C1238=TRUE)*(F1238-Calc!F29))))/100)*(((1+(((C1230=TRUE)*F1230*IF(AND(Inputs!$B$4&lt;&gt;"pvp",Inputs!$B$35&gt;0),(((S1230-1)*(Skills!Y21*(1+(Inputs!$B$33+1)/100))+MIN((Skills!Y21*(1+(Inputs!$B$33+1)/100)),MAX(0,Inputs!$B$35-((S1230-1)*Skills!D21))))/Inputs!$B$35),IF(Inputs!$B$4="pvp",MIN((Skills!Y21*(1+(Inputs!$B$33+1)/100)),15)/15,(Skills!Y21*(1+(Inputs!$B$33+1)/100))/Skills!D21)))+((C1237=TRUE)*(F1237-Calc!F28))+((C1227=TRUE)*(F1227-Calc!F18)))/100)*(1+((C1224=TRUE)*F1224*IF(AND(Inputs!$B$4&lt;&gt;"pvp",Inputs!$B$35&gt;0),(((S1224-1)*(Skills!Y15*(1+(Inputs!$B$33+1)/100))+MIN((Skills!Y15*(1+(Inputs!$B$33+1)/100)),MAX(0,Inputs!$B$35-((S1224-1)*Skills!D15))))/Inputs!$B$35),IF(Inputs!$B$4="pvp",MIN((Skills!Y15*(1+(Inputs!$B$33+1)/100)),15)/15,(Skills!Y15*(1+(Inputs!$B$33+1)/100))/Skills!D15)))/100)*(1+((C1215=TRUE)*F1215*B1243)/100))*B1251*I1221)</f>
        <v/>
      </c>
      <c r="L1221">
        <f>K1221*(MIN(Inputs!$B$21+((C1233=TRUE)*(F1233-Calc!F24)),Inputs!$B$22)/100+Inputs!$B$22/100)/2</f>
        <v/>
      </c>
      <c r="M1221">
        <f>L1221*(1+(Inputs!$B$9+((C1235=TRUE)*(F1235-Calc!F26))+B1252)/100)</f>
        <v/>
      </c>
      <c r="N1221">
        <f>L1221*(1-MIN((Inputs!$B$8+((C1234=TRUE)*(F1234-Calc!F25))+B1249),100)/100)+M1221*(MIN((Inputs!$B$8+((C1234=TRUE)*(F1234-Calc!F25))+B1249),100)/100)</f>
        <v/>
      </c>
      <c r="O1221">
        <f>IF(C1221,H1221*N1221*IF(AND(Inputs!$B$4&lt;&gt;"pvp",Inputs!$B$35&gt;0),((Skills!G12*((R1221-1)*IF(Skills!H12&gt;0,Skills!I12/Skills!H12,1)+IF(Skills!H12&gt;0,MIN(Skills!I12,MAX(0,Inputs!$B$35-((R1221-1)*IF(Inputs!$B$4="pvp",15,MAX(0.1,Skills!D12-IF(Skills!E12=TRUE,Inputs!$B$31,0))))))/Skills!H12,1)))/Inputs!$B$35),G1221*Q1221)*IF(Inputs!$B$4="pvp",1,(1-Summary!$B$55)*(1)+Summary!$B$55*(MIN(Skills!W12,Inputs!$B$37))),0)</f>
        <v/>
      </c>
      <c r="P1221">
        <f>IF(B1253=0,0,O1221/B1253)</f>
        <v/>
      </c>
      <c r="Q1221">
        <f>IFERROR(1/IF(Inputs!$B$4="pvp",15,MAX(0.1,Skills!D12-IF(Skills!E12=TRUE,Inputs!$B$31,0))),0)</f>
        <v/>
      </c>
      <c r="R1221">
        <f>IF(AND(Inputs!$B$4&lt;&gt;"pvp",Inputs!$B$35&gt;0),(INT(Inputs!$B$35/IF(Inputs!$B$4="pvp",15,MAX(0.1,Skills!D12-IF(Skills!E12=TRUE,Inputs!$B$31,0))))+1),0)</f>
        <v/>
      </c>
      <c r="S1221">
        <f>IFERROR(O1221/N1221,0)</f>
        <v/>
      </c>
    </row>
    <row r="1222">
      <c r="A1222">
        <f>Skills!A13</f>
        <v/>
      </c>
      <c r="B1222">
        <f>Skills!B13</f>
        <v/>
      </c>
      <c r="C1222">
        <f>Inputs!$B$3&gt;=105</f>
        <v/>
      </c>
      <c r="D1222">
        <f>IF(Skills!C13=1,60+Inputs!$B$24+Inputs!$B$28,IF(Skills!C13=2,90+Inputs!$B$25+Inputs!$B$28,IF(Skills!C13=3,120+Inputs!$B$26+Inputs!$B$28,MAX(0,(Inputs!$B$3-100)*3)+Inputs!$B$27+Inputs!$B$28)))</f>
        <v/>
      </c>
      <c r="E1222">
        <f>INDEX(FactorTable!$B$2:$Y$301, MATCH(ROUND(MIN(300,MAX(1,D1222)),0), FactorTable!$A$2:$A$301,0), Skills!M13+1)</f>
        <v/>
      </c>
      <c r="F1222">
        <f>IF(Skills!N13=TRUE,(Skills!L13/10)*(E1222/1000),Skills!L13/10)+Skills!O13</f>
        <v/>
      </c>
      <c r="G1222">
        <f>Calc!G13</f>
        <v/>
      </c>
      <c r="H1222">
        <f>Calc!H13</f>
        <v/>
      </c>
      <c r="I1222">
        <f>IF(Skills!AA13&lt;&gt;"",1+(Skills!AA13/10)*(U1212/1000)/100,1)</f>
        <v/>
      </c>
      <c r="J1222">
        <f>(Inputs!$B$5*(1+Inputs!$B$6/100))*(F1222/100)</f>
        <v/>
      </c>
      <c r="K1222">
        <f>J1222*(1+((Inputs!$B$11*(1+Inputs!$B$12/100))*0.01+Inputs!$B$13*0.0025)/100)*(1+Inputs!$B$14/100)*(1+IF(Inputs!$B$4="pvp",0,(1-Summary!$B$55)*(Inputs!$B$19+((C1236=TRUE)*(F1236-Calc!F27))+Skills!P13+B1250)+Summary!$B$55*(Inputs!$B$20+Skills!Q13+B1250))/100)*(1+Inputs!$B$15/100)*(5000/(6000+Inputs!$B$7*(1-Inputs!$B$18/100)))*(1+(Inputs!$B$23+((C1239=TRUE)*(F1239-Calc!F30)))/100)*(1+Skills!R13/100)*(1+(IF(Skills!A13="SHOWDOWN",Inputs!$B$16+((C1232=TRUE)*(F1232-Calc!F23)),Inputs!$B$17+((C1238=TRUE)*(F1238-Calc!F29))))/100)*(((1+(((C1230=TRUE)*F1230*IF(AND(Inputs!$B$4&lt;&gt;"pvp",Inputs!$B$35&gt;0),(((S1230-1)*(Skills!Y21*(1+(Inputs!$B$33+1)/100))+MIN((Skills!Y21*(1+(Inputs!$B$33+1)/100)),MAX(0,Inputs!$B$35-((S1230-1)*Skills!D21))))/Inputs!$B$35),IF(Inputs!$B$4="pvp",MIN((Skills!Y21*(1+(Inputs!$B$33+1)/100)),15)/15,(Skills!Y21*(1+(Inputs!$B$33+1)/100))/Skills!D21)))+((C1237=TRUE)*(F1237-Calc!F28))+((C1227=TRUE)*(F1227-Calc!F18)))/100)*(1+((C1224=TRUE)*F1224*IF(AND(Inputs!$B$4&lt;&gt;"pvp",Inputs!$B$35&gt;0),(((S1224-1)*(Skills!Y15*(1+(Inputs!$B$33+1)/100))+MIN((Skills!Y15*(1+(Inputs!$B$33+1)/100)),MAX(0,Inputs!$B$35-((S1224-1)*Skills!D15))))/Inputs!$B$35),IF(Inputs!$B$4="pvp",MIN((Skills!Y15*(1+(Inputs!$B$33+1)/100)),15)/15,(Skills!Y15*(1+(Inputs!$B$33+1)/100))/Skills!D15)))/100)*(1+((C1215=TRUE)*F1215*B1243)/100))*B1251*I1222)</f>
        <v/>
      </c>
      <c r="L1222">
        <f>K1222*(MIN(Inputs!$B$21+((C1233=TRUE)*(F1233-Calc!F24)),Inputs!$B$22)/100+Inputs!$B$22/100)/2</f>
        <v/>
      </c>
      <c r="M1222">
        <f>L1222*(1+(Inputs!$B$9+((C1235=TRUE)*(F1235-Calc!F26))+B1252)/100)</f>
        <v/>
      </c>
      <c r="N1222">
        <f>L1222*(1-MIN((Inputs!$B$8+((C1234=TRUE)*(F1234-Calc!F25))+B1249),100)/100)+M1222*(MIN((Inputs!$B$8+((C1234=TRUE)*(F1234-Calc!F25))+B1249),100)/100)</f>
        <v/>
      </c>
      <c r="O1222">
        <f>IF(C1222,H1222*N1222*IF(AND(Inputs!$B$4&lt;&gt;"pvp",Inputs!$B$35&gt;0),((Skills!G13*((R1222-1)*IF(Skills!H13&gt;0,Skills!I13/Skills!H13,1)+IF(Skills!H13&gt;0,MIN(Skills!I13,MAX(0,Inputs!$B$35-((R1222-1)*IF(Inputs!$B$4="pvp",15,MAX(0.1,Skills!D13-IF(Skills!E13=TRUE,Inputs!$B$31,0))))))/Skills!H13,1)))/Inputs!$B$35),G1222*Q1222)*IF(Inputs!$B$4="pvp",1,(1-Summary!$B$55)*(1)+Summary!$B$55*(MIN(Skills!W13,Inputs!$B$37))),0)</f>
        <v/>
      </c>
      <c r="P1222">
        <f>IF(B1253=0,0,O1222/B1253)</f>
        <v/>
      </c>
      <c r="Q1222">
        <f>IFERROR(1/IF(Inputs!$B$4="pvp",15,MAX(0.1,Skills!D13-IF(Skills!E13=TRUE,Inputs!$B$31,0))),0)</f>
        <v/>
      </c>
      <c r="R1222">
        <f>IF(AND(Inputs!$B$4&lt;&gt;"pvp",Inputs!$B$35&gt;0),(INT(Inputs!$B$35/IF(Inputs!$B$4="pvp",15,MAX(0.1,Skills!D13-IF(Skills!E13=TRUE,Inputs!$B$31,0))))+1),0)</f>
        <v/>
      </c>
      <c r="S1222">
        <f>IFERROR(O1222/N1222,0)</f>
        <v/>
      </c>
    </row>
    <row r="1223">
      <c r="A1223">
        <f>Skills!A14</f>
        <v/>
      </c>
      <c r="B1223">
        <f>Skills!B14</f>
        <v/>
      </c>
      <c r="C1223">
        <f>Inputs!$B$3&gt;=105</f>
        <v/>
      </c>
      <c r="D1223">
        <f>IF(Skills!C14=1,60+Inputs!$B$24+Inputs!$B$28,IF(Skills!C14=2,90+Inputs!$B$25+Inputs!$B$28,IF(Skills!C14=3,120+Inputs!$B$26+Inputs!$B$28,MAX(0,(Inputs!$B$3-100)*3)+Inputs!$B$27+Inputs!$B$28)))</f>
        <v/>
      </c>
      <c r="E1223">
        <f>INDEX(FactorTable!$B$2:$Y$301, MATCH(ROUND(MIN(300,MAX(1,D1223)),0), FactorTable!$A$2:$A$301,0), Skills!M14+1)</f>
        <v/>
      </c>
      <c r="F1223">
        <f>IF(Skills!N14=TRUE,(Skills!L14/10)*(E1223/1000),Skills!L14/10)+Skills!O14</f>
        <v/>
      </c>
      <c r="G1223">
        <f>Calc!G14</f>
        <v/>
      </c>
      <c r="H1223">
        <f>Calc!H14</f>
        <v/>
      </c>
      <c r="I1223">
        <f>IF(Skills!AA14&lt;&gt;"",1+(Skills!AA14/10)*(U1212/1000)/100,1)</f>
        <v/>
      </c>
      <c r="J1223">
        <f>(Inputs!$B$5*(1+Inputs!$B$6/100))*(F1223/100)</f>
        <v/>
      </c>
      <c r="K1223">
        <f>J1223*(1+((Inputs!$B$11*(1+Inputs!$B$12/100))*0.01+Inputs!$B$13*0.0025)/100)*(1+Inputs!$B$14/100)*(1+IF(Inputs!$B$4="pvp",0,(1-Summary!$B$55)*(Inputs!$B$19+((C1236=TRUE)*(F1236-Calc!F27))+Skills!P14+B1250)+Summary!$B$55*(Inputs!$B$20+Skills!Q14+B1250))/100)*(1+Inputs!$B$15/100)*(5000/(6000+Inputs!$B$7*(1-Inputs!$B$18/100)))*(1+(Inputs!$B$23+((C1239=TRUE)*(F1239-Calc!F30)))/100)*(1+Skills!R14/100)*(1+(IF(Skills!A14="SHOWDOWN",Inputs!$B$16+((C1232=TRUE)*(F1232-Calc!F23)),Inputs!$B$17+((C1238=TRUE)*(F1238-Calc!F29))))/100)*(((1+(((C1230=TRUE)*F1230*IF(AND(Inputs!$B$4&lt;&gt;"pvp",Inputs!$B$35&gt;0),(((S1230-1)*(Skills!Y21*(1+(Inputs!$B$33+1)/100))+MIN((Skills!Y21*(1+(Inputs!$B$33+1)/100)),MAX(0,Inputs!$B$35-((S1230-1)*Skills!D21))))/Inputs!$B$35),IF(Inputs!$B$4="pvp",MIN((Skills!Y21*(1+(Inputs!$B$33+1)/100)),15)/15,(Skills!Y21*(1+(Inputs!$B$33+1)/100))/Skills!D21)))+((C1237=TRUE)*(F1237-Calc!F28))+((C1227=TRUE)*(F1227-Calc!F18)))/100)*(1+((C1224=TRUE)*F1224*IF(AND(Inputs!$B$4&lt;&gt;"pvp",Inputs!$B$35&gt;0),(((S1224-1)*(Skills!Y15*(1+(Inputs!$B$33+1)/100))+MIN((Skills!Y15*(1+(Inputs!$B$33+1)/100)),MAX(0,Inputs!$B$35-((S1224-1)*Skills!D15))))/Inputs!$B$35),IF(Inputs!$B$4="pvp",MIN((Skills!Y15*(1+(Inputs!$B$33+1)/100)),15)/15,(Skills!Y15*(1+(Inputs!$B$33+1)/100))/Skills!D15)))/100)*(1+((C1215=TRUE)*F1215*B1243)/100))*B1251*I1223)</f>
        <v/>
      </c>
      <c r="L1223">
        <f>K1223*(MIN(Inputs!$B$21+((C1233=TRUE)*(F1233-Calc!F24)),Inputs!$B$22)/100+Inputs!$B$22/100)/2</f>
        <v/>
      </c>
      <c r="M1223">
        <f>L1223*(1+(Inputs!$B$9+((C1235=TRUE)*(F1235-Calc!F26))+B1252)/100)</f>
        <v/>
      </c>
      <c r="N1223">
        <f>L1223*(1-MIN((Inputs!$B$8+((C1234=TRUE)*(F1234-Calc!F25))+B1249),100)/100)+M1223*(MIN((Inputs!$B$8+((C1234=TRUE)*(F1234-Calc!F25))+B1249),100)/100)</f>
        <v/>
      </c>
      <c r="O1223">
        <f>IF(C1223,H1223*N1223*IF(AND(Inputs!$B$4&lt;&gt;"pvp",Inputs!$B$35&gt;0),((Skills!G14*((R1223-1)*IF(Skills!H14&gt;0,Skills!I14/Skills!H14,1)+IF(Skills!H14&gt;0,MIN(Skills!I14,MAX(0,Inputs!$B$35-((R1223-1)*IF(Inputs!$B$4="pvp",15,MAX(0.1,Skills!D14-IF(Skills!E14=TRUE,Inputs!$B$31,0))))))/Skills!H14,1)))/Inputs!$B$35),G1223*Q1223)*IF(Inputs!$B$4="pvp",1,(1-Summary!$B$55)*(1)+Summary!$B$55*(MIN(Skills!W14,Inputs!$B$37))),0)</f>
        <v/>
      </c>
      <c r="P1223">
        <f>IF(B1253=0,0,O1223/B1253)</f>
        <v/>
      </c>
      <c r="Q1223">
        <f>IFERROR(1/IF(Inputs!$B$4="pvp",15,MAX(0.1,Skills!D14-IF(Skills!E14=TRUE,Inputs!$B$31,0))),0)</f>
        <v/>
      </c>
      <c r="R1223">
        <f>IF(AND(Inputs!$B$4&lt;&gt;"pvp",Inputs!$B$35&gt;0),(INT(Inputs!$B$35/IF(Inputs!$B$4="pvp",15,MAX(0.1,Skills!D14-IF(Skills!E14=TRUE,Inputs!$B$31,0))))+1),0)</f>
        <v/>
      </c>
      <c r="S1223">
        <f>IFERROR(O1223/N1223,0)</f>
        <v/>
      </c>
    </row>
    <row r="1224">
      <c r="A1224">
        <f>Skills!A15</f>
        <v/>
      </c>
      <c r="B1224">
        <f>Skills!B15</f>
        <v/>
      </c>
      <c r="C1224">
        <f>Inputs!$B$3&gt;=110</f>
        <v/>
      </c>
      <c r="D1224">
        <f>IF(Skills!C15=1,60+Inputs!$B$24+Inputs!$B$28,IF(Skills!C15=2,90+Inputs!$B$25+Inputs!$B$28,IF(Skills!C15=3,120+Inputs!$B$26+Inputs!$B$28,MAX(0,(Inputs!$B$3-100)*3)+Inputs!$B$27+Inputs!$B$28)))</f>
        <v/>
      </c>
      <c r="E1224">
        <f>INDEX(FactorTable!$B$2:$Y$301, MATCH(ROUND(MIN(300,MAX(1,D1224)),0), FactorTable!$A$2:$A$301,0), Skills!M15+1)</f>
        <v/>
      </c>
      <c r="F1224">
        <f>IF(Skills!N15=TRUE,(Skills!L15/10)*(E1224/1000),Skills!L15/10)+Skills!O15</f>
        <v/>
      </c>
      <c r="G1224">
        <f>Calc!G15</f>
        <v/>
      </c>
      <c r="H1224">
        <f>Calc!H15</f>
        <v/>
      </c>
      <c r="I1224">
        <f>IF(Skills!AA15&lt;&gt;"",1+(Skills!AA15/10)*(U1212/1000)/100,1)</f>
        <v/>
      </c>
      <c r="J1224" t="inlineStr"/>
      <c r="K1224" t="inlineStr"/>
      <c r="L1224" t="inlineStr"/>
      <c r="M1224" t="inlineStr"/>
      <c r="N1224" t="inlineStr"/>
      <c r="O1224" t="n">
        <v>0</v>
      </c>
      <c r="P1224">
        <f>IF(B1253=0,0,O1224/B1253)</f>
        <v/>
      </c>
      <c r="Q1224">
        <f>IFERROR(1/IF(Inputs!$B$4="pvp",15,MAX(0.1,Skills!D15-IF(Skills!E15=TRUE,Inputs!$B$31,0))),0)</f>
        <v/>
      </c>
      <c r="R1224">
        <f>IF(AND(Inputs!$B$4&lt;&gt;"pvp",Inputs!$B$35&gt;0),(INT(Inputs!$B$35/IF(Inputs!$B$4="pvp",15,MAX(0.1,Skills!D15-IF(Skills!E15=TRUE,Inputs!$B$31,0))))+1),0)</f>
        <v/>
      </c>
      <c r="S1224">
        <f>IFERROR(O1224/N1224,0)</f>
        <v/>
      </c>
    </row>
    <row r="1225">
      <c r="A1225">
        <f>Skills!A16</f>
        <v/>
      </c>
      <c r="B1225">
        <f>Skills!B16</f>
        <v/>
      </c>
      <c r="C1225">
        <f>Inputs!$B$3&gt;=110</f>
        <v/>
      </c>
      <c r="D1225">
        <f>IF(Skills!C16=1,60+Inputs!$B$24+Inputs!$B$28,IF(Skills!C16=2,90+Inputs!$B$25+Inputs!$B$28,IF(Skills!C16=3,120+Inputs!$B$26+Inputs!$B$28,MAX(0,(Inputs!$B$3-100)*3)+Inputs!$B$27+Inputs!$B$28)))</f>
        <v/>
      </c>
      <c r="E1225">
        <f>INDEX(FactorTable!$B$2:$Y$301, MATCH(ROUND(MIN(300,MAX(1,D1225)),0), FactorTable!$A$2:$A$301,0), Skills!M16+1)</f>
        <v/>
      </c>
      <c r="F1225">
        <f>IF(Skills!N16=TRUE,(Skills!L16/10)*(E1225/1000),Skills!L16/10)+Skills!O16</f>
        <v/>
      </c>
      <c r="G1225">
        <f>Calc!G16</f>
        <v/>
      </c>
      <c r="H1225">
        <f>Calc!H16</f>
        <v/>
      </c>
      <c r="I1225">
        <f>IF(Skills!AA16&lt;&gt;"",1+(Skills!AA16/10)*(U1212/1000)/100,1)</f>
        <v/>
      </c>
      <c r="J1225" t="inlineStr"/>
      <c r="K1225" t="inlineStr"/>
      <c r="L1225" t="inlineStr"/>
      <c r="M1225" t="inlineStr"/>
      <c r="N1225" t="inlineStr"/>
      <c r="O1225" t="n">
        <v>0</v>
      </c>
      <c r="P1225">
        <f>IF(B1253=0,0,O1225/B1253)</f>
        <v/>
      </c>
      <c r="Q1225">
        <f>IFERROR(1/IF(Inputs!$B$4="pvp",15,MAX(0.1,Skills!D16-IF(Skills!E16=TRUE,Inputs!$B$31,0))),0)</f>
        <v/>
      </c>
      <c r="R1225">
        <f>IF(AND(Inputs!$B$4&lt;&gt;"pvp",Inputs!$B$35&gt;0),(INT(Inputs!$B$35/IF(Inputs!$B$4="pvp",15,MAX(0.1,Skills!D16-IF(Skills!E16=TRUE,Inputs!$B$31,0))))+1),0)</f>
        <v/>
      </c>
      <c r="S1225">
        <f>IFERROR(O1225/N1225,0)</f>
        <v/>
      </c>
    </row>
    <row r="1226">
      <c r="A1226">
        <f>Skills!A17</f>
        <v/>
      </c>
      <c r="B1226">
        <f>Skills!B17</f>
        <v/>
      </c>
      <c r="C1226">
        <f>Inputs!$B$3&gt;=115</f>
        <v/>
      </c>
      <c r="D1226">
        <f>IF(Skills!C17=1,60+Inputs!$B$24+Inputs!$B$28,IF(Skills!C17=2,90+Inputs!$B$25+Inputs!$B$28,IF(Skills!C17=3,120+Inputs!$B$26+Inputs!$B$28,MAX(0,(Inputs!$B$3-100)*3)+Inputs!$B$27+Inputs!$B$28)))</f>
        <v/>
      </c>
      <c r="E1226">
        <f>INDEX(FactorTable!$B$2:$Y$301, MATCH(ROUND(MIN(300,MAX(1,D1226)),0), FactorTable!$A$2:$A$301,0), Skills!M17+1)</f>
        <v/>
      </c>
      <c r="F1226">
        <f>IF(Skills!N17=TRUE,(Skills!L17/10)*(E1226/1000),Skills!L17/10)+Skills!O17</f>
        <v/>
      </c>
      <c r="G1226">
        <f>Calc!G17</f>
        <v/>
      </c>
      <c r="H1226">
        <f>Calc!H17</f>
        <v/>
      </c>
      <c r="I1226">
        <f>IF(Skills!AA17&lt;&gt;"",1+(Skills!AA17/10)*(U1212/1000)/100,1)</f>
        <v/>
      </c>
      <c r="J1226">
        <f>(Inputs!$B$5*(1+Inputs!$B$6/100))*(F1226/100)</f>
        <v/>
      </c>
      <c r="K1226">
        <f>J1226*(1+((Inputs!$B$11*(1+Inputs!$B$12/100))*0.01+Inputs!$B$13*0.0025)/100)*(1+Inputs!$B$14/100)*(1+IF(Inputs!$B$4="pvp",0,(1-Summary!$B$55)*(Inputs!$B$19+((C1236=TRUE)*(F1236-Calc!F27))+Skills!P17+B1250)+Summary!$B$55*(Inputs!$B$20+Skills!Q17+B1250))/100)*(1+Inputs!$B$15/100)*(5000/(6000+Inputs!$B$7*(1-Inputs!$B$18/100)))*(1+(Inputs!$B$23+((C1239=TRUE)*(F1239-Calc!F30)))/100)*(1+Skills!R17/100)*(1+(IF(Skills!A17="SHOWDOWN",Inputs!$B$16+((C1232=TRUE)*(F1232-Calc!F23)),Inputs!$B$17+((C1238=TRUE)*(F1238-Calc!F29))))/100)*(((1+(((C1230=TRUE)*F1230*IF(AND(Inputs!$B$4&lt;&gt;"pvp",Inputs!$B$35&gt;0),(((S1230-1)*(Skills!Y21*(1+(Inputs!$B$33+1)/100))+MIN((Skills!Y21*(1+(Inputs!$B$33+1)/100)),MAX(0,Inputs!$B$35-((S1230-1)*Skills!D21))))/Inputs!$B$35),IF(Inputs!$B$4="pvp",MIN((Skills!Y21*(1+(Inputs!$B$33+1)/100)),15)/15,(Skills!Y21*(1+(Inputs!$B$33+1)/100))/Skills!D21)))+((C1237=TRUE)*(F1237-Calc!F28))+((C1227=TRUE)*(F1227-Calc!F18)))/100)*(1+((C1224=TRUE)*F1224*IF(AND(Inputs!$B$4&lt;&gt;"pvp",Inputs!$B$35&gt;0),(((S1224-1)*(Skills!Y15*(1+(Inputs!$B$33+1)/100))+MIN((Skills!Y15*(1+(Inputs!$B$33+1)/100)),MAX(0,Inputs!$B$35-((S1224-1)*Skills!D15))))/Inputs!$B$35),IF(Inputs!$B$4="pvp",MIN((Skills!Y15*(1+(Inputs!$B$33+1)/100)),15)/15,(Skills!Y15*(1+(Inputs!$B$33+1)/100))/Skills!D15)))/100)*(1+((C1215=TRUE)*F1215*B1243)/100))*B1251*I1226)</f>
        <v/>
      </c>
      <c r="L1226">
        <f>K1226*(MIN(Inputs!$B$21+((C1233=TRUE)*(F1233-Calc!F24)),Inputs!$B$22)/100+Inputs!$B$22/100)/2</f>
        <v/>
      </c>
      <c r="M1226">
        <f>L1226*(1+(Inputs!$B$9+((C1235=TRUE)*(F1235-Calc!F26))+B1252)/100)</f>
        <v/>
      </c>
      <c r="N1226">
        <f>L1226*(1-MIN((Inputs!$B$8+((C1234=TRUE)*(F1234-Calc!F25))+B1249),100)/100)+M1226*(MIN((Inputs!$B$8+((C1234=TRUE)*(F1234-Calc!F25))+B1249),100)/100)</f>
        <v/>
      </c>
      <c r="O1226">
        <f>IF(C1226,Inputs!$B$38*0.2*N1226,0)</f>
        <v/>
      </c>
      <c r="P1226">
        <f>IF(B1253=0,0,O1226/B1253)</f>
        <v/>
      </c>
      <c r="Q1226" t="n">
        <v>0</v>
      </c>
      <c r="R1226" t="n">
        <v>0</v>
      </c>
      <c r="S1226">
        <f>IFERROR(O1226/N1226,0)</f>
        <v/>
      </c>
    </row>
    <row r="1227">
      <c r="A1227">
        <f>Skills!A18</f>
        <v/>
      </c>
      <c r="B1227">
        <f>Skills!B18</f>
        <v/>
      </c>
      <c r="C1227">
        <f>Inputs!$B$3&gt;=115</f>
        <v/>
      </c>
      <c r="D1227">
        <f>IF(Skills!C18=1,60+Inputs!$B$24+Inputs!$B$28,IF(Skills!C18=2,90+Inputs!$B$25+Inputs!$B$28,IF(Skills!C18=3,120+Inputs!$B$26+Inputs!$B$28,MAX(0,(Inputs!$B$3-100)*3)+Inputs!$B$27+Inputs!$B$28)))</f>
        <v/>
      </c>
      <c r="E1227">
        <f>INDEX(FactorTable!$B$2:$Y$301, MATCH(ROUND(MIN(300,MAX(1,D1227)),0), FactorTable!$A$2:$A$301,0), Skills!M18+1)</f>
        <v/>
      </c>
      <c r="F1227">
        <f>IF(Skills!N18=TRUE,(Skills!L18/10)*(E1227/1000),Skills!L18/10)+Skills!O18</f>
        <v/>
      </c>
      <c r="G1227">
        <f>Calc!G18</f>
        <v/>
      </c>
      <c r="H1227">
        <f>Calc!H18</f>
        <v/>
      </c>
      <c r="I1227">
        <f>IF(Skills!AA18&lt;&gt;"",1+(Skills!AA18/10)*(U1212/1000)/100,1)</f>
        <v/>
      </c>
      <c r="J1227" t="inlineStr"/>
      <c r="K1227" t="inlineStr"/>
      <c r="L1227" t="inlineStr"/>
      <c r="M1227" t="inlineStr"/>
      <c r="N1227" t="inlineStr"/>
      <c r="O1227" t="n">
        <v>0</v>
      </c>
      <c r="P1227">
        <f>IF(B1253=0,0,O1227/B1253)</f>
        <v/>
      </c>
      <c r="Q1227" t="n">
        <v>0</v>
      </c>
      <c r="R1227" t="n">
        <v>0</v>
      </c>
      <c r="S1227">
        <f>IFERROR(O1227/N1227,0)</f>
        <v/>
      </c>
    </row>
    <row r="1228">
      <c r="A1228">
        <f>Skills!A19</f>
        <v/>
      </c>
      <c r="B1228">
        <f>Skills!B19</f>
        <v/>
      </c>
      <c r="C1228">
        <f>TRUE</f>
        <v/>
      </c>
      <c r="D1228">
        <f>IF(Skills!C19=1,60+Inputs!$B$24+Inputs!$B$28,IF(Skills!C19=2,90+Inputs!$B$25+Inputs!$B$28,IF(Skills!C19=3,120+Inputs!$B$26+Inputs!$B$28,MAX(0,(Inputs!$B$3-100)*3)+Inputs!$B$27+Inputs!$B$28)))</f>
        <v/>
      </c>
      <c r="E1228">
        <f>INDEX(FactorTable!$B$2:$Y$301, MATCH(ROUND(MIN(300,MAX(1,D1228)),0), FactorTable!$A$2:$A$301,0), Skills!M19+1)</f>
        <v/>
      </c>
      <c r="F1228">
        <f>IF(Skills!N19=TRUE,(Skills!L19/10)*(E1228/1000),Skills!L19/10)+Skills!O19</f>
        <v/>
      </c>
      <c r="G1228">
        <f>Calc!G19</f>
        <v/>
      </c>
      <c r="H1228">
        <f>Calc!H19</f>
        <v/>
      </c>
      <c r="I1228">
        <f>IF(Skills!AA19&lt;&gt;"",1+(Skills!AA19/10)*(U1212/1000)/100,1)</f>
        <v/>
      </c>
      <c r="J1228" t="inlineStr"/>
      <c r="K1228" t="inlineStr"/>
      <c r="L1228" t="inlineStr"/>
      <c r="M1228" t="inlineStr"/>
      <c r="N1228" t="inlineStr"/>
      <c r="O1228" t="n">
        <v>0</v>
      </c>
      <c r="P1228">
        <f>IF(B1253=0,0,O1228/B1253)</f>
        <v/>
      </c>
      <c r="Q1228">
        <f>IFERROR(1/IF(Inputs!$B$4="pvp",15,MAX(0.1,Skills!D19-IF(Skills!E19=TRUE,Inputs!$B$31,0))),0)</f>
        <v/>
      </c>
      <c r="R1228">
        <f>IF(AND(Inputs!$B$4&lt;&gt;"pvp",Inputs!$B$35&gt;0),(INT(Inputs!$B$35/IF(Inputs!$B$4="pvp",15,MAX(0.1,Skills!D19-IF(Skills!E19=TRUE,Inputs!$B$31,0))))+1),0)</f>
        <v/>
      </c>
      <c r="S1228">
        <f>IFERROR(O1228/N1228,0)</f>
        <v/>
      </c>
    </row>
    <row r="1229">
      <c r="A1229">
        <f>Skills!A20</f>
        <v/>
      </c>
      <c r="B1229">
        <f>Skills!B20</f>
        <v/>
      </c>
      <c r="C1229">
        <f>Inputs!$B$3&gt;=15</f>
        <v/>
      </c>
      <c r="D1229">
        <f>IF(Skills!C20=1,60+Inputs!$B$24+Inputs!$B$28,IF(Skills!C20=2,90+Inputs!$B$25+Inputs!$B$28,IF(Skills!C20=3,120+Inputs!$B$26+Inputs!$B$28,MAX(0,(Inputs!$B$3-100)*3)+Inputs!$B$27+Inputs!$B$28)))</f>
        <v/>
      </c>
      <c r="E1229">
        <f>INDEX(FactorTable!$B$2:$Y$301, MATCH(ROUND(MIN(300,MAX(1,D1229)),0), FactorTable!$A$2:$A$301,0), Skills!M20+1)</f>
        <v/>
      </c>
      <c r="F1229">
        <f>IF(Skills!N20=TRUE,(Skills!L20/10)*(E1229/1000),Skills!L20/10)+Skills!O20</f>
        <v/>
      </c>
      <c r="G1229">
        <f>Calc!G20</f>
        <v/>
      </c>
      <c r="H1229">
        <f>Calc!H20</f>
        <v/>
      </c>
      <c r="I1229">
        <f>IF(Skills!AA20&lt;&gt;"",1+(Skills!AA20/10)*(U1212/1000)/100,1)</f>
        <v/>
      </c>
      <c r="J1229" t="inlineStr"/>
      <c r="K1229" t="inlineStr"/>
      <c r="L1229" t="inlineStr"/>
      <c r="M1229" t="inlineStr"/>
      <c r="N1229" t="inlineStr"/>
      <c r="O1229" t="n">
        <v>0</v>
      </c>
      <c r="P1229">
        <f>IF(B1253=0,0,O1229/B1253)</f>
        <v/>
      </c>
      <c r="Q1229">
        <f>IFERROR(1/IF(Inputs!$B$4="pvp",15,MAX(0.1,Skills!D20-IF(Skills!E20=TRUE,Inputs!$B$31,0))),0)</f>
        <v/>
      </c>
      <c r="R1229">
        <f>IF(AND(Inputs!$B$4&lt;&gt;"pvp",Inputs!$B$35&gt;0),(INT(Inputs!$B$35/IF(Inputs!$B$4="pvp",15,MAX(0.1,Skills!D20-IF(Skills!E20=TRUE,Inputs!$B$31,0))))+1),0)</f>
        <v/>
      </c>
      <c r="S1229">
        <f>IFERROR(O1229/N1229,0)</f>
        <v/>
      </c>
    </row>
    <row r="1230">
      <c r="A1230">
        <f>Skills!A21</f>
        <v/>
      </c>
      <c r="B1230">
        <f>Skills!B21</f>
        <v/>
      </c>
      <c r="C1230">
        <f>Inputs!$B$3&gt;=15</f>
        <v/>
      </c>
      <c r="D1230">
        <f>IF(Skills!C21=1,60+Inputs!$B$24+Inputs!$B$28,IF(Skills!C21=2,90+Inputs!$B$25+Inputs!$B$28,IF(Skills!C21=3,120+Inputs!$B$26+Inputs!$B$28,MAX(0,(Inputs!$B$3-100)*3)+Inputs!$B$27+Inputs!$B$28)))</f>
        <v/>
      </c>
      <c r="E1230">
        <f>INDEX(FactorTable!$B$2:$Y$301, MATCH(ROUND(MIN(300,MAX(1,D1230)),0), FactorTable!$A$2:$A$301,0), Skills!M21+1)</f>
        <v/>
      </c>
      <c r="F1230">
        <f>IF(Skills!N21=TRUE,(Skills!L21/10)*(E1230/1000),Skills!L21/10)+Skills!O21</f>
        <v/>
      </c>
      <c r="G1230">
        <f>Calc!G21</f>
        <v/>
      </c>
      <c r="H1230">
        <f>Calc!H21</f>
        <v/>
      </c>
      <c r="I1230">
        <f>IF(Skills!AA21&lt;&gt;"",1+(Skills!AA21/10)*(U1212/1000)/100,1)</f>
        <v/>
      </c>
      <c r="J1230" t="inlineStr"/>
      <c r="K1230" t="inlineStr"/>
      <c r="L1230" t="inlineStr"/>
      <c r="M1230" t="inlineStr"/>
      <c r="N1230" t="inlineStr"/>
      <c r="O1230" t="n">
        <v>0</v>
      </c>
      <c r="P1230">
        <f>IF(B1253=0,0,O1230/B1253)</f>
        <v/>
      </c>
      <c r="Q1230">
        <f>IFERROR(1/IF(Inputs!$B$4="pvp",15,MAX(0.1,Skills!D21-IF(Skills!E21=TRUE,Inputs!$B$31,0))),0)</f>
        <v/>
      </c>
      <c r="R1230">
        <f>IF(AND(Inputs!$B$4&lt;&gt;"pvp",Inputs!$B$35&gt;0),(INT(Inputs!$B$35/IF(Inputs!$B$4="pvp",15,MAX(0.1,Skills!D21-IF(Skills!E21=TRUE,Inputs!$B$31,0))))+1),0)</f>
        <v/>
      </c>
      <c r="S1230">
        <f>IFERROR(O1230/N1230,0)</f>
        <v/>
      </c>
    </row>
    <row r="1231">
      <c r="A1231">
        <f>Skills!A22</f>
        <v/>
      </c>
      <c r="B1231">
        <f>Skills!B22</f>
        <v/>
      </c>
      <c r="C1231">
        <f>Inputs!$B$3&gt;=33</f>
        <v/>
      </c>
      <c r="D1231">
        <f>IF(Skills!C22=1,60+Inputs!$B$24+Inputs!$B$28,IF(Skills!C22=2,90+Inputs!$B$25+Inputs!$B$28,IF(Skills!C22=3,120+Inputs!$B$26+Inputs!$B$28,MAX(0,(Inputs!$B$3-100)*3)+Inputs!$B$27+Inputs!$B$28)))</f>
        <v/>
      </c>
      <c r="E1231">
        <f>INDEX(FactorTable!$B$2:$Y$301, MATCH(ROUND(MIN(300,MAX(1,D1231)),0), FactorTable!$A$2:$A$301,0), Skills!M22+1)</f>
        <v/>
      </c>
      <c r="F1231">
        <f>IF(Skills!N22=TRUE,(Skills!L22/10)*(E1231/1000),Skills!L22/10)+Skills!O22</f>
        <v/>
      </c>
      <c r="G1231">
        <f>Calc!G22</f>
        <v/>
      </c>
      <c r="H1231">
        <f>Calc!H22</f>
        <v/>
      </c>
      <c r="I1231">
        <f>IF(Skills!AA22&lt;&gt;"",1+(Skills!AA22/10)*(U1212/1000)/100,1)</f>
        <v/>
      </c>
      <c r="J1231" t="inlineStr"/>
      <c r="K1231" t="inlineStr"/>
      <c r="L1231" t="inlineStr"/>
      <c r="M1231" t="inlineStr"/>
      <c r="N1231" t="inlineStr"/>
      <c r="O1231" t="n">
        <v>0</v>
      </c>
      <c r="P1231">
        <f>IF(B1253=0,0,O1231/B1253)</f>
        <v/>
      </c>
      <c r="Q1231" t="n">
        <v>0</v>
      </c>
      <c r="R1231" t="n">
        <v>0</v>
      </c>
      <c r="S1231">
        <f>IFERROR(O1231/N1231,0)</f>
        <v/>
      </c>
    </row>
    <row r="1232">
      <c r="A1232">
        <f>Skills!A23</f>
        <v/>
      </c>
      <c r="B1232">
        <f>Skills!B23</f>
        <v/>
      </c>
      <c r="C1232">
        <f>Inputs!$B$3&gt;=38</f>
        <v/>
      </c>
      <c r="D1232">
        <f>IF(Skills!C23=1,60+Inputs!$B$24+Inputs!$B$28,IF(Skills!C23=2,90+Inputs!$B$25+Inputs!$B$28,IF(Skills!C23=3,120+Inputs!$B$26+Inputs!$B$28,MAX(0,(Inputs!$B$3-100)*3)+Inputs!$B$27+Inputs!$B$28)))</f>
        <v/>
      </c>
      <c r="E1232">
        <f>INDEX(FactorTable!$B$2:$Y$301, MATCH(ROUND(MIN(300,MAX(1,D1232)),0), FactorTable!$A$2:$A$301,0), Skills!M23+1)</f>
        <v/>
      </c>
      <c r="F1232">
        <f>IF(Skills!N23=TRUE,(Skills!L23/10)*(E1232/1000),Skills!L23/10)+Skills!O23</f>
        <v/>
      </c>
      <c r="G1232">
        <f>Calc!G23</f>
        <v/>
      </c>
      <c r="H1232">
        <f>Calc!H23</f>
        <v/>
      </c>
      <c r="I1232">
        <f>IF(Skills!AA23&lt;&gt;"",1+(Skills!AA23/10)*(U1212/1000)/100,1)</f>
        <v/>
      </c>
      <c r="J1232" t="inlineStr"/>
      <c r="K1232" t="inlineStr"/>
      <c r="L1232" t="inlineStr"/>
      <c r="M1232" t="inlineStr"/>
      <c r="N1232" t="inlineStr"/>
      <c r="O1232" t="n">
        <v>0</v>
      </c>
      <c r="P1232">
        <f>IF(B1253=0,0,O1232/B1253)</f>
        <v/>
      </c>
      <c r="Q1232" t="n">
        <v>0</v>
      </c>
      <c r="R1232" t="n">
        <v>0</v>
      </c>
      <c r="S1232">
        <f>IFERROR(O1232/N1232,0)</f>
        <v/>
      </c>
    </row>
    <row r="1233">
      <c r="A1233">
        <f>Skills!A24</f>
        <v/>
      </c>
      <c r="B1233">
        <f>Skills!B24</f>
        <v/>
      </c>
      <c r="C1233">
        <f>Inputs!$B$3&gt;=40</f>
        <v/>
      </c>
      <c r="D1233">
        <f>IF(Skills!C24=1,60+Inputs!$B$24+Inputs!$B$28,IF(Skills!C24=2,90+Inputs!$B$25+Inputs!$B$28,IF(Skills!C24=3,120+Inputs!$B$26+Inputs!$B$28,MAX(0,(Inputs!$B$3-100)*3)+Inputs!$B$27+Inputs!$B$28)))</f>
        <v/>
      </c>
      <c r="E1233">
        <f>INDEX(FactorTable!$B$2:$Y$301, MATCH(ROUND(MIN(300,MAX(1,D1233)),0), FactorTable!$A$2:$A$301,0), Skills!M24+1)</f>
        <v/>
      </c>
      <c r="F1233">
        <f>IF(Skills!N24=TRUE,(Skills!L24/10)*(E1233/1000),Skills!L24/10)+Skills!O24</f>
        <v/>
      </c>
      <c r="G1233">
        <f>Calc!G24</f>
        <v/>
      </c>
      <c r="H1233">
        <f>Calc!H24</f>
        <v/>
      </c>
      <c r="I1233">
        <f>IF(Skills!AA24&lt;&gt;"",1+(Skills!AA24/10)*(U1212/1000)/100,1)</f>
        <v/>
      </c>
      <c r="J1233" t="inlineStr"/>
      <c r="K1233" t="inlineStr"/>
      <c r="L1233" t="inlineStr"/>
      <c r="M1233" t="inlineStr"/>
      <c r="N1233" t="inlineStr"/>
      <c r="O1233" t="n">
        <v>0</v>
      </c>
      <c r="P1233">
        <f>IF(B1253=0,0,O1233/B1253)</f>
        <v/>
      </c>
      <c r="Q1233" t="n">
        <v>0</v>
      </c>
      <c r="R1233" t="n">
        <v>0</v>
      </c>
      <c r="S1233">
        <f>IFERROR(O1233/N1233,0)</f>
        <v/>
      </c>
    </row>
    <row r="1234">
      <c r="A1234">
        <f>Skills!A25</f>
        <v/>
      </c>
      <c r="B1234">
        <f>Skills!B25</f>
        <v/>
      </c>
      <c r="C1234">
        <f>Inputs!$B$3&gt;=45</f>
        <v/>
      </c>
      <c r="D1234">
        <f>IF(Skills!C25=1,60+Inputs!$B$24+Inputs!$B$28,IF(Skills!C25=2,90+Inputs!$B$25+Inputs!$B$28,IF(Skills!C25=3,120+Inputs!$B$26+Inputs!$B$28,MAX(0,(Inputs!$B$3-100)*3)+Inputs!$B$27+Inputs!$B$28)))</f>
        <v/>
      </c>
      <c r="E1234">
        <f>INDEX(FactorTable!$B$2:$Y$301, MATCH(ROUND(MIN(300,MAX(1,D1234)),0), FactorTable!$A$2:$A$301,0), Skills!M25+1)</f>
        <v/>
      </c>
      <c r="F1234">
        <f>IF(Skills!N25=TRUE,(Skills!L25/10)*(E1234/1000),Skills!L25/10)+Skills!O25</f>
        <v/>
      </c>
      <c r="G1234">
        <f>Calc!G25</f>
        <v/>
      </c>
      <c r="H1234">
        <f>Calc!H25</f>
        <v/>
      </c>
      <c r="I1234">
        <f>IF(Skills!AA25&lt;&gt;"",1+(Skills!AA25/10)*(U1212/1000)/100,1)</f>
        <v/>
      </c>
      <c r="J1234" t="inlineStr"/>
      <c r="K1234" t="inlineStr"/>
      <c r="L1234" t="inlineStr"/>
      <c r="M1234" t="inlineStr"/>
      <c r="N1234" t="inlineStr"/>
      <c r="O1234" t="n">
        <v>0</v>
      </c>
      <c r="P1234">
        <f>IF(B1253=0,0,O1234/B1253)</f>
        <v/>
      </c>
      <c r="Q1234" t="n">
        <v>0</v>
      </c>
      <c r="R1234" t="n">
        <v>0</v>
      </c>
      <c r="S1234">
        <f>IFERROR(O1234/N1234,0)</f>
        <v/>
      </c>
    </row>
    <row r="1235">
      <c r="A1235">
        <f>Skills!A26</f>
        <v/>
      </c>
      <c r="B1235">
        <f>Skills!B26</f>
        <v/>
      </c>
      <c r="C1235">
        <f>Inputs!$B$3&gt;=45</f>
        <v/>
      </c>
      <c r="D1235">
        <f>IF(Skills!C26=1,60+Inputs!$B$24+Inputs!$B$28,IF(Skills!C26=2,90+Inputs!$B$25+Inputs!$B$28,IF(Skills!C26=3,120+Inputs!$B$26+Inputs!$B$28,MAX(0,(Inputs!$B$3-100)*3)+Inputs!$B$27+Inputs!$B$28)))</f>
        <v/>
      </c>
      <c r="E1235">
        <f>INDEX(FactorTable!$B$2:$Y$301, MATCH(ROUND(MIN(300,MAX(1,D1235)),0), FactorTable!$A$2:$A$301,0), Skills!M26+1)</f>
        <v/>
      </c>
      <c r="F1235">
        <f>IF(Skills!N26=TRUE,(Skills!L26/10)*(E1235/1000),Skills!L26/10)+Skills!O26</f>
        <v/>
      </c>
      <c r="G1235">
        <f>Calc!G26</f>
        <v/>
      </c>
      <c r="H1235">
        <f>Calc!H26</f>
        <v/>
      </c>
      <c r="I1235">
        <f>IF(Skills!AA26&lt;&gt;"",1+(Skills!AA26/10)*(U1212/1000)/100,1)</f>
        <v/>
      </c>
      <c r="J1235" t="inlineStr"/>
      <c r="K1235" t="inlineStr"/>
      <c r="L1235" t="inlineStr"/>
      <c r="M1235" t="inlineStr"/>
      <c r="N1235" t="inlineStr"/>
      <c r="O1235" t="n">
        <v>0</v>
      </c>
      <c r="P1235">
        <f>IF(B1253=0,0,O1235/B1253)</f>
        <v/>
      </c>
      <c r="Q1235" t="n">
        <v>0</v>
      </c>
      <c r="R1235" t="n">
        <v>0</v>
      </c>
      <c r="S1235">
        <f>IFERROR(O1235/N1235,0)</f>
        <v/>
      </c>
    </row>
    <row r="1236">
      <c r="A1236">
        <f>Skills!A27</f>
        <v/>
      </c>
      <c r="B1236">
        <f>Skills!B27</f>
        <v/>
      </c>
      <c r="C1236">
        <f>Inputs!$B$3&gt;=72</f>
        <v/>
      </c>
      <c r="D1236">
        <f>IF(Skills!C27=1,60+Inputs!$B$24+Inputs!$B$28,IF(Skills!C27=2,90+Inputs!$B$25+Inputs!$B$28,IF(Skills!C27=3,120+Inputs!$B$26+Inputs!$B$28,MAX(0,(Inputs!$B$3-100)*3)+Inputs!$B$27+Inputs!$B$28)))</f>
        <v/>
      </c>
      <c r="E1236">
        <f>INDEX(FactorTable!$B$2:$Y$301, MATCH(ROUND(MIN(300,MAX(1,D1236)),0), FactorTable!$A$2:$A$301,0), Skills!M27+1)</f>
        <v/>
      </c>
      <c r="F1236">
        <f>IF(Skills!N27=TRUE,(Skills!L27/10)*(E1236/1000),Skills!L27/10)+Skills!O27</f>
        <v/>
      </c>
      <c r="G1236">
        <f>Calc!G27</f>
        <v/>
      </c>
      <c r="H1236">
        <f>Calc!H27</f>
        <v/>
      </c>
      <c r="I1236">
        <f>IF(Skills!AA27&lt;&gt;"",1+(Skills!AA27/10)*(U1212/1000)/100,1)</f>
        <v/>
      </c>
      <c r="J1236" t="inlineStr"/>
      <c r="K1236" t="inlineStr"/>
      <c r="L1236" t="inlineStr"/>
      <c r="M1236" t="inlineStr"/>
      <c r="N1236" t="inlineStr"/>
      <c r="O1236" t="n">
        <v>0</v>
      </c>
      <c r="P1236">
        <f>IF(B1253=0,0,O1236/B1253)</f>
        <v/>
      </c>
      <c r="Q1236" t="n">
        <v>0</v>
      </c>
      <c r="R1236" t="n">
        <v>0</v>
      </c>
      <c r="S1236">
        <f>IFERROR(O1236/N1236,0)</f>
        <v/>
      </c>
    </row>
    <row r="1237">
      <c r="A1237">
        <f>Skills!A28</f>
        <v/>
      </c>
      <c r="B1237">
        <f>Skills!B28</f>
        <v/>
      </c>
      <c r="C1237">
        <f>Inputs!$B$3&gt;=75</f>
        <v/>
      </c>
      <c r="D1237">
        <f>IF(Skills!C28=1,60+Inputs!$B$24+Inputs!$B$28,IF(Skills!C28=2,90+Inputs!$B$25+Inputs!$B$28,IF(Skills!C28=3,120+Inputs!$B$26+Inputs!$B$28,MAX(0,(Inputs!$B$3-100)*3)+Inputs!$B$27+Inputs!$B$28)))</f>
        <v/>
      </c>
      <c r="E1237">
        <f>INDEX(FactorTable!$B$2:$Y$301, MATCH(ROUND(MIN(300,MAX(1,D1237)),0), FactorTable!$A$2:$A$301,0), Skills!M28+1)</f>
        <v/>
      </c>
      <c r="F1237">
        <f>IF(Skills!N28=TRUE,(Skills!L28/10)*(E1237/1000),Skills!L28/10)+Skills!O28</f>
        <v/>
      </c>
      <c r="G1237">
        <f>Calc!G28</f>
        <v/>
      </c>
      <c r="H1237">
        <f>Calc!H28</f>
        <v/>
      </c>
      <c r="I1237">
        <f>IF(Skills!AA28&lt;&gt;"",1+(Skills!AA28/10)*(U1212/1000)/100,1)</f>
        <v/>
      </c>
      <c r="J1237" t="inlineStr"/>
      <c r="K1237" t="inlineStr"/>
      <c r="L1237" t="inlineStr"/>
      <c r="M1237" t="inlineStr"/>
      <c r="N1237" t="inlineStr"/>
      <c r="O1237" t="n">
        <v>0</v>
      </c>
      <c r="P1237">
        <f>IF(B1253=0,0,O1237/B1253)</f>
        <v/>
      </c>
      <c r="Q1237" t="n">
        <v>0</v>
      </c>
      <c r="R1237" t="n">
        <v>0</v>
      </c>
      <c r="S1237">
        <f>IFERROR(O1237/N1237,0)</f>
        <v/>
      </c>
    </row>
    <row r="1238">
      <c r="A1238">
        <f>Skills!A29</f>
        <v/>
      </c>
      <c r="B1238">
        <f>Skills!B29</f>
        <v/>
      </c>
      <c r="C1238">
        <f>Inputs!$B$3&gt;=120</f>
        <v/>
      </c>
      <c r="D1238">
        <f>IF(Skills!C29=1,60+Inputs!$B$24+Inputs!$B$28,IF(Skills!C29=2,90+Inputs!$B$25+Inputs!$B$28,IF(Skills!C29=3,120+Inputs!$B$26+Inputs!$B$28,MAX(0,(Inputs!$B$3-100)*3)+Inputs!$B$27+Inputs!$B$28)))</f>
        <v/>
      </c>
      <c r="E1238">
        <f>INDEX(FactorTable!$B$2:$Y$301, MATCH(ROUND(MIN(300,MAX(1,D1238)),0), FactorTable!$A$2:$A$301,0), Skills!M29+1)</f>
        <v/>
      </c>
      <c r="F1238">
        <f>IF(Skills!N29=TRUE,(Skills!L29/10)*(E1238/1000),Skills!L29/10)+Skills!O29</f>
        <v/>
      </c>
      <c r="G1238">
        <f>Calc!G29</f>
        <v/>
      </c>
      <c r="H1238">
        <f>Calc!H29</f>
        <v/>
      </c>
      <c r="I1238">
        <f>IF(Skills!AA29&lt;&gt;"",1+(Skills!AA29/10)*(U1212/1000)/100,1)</f>
        <v/>
      </c>
      <c r="J1238" t="inlineStr"/>
      <c r="K1238" t="inlineStr"/>
      <c r="L1238" t="inlineStr"/>
      <c r="M1238" t="inlineStr"/>
      <c r="N1238" t="inlineStr"/>
      <c r="O1238" t="n">
        <v>0</v>
      </c>
      <c r="P1238">
        <f>IF(B1253=0,0,O1238/B1253)</f>
        <v/>
      </c>
      <c r="Q1238" t="n">
        <v>0</v>
      </c>
      <c r="R1238" t="n">
        <v>0</v>
      </c>
      <c r="S1238">
        <f>IFERROR(O1238/N1238,0)</f>
        <v/>
      </c>
    </row>
    <row r="1239">
      <c r="A1239">
        <f>Skills!A30</f>
        <v/>
      </c>
      <c r="B1239">
        <f>Skills!B30</f>
        <v/>
      </c>
      <c r="C1239">
        <f>Inputs!$B$3&gt;=125</f>
        <v/>
      </c>
      <c r="D1239">
        <f>IF(Skills!C30=1,60+Inputs!$B$24+Inputs!$B$28,IF(Skills!C30=2,90+Inputs!$B$25+Inputs!$B$28,IF(Skills!C30=3,120+Inputs!$B$26+Inputs!$B$28,MAX(0,(Inputs!$B$3-100)*3)+Inputs!$B$27+Inputs!$B$28)))</f>
        <v/>
      </c>
      <c r="E1239">
        <f>INDEX(FactorTable!$B$2:$Y$301, MATCH(ROUND(MIN(300,MAX(1,D1239)),0), FactorTable!$A$2:$A$301,0), Skills!M30+1)</f>
        <v/>
      </c>
      <c r="F1239">
        <f>IF(Skills!N30=TRUE,(Skills!L30/10)*(E1239/1000),Skills!L30/10)+Skills!O30</f>
        <v/>
      </c>
      <c r="G1239">
        <f>Calc!G30</f>
        <v/>
      </c>
      <c r="H1239">
        <f>Calc!H30</f>
        <v/>
      </c>
      <c r="I1239">
        <f>IF(Skills!AA30&lt;&gt;"",1+(Skills!AA30/10)*(U1212/1000)/100,1)</f>
        <v/>
      </c>
      <c r="J1239" t="inlineStr"/>
      <c r="K1239" t="inlineStr"/>
      <c r="L1239" t="inlineStr"/>
      <c r="M1239" t="inlineStr"/>
      <c r="N1239" t="inlineStr"/>
      <c r="O1239" t="n">
        <v>0</v>
      </c>
      <c r="P1239">
        <f>IF(B1253=0,0,O1239/B1253)</f>
        <v/>
      </c>
      <c r="Q1239" t="n">
        <v>0</v>
      </c>
      <c r="R1239" t="n">
        <v>0</v>
      </c>
      <c r="S1239">
        <f>IFERROR(O1239/N1239,0)</f>
        <v/>
      </c>
    </row>
    <row r="1240">
      <c r="A1240">
        <f>Skills!A31</f>
        <v/>
      </c>
      <c r="B1240">
        <f>Skills!B31</f>
        <v/>
      </c>
      <c r="C1240">
        <f>Inputs!$B$3&gt;=107</f>
        <v/>
      </c>
      <c r="D1240">
        <f>IF(Skills!C31=1,60+Inputs!$B$24+Inputs!$B$28,IF(Skills!C31=2,90+Inputs!$B$25+Inputs!$B$28,IF(Skills!C31=3,120+Inputs!$B$26+Inputs!$B$28,MAX(0,(Inputs!$B$3-100)*3)+Inputs!$B$27+Inputs!$B$28)))</f>
        <v/>
      </c>
      <c r="E1240">
        <f>INDEX(FactorTable!$B$2:$Y$301, MATCH(ROUND(MIN(300,MAX(1,D1240)),0), FactorTable!$A$2:$A$301,0), Skills!M31+1)</f>
        <v/>
      </c>
      <c r="F1240">
        <f>IF(Skills!N31=TRUE,(Skills!L31/10)*(E1240/1000),Skills!L31/10)+Skills!O31</f>
        <v/>
      </c>
      <c r="G1240">
        <f>Calc!G31</f>
        <v/>
      </c>
      <c r="H1240">
        <f>Calc!H31</f>
        <v/>
      </c>
      <c r="I1240">
        <f>IF(Skills!AA31&lt;&gt;"",1+(Skills!AA31/10)*(U1212/1000)/100,1)</f>
        <v/>
      </c>
      <c r="J1240" t="inlineStr"/>
      <c r="K1240" t="inlineStr"/>
      <c r="L1240" t="inlineStr"/>
      <c r="M1240" t="inlineStr"/>
      <c r="N1240" t="inlineStr"/>
      <c r="O1240" t="n">
        <v>0</v>
      </c>
      <c r="P1240">
        <f>IF(B1253=0,0,O1240/B1253)</f>
        <v/>
      </c>
      <c r="Q1240" t="n">
        <v>0</v>
      </c>
      <c r="R1240" t="n">
        <v>0</v>
      </c>
      <c r="S1240">
        <f>IFERROR(O1240/N1240,0)</f>
        <v/>
      </c>
    </row>
    <row r="1242">
      <c r="A1242" t="inlineStr">
        <is>
          <t>Actions Per Second (pre-Adrenalin)</t>
        </is>
      </c>
      <c r="B1242">
        <f>1+MIN(150,150*(1-(1-(Inputs!$B$10+((C1231=TRUE)*(F1231-Calc!F22)))/150)*(1-((C1228=TRUE)*F1228*IF(AND(Inputs!$B$4&lt;&gt;"pvp",Inputs!$B$35&gt;0),(((S1228-1)*(Skills!Y19*(1+(Inputs!$B$33+1)/100))+MIN((Skills!Y19*(1+(Inputs!$B$33+1)/100)),MAX(0,Inputs!$B$35-((S1228-1)*Skills!D19))))/Inputs!$B$35),IF(Inputs!$B$4="pvp",MIN((Skills!Y19*(1+(Inputs!$B$33+1)/100)),15)/15,(Skills!Y19*(1+(Inputs!$B$33+1)/100))/Skills!D19)))/150)))/100</f>
        <v/>
      </c>
    </row>
    <row r="1243">
      <c r="A1243" t="inlineStr">
        <is>
          <t>Alchemic Adrenaline Uptime</t>
        </is>
      </c>
      <c r="B1243">
        <f>(Skills!Y6*(1+(Inputs!$B$33+1)/100))/((Skills!Y6*(1+(Inputs!$B$33+1)/100))+(5/B1242))</f>
        <v/>
      </c>
    </row>
    <row r="1244">
      <c r="A1244" t="inlineStr">
        <is>
          <t>Attack Speed Buff Bonus %</t>
        </is>
      </c>
      <c r="B1244">
        <f>((C1228=TRUE)*F1228*IF(AND(Inputs!$B$4&lt;&gt;"pvp",Inputs!$B$35&gt;0),(((S1228-1)*(Skills!Y19*(1+(Inputs!$B$33+1)/100))+MIN((Skills!Y19*(1+(Inputs!$B$33+1)/100)),MAX(0,Inputs!$B$35-((S1228-1)*Skills!D19))))/Inputs!$B$35),IF(Inputs!$B$4="pvp",MIN((Skills!Y19*(1+(Inputs!$B$33+1)/100)),15)/15,(Skills!Y19*(1+(Inputs!$B$33+1)/100))/Skills!D19)))+((C1216=TRUE)*F1216*B1243)</f>
        <v/>
      </c>
    </row>
    <row r="1245">
      <c r="A1245" t="inlineStr">
        <is>
          <t>Actions Per Second (final)</t>
        </is>
      </c>
      <c r="B1245">
        <f>1+MIN(150,150*(1-(1-(Inputs!$B$10+((C1231=TRUE)*(F1231-Calc!F22)))/150)*(1-B1244/150)))/100</f>
        <v/>
      </c>
    </row>
    <row r="1246">
      <c r="A1246" t="inlineStr">
        <is>
          <t>Skill + Buff Cast Rate</t>
        </is>
      </c>
      <c r="B1246">
        <f>IF(AND(Inputs!$B$4&lt;&gt;"pvp",Inputs!$B$35&gt;0),SUMPRODUCT((Skills!E2:E31=TRUE)*(C1211:C1240=TRUE)*R1211:R1240*Skills!F2:F31)/Inputs!$B$35,SUMPRODUCT((Skills!E2:E31=TRUE)*(C1211:C1240=TRUE)*Q1211:Q1240*Skills!F2:F31))</f>
        <v/>
      </c>
    </row>
    <row r="1247">
      <c r="A1247" t="inlineStr">
        <is>
          <t>Showdown Casts Per Second</t>
        </is>
      </c>
      <c r="B1247">
        <f>MAX(0,B1245-B1246)</f>
        <v/>
      </c>
    </row>
    <row r="1248">
      <c r="A1248" t="inlineStr">
        <is>
          <t>Average Buff Multiplier</t>
        </is>
      </c>
      <c r="B1248">
        <f>(1+(((C1230=TRUE)*F1230*IF(AND(Inputs!$B$4&lt;&gt;"pvp",Inputs!$B$35&gt;0),(((S1230-1)*(Skills!Y21*(1+(Inputs!$B$33+1)/100))+MIN((Skills!Y21*(1+(Inputs!$B$33+1)/100)),MAX(0,Inputs!$B$35-((S1230-1)*Skills!D21))))/Inputs!$B$35),IF(Inputs!$B$4="pvp",MIN((Skills!Y21*(1+(Inputs!$B$33+1)/100)),15)/15,(Skills!Y21*(1+(Inputs!$B$33+1)/100))/Skills!D21)))+((C1237=TRUE)*(F1237-Calc!F28))+((C1227=TRUE)*(F1227-Calc!F18)))/100)*(1+((C1224=TRUE)*F1224*IF(AND(Inputs!$B$4&lt;&gt;"pvp",Inputs!$B$35&gt;0),(((S1224-1)*(Skills!Y15*(1+(Inputs!$B$33+1)/100))+MIN((Skills!Y15*(1+(Inputs!$B$33+1)/100)),MAX(0,Inputs!$B$35-((S1224-1)*Skills!D15))))/Inputs!$B$35),IF(Inputs!$B$4="pvp",MIN((Skills!Y15*(1+(Inputs!$B$33+1)/100)),15)/15,(Skills!Y15*(1+(Inputs!$B$33+1)/100))/Skills!D15)))/100)*(1+((C1215=TRUE)*F1215*B1243)/100)</f>
        <v/>
      </c>
    </row>
    <row r="1249">
      <c r="A1249" t="inlineStr">
        <is>
          <t>Global Crit Rate Bonus %</t>
        </is>
      </c>
      <c r="B1249">
        <f>IF(Inputs!$B$3&gt;=47,8,0)+((C1229=TRUE)*F1229*IF(AND(Inputs!$B$4&lt;&gt;"pvp",Inputs!$B$35&gt;0),(((S1229-1)*(Skills!Y20*(1+(Inputs!$B$33+1)/100))+MIN((Skills!Y20*(1+(Inputs!$B$33+1)/100)),MAX(0,Inputs!$B$35-((S1229-1)*Skills!D20))))/Inputs!$B$35),IF(Inputs!$B$4="pvp",MIN((Skills!Y20*(1+(Inputs!$B$33+1)/100)),15)/15,(Skills!Y20*(1+(Inputs!$B$33+1)/100))/Skills!D20)))</f>
        <v/>
      </c>
    </row>
    <row r="1250">
      <c r="A1250" t="inlineStr">
        <is>
          <t>Global Monster Damage-Taken Bonus %</t>
        </is>
      </c>
      <c r="B1250">
        <f>IF(Inputs!$B$3&gt;=82,15,0)+((C1225=TRUE)*F1225*IF(AND(Inputs!$B$4&lt;&gt;"pvp",Inputs!$B$35&gt;0),(((S1225-1)*(Skills!Y16*(1+(Inputs!$B$33+1)/100))+MIN((Skills!Y16*(1+(Inputs!$B$33+1)/100)),MAX(0,Inputs!$B$35-((S1225-1)*Skills!D16))))/Inputs!$B$35),IF(Inputs!$B$4="pvp",MIN((Skills!Y16*(1+(Inputs!$B$33+1)/100)),15)/15,(Skills!Y16*(1+(Inputs!$B$33+1)/100))/Skills!D16)))</f>
        <v/>
      </c>
    </row>
    <row r="1251">
      <c r="A1251" t="inlineStr">
        <is>
          <t>Shadow Partner Average Multiplier</t>
        </is>
      </c>
      <c r="B1251">
        <f>1+((C1220=TRUE)*F1220*I1220*Skills!J11/100)/100</f>
        <v/>
      </c>
    </row>
    <row r="1252">
      <c r="A1252" t="inlineStr">
        <is>
          <t>Global Critical Damage Bonus % (Frailty Curse Mastery Lv.111)</t>
        </is>
      </c>
      <c r="B1252">
        <f>IF(Inputs!$B$3&gt;=111,30,0)*IF(AND(Inputs!$B$4&lt;&gt;"pvp",Inputs!$B$35&gt;0),(((S1225-1)*(Skills!Y16*(1+(Inputs!$B$33+1)/100))+MIN((Skills!Y16*(1+(Inputs!$B$33+1)/100)),MAX(0,Inputs!$B$35-((S1225-1)*Skills!D16))))/Inputs!$B$35),IF(Inputs!$B$4="pvp",MIN((Skills!Y16*(1+(Inputs!$B$33+1)/100)),15)/15,(Skills!Y16*(1+(Inputs!$B$33+1)/100))/Skills!D16))</f>
        <v/>
      </c>
    </row>
    <row r="1253">
      <c r="A1253" s="5" t="inlineStr">
        <is>
          <t>TOTAL DPS</t>
        </is>
      </c>
      <c r="B1253" s="5">
        <f>SUM(O1211:O1240)</f>
        <v/>
      </c>
    </row>
    <row r="1256">
      <c r="A1256" s="5" t="inlineStr">
        <is>
          <t>Stat: Incoming Hit Rate (hits/sec, Shadow Shifter only)</t>
        </is>
      </c>
    </row>
    <row r="1257">
      <c r="A1257" s="8" t="inlineStr">
        <is>
          <t>Key</t>
        </is>
      </c>
      <c r="B1257" s="8" t="inlineStr">
        <is>
          <t>Name</t>
        </is>
      </c>
      <c r="C1257" s="8" t="inlineStr">
        <is>
          <t>Unlocked</t>
        </is>
      </c>
      <c r="D1257" s="8" t="inlineStr">
        <is>
          <t>InputLevel</t>
        </is>
      </c>
      <c r="E1257" s="8" t="inlineStr">
        <is>
          <t>Factor</t>
        </is>
      </c>
      <c r="F1257" s="8" t="inlineStr">
        <is>
          <t>CoefficientPercent</t>
        </is>
      </c>
      <c r="G1257" s="8" t="inlineStr">
        <is>
          <t>EffectiveHits</t>
        </is>
      </c>
      <c r="H1257" s="8" t="inlineStr">
        <is>
          <t>ProcProbability</t>
        </is>
      </c>
      <c r="I1257" s="8" t="inlineStr">
        <is>
          <t>MapleHeroMultiplier</t>
        </is>
      </c>
      <c r="J1257" s="8" t="inlineStr">
        <is>
          <t>BaseDamage</t>
        </is>
      </c>
      <c r="K1257" s="8" t="inlineStr">
        <is>
          <t>BaseHitDamage</t>
        </is>
      </c>
      <c r="L1257" s="8" t="inlineStr">
        <is>
          <t>NonCritAvg</t>
        </is>
      </c>
      <c r="M1257" s="8" t="inlineStr">
        <is>
          <t>CritAvg</t>
        </is>
      </c>
      <c r="N1257" s="8" t="inlineStr">
        <is>
          <t>ExpectedDamage(perHit)</t>
        </is>
      </c>
      <c r="O1257" s="8" t="inlineStr">
        <is>
          <t>DPS</t>
        </is>
      </c>
      <c r="P1257" s="8" t="inlineStr">
        <is>
          <t>% of Total</t>
        </is>
      </c>
      <c r="Q1257" s="8" t="inlineStr">
        <is>
          <t>InvCooldown</t>
        </is>
      </c>
      <c r="R1257" s="8" t="inlineStr">
        <is>
          <t>CastsInFight</t>
        </is>
      </c>
      <c r="S1257" s="8" t="inlineStr">
        <is>
          <t>HitRate(perSec)</t>
        </is>
      </c>
      <c r="U1257" t="inlineStr">
        <is>
          <t>helpers</t>
        </is>
      </c>
    </row>
    <row r="1258">
      <c r="A1258">
        <f>Skills!A2</f>
        <v/>
      </c>
      <c r="B1258">
        <f>Skills!B2</f>
        <v/>
      </c>
      <c r="C1258">
        <f>Inputs!$B$3&gt;=100</f>
        <v/>
      </c>
      <c r="D1258" t="inlineStr"/>
      <c r="E1258" t="inlineStr"/>
      <c r="F1258">
        <f>U1262+Skills!O2</f>
        <v/>
      </c>
      <c r="G1258">
        <f>Calc!G2</f>
        <v/>
      </c>
      <c r="H1258">
        <f>Calc!H2</f>
        <v/>
      </c>
      <c r="I1258">
        <f>IF(Skills!AA2&lt;&gt;"",1+(Skills!AA2/10)*(U1259/1000)/100,1)</f>
        <v/>
      </c>
      <c r="J1258">
        <f>(Inputs!$B$5*(1+Inputs!$B$6/100))*(F1258/100)</f>
        <v/>
      </c>
      <c r="K1258">
        <f>J1258*(1+((Inputs!$B$11*(1+Inputs!$B$12/100))*0.01+Inputs!$B$13*0.0025)/100)*(1+Inputs!$B$14/100)*(1+IF(Inputs!$B$4="pvp",0,(1-Summary!$B$55)*(Inputs!$B$19+((C1283=TRUE)*(F1283-Calc!F27))+Skills!P2+B1297)+Summary!$B$55*(Inputs!$B$20+Skills!Q2+B1297))/100)*(1+Inputs!$B$15/100)*(5000/(6000+Inputs!$B$7*(1-Inputs!$B$18/100)))*(1+(Inputs!$B$23+((C1286=TRUE)*(F1286-Calc!F30)))/100)*(1+Skills!R2/100)*(1+(IF(Skills!A2="SHOWDOWN",Inputs!$B$16+((C1279=TRUE)*(F1279-Calc!F23)),Inputs!$B$17+((C1285=TRUE)*(F1285-Calc!F29))))/100)*(((1+(((C1277=TRUE)*F1277*IF(AND(Inputs!$B$4&lt;&gt;"pvp",Inputs!$B$35&gt;0),(((S1277-1)*(Skills!Y21*(1+Inputs!$B$33/100))+MIN((Skills!Y21*(1+Inputs!$B$33/100)),MAX(0,Inputs!$B$35-((S1277-1)*Skills!D21))))/Inputs!$B$35),IF(Inputs!$B$4="pvp",MIN((Skills!Y21*(1+Inputs!$B$33/100)),15)/15,(Skills!Y21*(1+Inputs!$B$33/100))/Skills!D21)))+((C1284=TRUE)*(F1284-Calc!F28))+((C1274=TRUE)*(F1274-Calc!F18)))/100)*(1+((C1271=TRUE)*F1271*IF(AND(Inputs!$B$4&lt;&gt;"pvp",Inputs!$B$35&gt;0),(((S1271-1)*(Skills!Y15*(1+Inputs!$B$33/100))+MIN((Skills!Y15*(1+Inputs!$B$33/100)),MAX(0,Inputs!$B$35-((S1271-1)*Skills!D15))))/Inputs!$B$35),IF(Inputs!$B$4="pvp",MIN((Skills!Y15*(1+Inputs!$B$33/100)),15)/15,(Skills!Y15*(1+Inputs!$B$33/100))/Skills!D15)))/100)*(1+((C1262=TRUE)*F1262*B1290)/100))*B1298*I1258)</f>
        <v/>
      </c>
      <c r="L1258">
        <f>K1258*(MIN(Inputs!$B$21+((C1280=TRUE)*(F1280-Calc!F24)),Inputs!$B$22)/100+Inputs!$B$22/100)/2</f>
        <v/>
      </c>
      <c r="M1258">
        <f>L1258*(1+(Inputs!$B$9+((C1282=TRUE)*(F1282-Calc!F26))+B1299)/100)</f>
        <v/>
      </c>
      <c r="N1258">
        <f>L1258*(1-MIN((Inputs!$B$8+((C1281=TRUE)*(F1281-Calc!F25))+B1296),100)/100)+M1258*(MIN((Inputs!$B$8+((C1281=TRUE)*(F1281-Calc!F25))+B1296),100)/100)</f>
        <v/>
      </c>
      <c r="O1258">
        <f>IF(C1258,Skills!G2*N1258*B1294*IF(Inputs!$B$4="pvp",1,(1-Summary!$B$55)*(1)+Summary!$B$55*(MIN((6+Inputs!$B$32),Inputs!$B$37))),0)</f>
        <v/>
      </c>
      <c r="P1258">
        <f>IF(B1300=0,0,O1258/B1300)</f>
        <v/>
      </c>
      <c r="Q1258" t="n">
        <v>0</v>
      </c>
      <c r="R1258" t="n">
        <v>0</v>
      </c>
      <c r="S1258">
        <f>IFERROR(O1258/N1258,0)</f>
        <v/>
      </c>
      <c r="U1258">
        <f>MAX(0,(Inputs!$B$3-100)*3)+Inputs!$B$27+Inputs!$B$28</f>
        <v/>
      </c>
    </row>
    <row r="1259">
      <c r="A1259">
        <f>Skills!A3</f>
        <v/>
      </c>
      <c r="B1259">
        <f>Skills!B3</f>
        <v/>
      </c>
      <c r="C1259">
        <f>Inputs!$B$3&gt;=35</f>
        <v/>
      </c>
      <c r="D1259">
        <f>IF(Skills!C3=1,60+Inputs!$B$24+Inputs!$B$28,IF(Skills!C3=2,90+Inputs!$B$25+Inputs!$B$28,IF(Skills!C3=3,120+Inputs!$B$26+Inputs!$B$28,MAX(0,(Inputs!$B$3-100)*3)+Inputs!$B$27+Inputs!$B$28)))</f>
        <v/>
      </c>
      <c r="E1259">
        <f>INDEX(FactorTable!$B$2:$Y$301, MATCH(ROUND(MIN(300,MAX(1,D1259)),0), FactorTable!$A$2:$A$301,0), Skills!M3+1)</f>
        <v/>
      </c>
      <c r="F1259">
        <f>IF(Skills!N3=TRUE,(Skills!L3/10)*(E1259/1000),Skills!L3/10)+Skills!O3</f>
        <v/>
      </c>
      <c r="G1259">
        <f>Calc!G3</f>
        <v/>
      </c>
      <c r="H1259">
        <f>Calc!H3</f>
        <v/>
      </c>
      <c r="I1259">
        <f>IF(Skills!AA3&lt;&gt;"",1+(Skills!AA3/10)*(U1259/1000)/100,1)</f>
        <v/>
      </c>
      <c r="J1259">
        <f>(Inputs!$B$5*(1+Inputs!$B$6/100))*(F1259/100)</f>
        <v/>
      </c>
      <c r="K1259">
        <f>J1259*(1+((Inputs!$B$11*(1+Inputs!$B$12/100))*0.01+Inputs!$B$13*0.0025)/100)*(1+Inputs!$B$14/100)*(1+IF(Inputs!$B$4="pvp",0,(1-Summary!$B$55)*(Inputs!$B$19+((C1283=TRUE)*(F1283-Calc!F27))+Skills!P3+B1297)+Summary!$B$55*(Inputs!$B$20+Skills!Q3+B1297))/100)*(1+Inputs!$B$15/100)*(5000/(6000+Inputs!$B$7*(1-Inputs!$B$18/100)))*(1+(Inputs!$B$23+((C1286=TRUE)*(F1286-Calc!F30)))/100)*(1+Skills!R3/100)*(1+(IF(Skills!A3="SHOWDOWN",Inputs!$B$16+((C1279=TRUE)*(F1279-Calc!F23)),Inputs!$B$17+((C1285=TRUE)*(F1285-Calc!F29))))/100)*(((1+(((C1277=TRUE)*F1277*IF(AND(Inputs!$B$4&lt;&gt;"pvp",Inputs!$B$35&gt;0),(((S1277-1)*(Skills!Y21*(1+Inputs!$B$33/100))+MIN((Skills!Y21*(1+Inputs!$B$33/100)),MAX(0,Inputs!$B$35-((S1277-1)*Skills!D21))))/Inputs!$B$35),IF(Inputs!$B$4="pvp",MIN((Skills!Y21*(1+Inputs!$B$33/100)),15)/15,(Skills!Y21*(1+Inputs!$B$33/100))/Skills!D21)))+((C1284=TRUE)*(F1284-Calc!F28))+((C1274=TRUE)*(F1274-Calc!F18)))/100)*(1+((C1271=TRUE)*F1271*IF(AND(Inputs!$B$4&lt;&gt;"pvp",Inputs!$B$35&gt;0),(((S1271-1)*(Skills!Y15*(1+Inputs!$B$33/100))+MIN((Skills!Y15*(1+Inputs!$B$33/100)),MAX(0,Inputs!$B$35-((S1271-1)*Skills!D15))))/Inputs!$B$35),IF(Inputs!$B$4="pvp",MIN((Skills!Y15*(1+Inputs!$B$33/100)),15)/15,(Skills!Y15*(1+Inputs!$B$33/100))/Skills!D15)))/100)*(1+((C1262=TRUE)*F1262*B1290)/100))*B1298*I1259)</f>
        <v/>
      </c>
      <c r="L1259">
        <f>K1259*(MIN(Inputs!$B$21+((C1280=TRUE)*(F1280-Calc!F24)),Inputs!$B$22)/100+Inputs!$B$22/100)/2</f>
        <v/>
      </c>
      <c r="M1259">
        <f>L1259*(1+(Inputs!$B$9+((C1282=TRUE)*(F1282-Calc!F26))+B1299)/100)</f>
        <v/>
      </c>
      <c r="N1259">
        <f>L1259*(1-MIN((Inputs!$B$8+((C1281=TRUE)*(F1281-Calc!F25))+B1296),100)/100)+M1259*(MIN((Inputs!$B$8+((C1281=TRUE)*(F1281-Calc!F25))+B1296),100)/100)</f>
        <v/>
      </c>
      <c r="O1259">
        <f>IF(C1259,H1259*N1259*IF(AND(Inputs!$B$4&lt;&gt;"pvp",Inputs!$B$35&gt;0),((Skills!G3*((R1259-1)*IF(Skills!H3&gt;0,Skills!I3/Skills!H3,1)+IF(Skills!H3&gt;0,MIN(Skills!I3,MAX(0,Inputs!$B$35-((R1259-1)*IF(Inputs!$B$4="pvp",15,MAX(0.1,Skills!D3-IF(Skills!E3=TRUE,Inputs!$B$31,0))))))/Skills!H3,1)))/Inputs!$B$35),G1259*Q1259)*IF(Inputs!$B$4="pvp",1,(1-Summary!$B$55)*(1)+Summary!$B$55*(MIN(Skills!W3,Inputs!$B$37))),0)</f>
        <v/>
      </c>
      <c r="P1259">
        <f>IF(B1300=0,0,O1259/B1300)</f>
        <v/>
      </c>
      <c r="Q1259">
        <f>IFERROR(1/IF(Inputs!$B$4="pvp",15,MAX(0.1,Skills!D3-IF(Skills!E3=TRUE,Inputs!$B$31,0))),0)</f>
        <v/>
      </c>
      <c r="R1259">
        <f>IF(AND(Inputs!$B$4&lt;&gt;"pvp",Inputs!$B$35&gt;0),(INT(Inputs!$B$35/IF(Inputs!$B$4="pvp",15,MAX(0.1,Skills!D3-IF(Skills!E3=TRUE,Inputs!$B$31,0))))+1),0)</f>
        <v/>
      </c>
      <c r="S1259">
        <f>IFERROR(O1259/N1259,0)</f>
        <v/>
      </c>
      <c r="U1259">
        <f>INDEX(FactorTable!$B$2:$Y$301, MATCH(ROUND(MIN(300,MAX(1,U1258)),0), FactorTable!$A$2:$A$301,0), 24)</f>
        <v/>
      </c>
    </row>
    <row r="1260">
      <c r="A1260">
        <f>Skills!A4</f>
        <v/>
      </c>
      <c r="B1260">
        <f>Skills!B4</f>
        <v/>
      </c>
      <c r="C1260">
        <f>Inputs!$B$3&gt;=40</f>
        <v/>
      </c>
      <c r="D1260">
        <f>IF(Skills!C4=1,60+Inputs!$B$24+Inputs!$B$28,IF(Skills!C4=2,90+Inputs!$B$25+Inputs!$B$28,IF(Skills!C4=3,120+Inputs!$B$26+Inputs!$B$28,MAX(0,(Inputs!$B$3-100)*3)+Inputs!$B$27+Inputs!$B$28)))</f>
        <v/>
      </c>
      <c r="E1260">
        <f>INDEX(FactorTable!$B$2:$Y$301, MATCH(ROUND(MIN(300,MAX(1,D1260)),0), FactorTable!$A$2:$A$301,0), Skills!M4+1)</f>
        <v/>
      </c>
      <c r="F1260">
        <f>IF(Skills!N4=TRUE,(Skills!L4/10)*(E1260/1000),Skills!L4/10)+Skills!O4</f>
        <v/>
      </c>
      <c r="G1260">
        <f>Calc!G4</f>
        <v/>
      </c>
      <c r="H1260">
        <f>Calc!H4</f>
        <v/>
      </c>
      <c r="I1260">
        <f>IF(Skills!AA4&lt;&gt;"",1+(Skills!AA4/10)*(U1259/1000)/100,1)</f>
        <v/>
      </c>
      <c r="J1260">
        <f>(Inputs!$B$5*(1+Inputs!$B$6/100))*(F1260/100)</f>
        <v/>
      </c>
      <c r="K1260">
        <f>J1260*(1+((Inputs!$B$11*(1+Inputs!$B$12/100))*0.01+Inputs!$B$13*0.0025)/100)*(1+Inputs!$B$14/100)*(1+IF(Inputs!$B$4="pvp",0,(1-Summary!$B$55)*(Inputs!$B$19+((C1283=TRUE)*(F1283-Calc!F27))+Skills!P4+B1297)+Summary!$B$55*(Inputs!$B$20+Skills!Q4+B1297))/100)*(1+Inputs!$B$15/100)*(5000/(6000+Inputs!$B$7*(1-Inputs!$B$18/100)))*(1+(Inputs!$B$23+((C1286=TRUE)*(F1286-Calc!F30)))/100)*(1+Skills!R4/100)*(1+(IF(Skills!A4="SHOWDOWN",Inputs!$B$16+((C1279=TRUE)*(F1279-Calc!F23)),Inputs!$B$17+((C1285=TRUE)*(F1285-Calc!F29))))/100)*(((1+(((C1277=TRUE)*F1277*IF(AND(Inputs!$B$4&lt;&gt;"pvp",Inputs!$B$35&gt;0),(((S1277-1)*(Skills!Y21*(1+Inputs!$B$33/100))+MIN((Skills!Y21*(1+Inputs!$B$33/100)),MAX(0,Inputs!$B$35-((S1277-1)*Skills!D21))))/Inputs!$B$35),IF(Inputs!$B$4="pvp",MIN((Skills!Y21*(1+Inputs!$B$33/100)),15)/15,(Skills!Y21*(1+Inputs!$B$33/100))/Skills!D21)))+((C1284=TRUE)*(F1284-Calc!F28))+((C1274=TRUE)*(F1274-Calc!F18)))/100)*(1+((C1271=TRUE)*F1271*IF(AND(Inputs!$B$4&lt;&gt;"pvp",Inputs!$B$35&gt;0),(((S1271-1)*(Skills!Y15*(1+Inputs!$B$33/100))+MIN((Skills!Y15*(1+Inputs!$B$33/100)),MAX(0,Inputs!$B$35-((S1271-1)*Skills!D15))))/Inputs!$B$35),IF(Inputs!$B$4="pvp",MIN((Skills!Y15*(1+Inputs!$B$33/100)),15)/15,(Skills!Y15*(1+Inputs!$B$33/100))/Skills!D15)))/100)*(1+((C1262=TRUE)*F1262*B1290)/100))*B1298*I1260)</f>
        <v/>
      </c>
      <c r="L1260">
        <f>K1260*(MIN(Inputs!$B$21+((C1280=TRUE)*(F1280-Calc!F24)),Inputs!$B$22)/100+Inputs!$B$22/100)/2</f>
        <v/>
      </c>
      <c r="M1260">
        <f>L1260*(1+(Inputs!$B$9+((C1282=TRUE)*(F1282-Calc!F26))+B1299)/100)</f>
        <v/>
      </c>
      <c r="N1260">
        <f>L1260*(1-MIN((Inputs!$B$8+((C1281=TRUE)*(F1281-Calc!F25))+B1296),100)/100)+M1260*(MIN((Inputs!$B$8+((C1281=TRUE)*(F1281-Calc!F25))+B1296),100)/100)</f>
        <v/>
      </c>
      <c r="O1260">
        <f>IF(C1260,H1260*N1260*IF(AND(Inputs!$B$4&lt;&gt;"pvp",Inputs!$B$35&gt;0),((Skills!G4*((R1260-1)*IF(Skills!H4&gt;0,Skills!I4/Skills!H4,1)+IF(Skills!H4&gt;0,MIN(Skills!I4,MAX(0,Inputs!$B$35-((R1260-1)*IF(Inputs!$B$4="pvp",15,MAX(0.1,Skills!D4-IF(Skills!E4=TRUE,Inputs!$B$31,0))))))/Skills!H4,1)))/Inputs!$B$35),G1260*Q1260)*IF(Inputs!$B$4="pvp",1,(1-Summary!$B$55)*(1)+Summary!$B$55*(MIN(Skills!W4,Inputs!$B$37))),0)</f>
        <v/>
      </c>
      <c r="P1260">
        <f>IF(B1300=0,0,O1260/B1300)</f>
        <v/>
      </c>
      <c r="Q1260">
        <f>IFERROR(1/IF(Inputs!$B$4="pvp",15,MAX(0.1,Skills!D4-IF(Skills!E4=TRUE,Inputs!$B$31,0))),0)</f>
        <v/>
      </c>
      <c r="R1260">
        <f>IF(AND(Inputs!$B$4&lt;&gt;"pvp",Inputs!$B$35&gt;0),(INT(Inputs!$B$35/IF(Inputs!$B$4="pvp",15,MAX(0.1,Skills!D4-IF(Skills!E4=TRUE,Inputs!$B$31,0))))+1),0)</f>
        <v/>
      </c>
      <c r="S1260">
        <f>IFERROR(O1260/N1260,0)</f>
        <v/>
      </c>
      <c r="U1260">
        <f>MAX(0,(Inputs!$B$3-100)*3)+Inputs!$B$27+Inputs!$B$28</f>
        <v/>
      </c>
    </row>
    <row r="1261">
      <c r="A1261">
        <f>Skills!A5</f>
        <v/>
      </c>
      <c r="B1261">
        <f>Skills!B5</f>
        <v/>
      </c>
      <c r="C1261">
        <f>Inputs!$B$3&gt;=63</f>
        <v/>
      </c>
      <c r="D1261">
        <f>IF(Skills!C5=1,60+Inputs!$B$24+Inputs!$B$28,IF(Skills!C5=2,90+Inputs!$B$25+Inputs!$B$28,IF(Skills!C5=3,120+Inputs!$B$26+Inputs!$B$28,MAX(0,(Inputs!$B$3-100)*3)+Inputs!$B$27+Inputs!$B$28)))</f>
        <v/>
      </c>
      <c r="E1261">
        <f>INDEX(FactorTable!$B$2:$Y$301, MATCH(ROUND(MIN(300,MAX(1,D1261)),0), FactorTable!$A$2:$A$301,0), Skills!M5+1)</f>
        <v/>
      </c>
      <c r="F1261">
        <f>IF(Skills!N5=TRUE,(Skills!L5/10)*(E1261/1000),Skills!L5/10)+Skills!O5</f>
        <v/>
      </c>
      <c r="G1261">
        <f>Calc!G5</f>
        <v/>
      </c>
      <c r="H1261">
        <f>Calc!H5</f>
        <v/>
      </c>
      <c r="I1261">
        <f>IF(Skills!AA5&lt;&gt;"",1+(Skills!AA5/10)*(U1259/1000)/100,1)</f>
        <v/>
      </c>
      <c r="J1261">
        <f>(Inputs!$B$5*(1+Inputs!$B$6/100))*(F1261/100)</f>
        <v/>
      </c>
      <c r="K1261">
        <f>J1261*(1+((Inputs!$B$11*(1+Inputs!$B$12/100))*0.01+Inputs!$B$13*0.0025)/100)*(1+Inputs!$B$14/100)*(1+IF(Inputs!$B$4="pvp",0,(1-Summary!$B$55)*(Inputs!$B$19+((C1283=TRUE)*(F1283-Calc!F27))+Skills!P5+B1297)+Summary!$B$55*(Inputs!$B$20+Skills!Q5+B1297))/100)*(1+Inputs!$B$15/100)*(5000/(6000+Inputs!$B$7*(1-Inputs!$B$18/100)))*(1+(Inputs!$B$23+((C1286=TRUE)*(F1286-Calc!F30)))/100)*(1+Skills!R5/100)*(1+(IF(Skills!A5="SHOWDOWN",Inputs!$B$16+((C1279=TRUE)*(F1279-Calc!F23)),Inputs!$B$17+((C1285=TRUE)*(F1285-Calc!F29))))/100)*(((1+(((C1277=TRUE)*F1277*IF(AND(Inputs!$B$4&lt;&gt;"pvp",Inputs!$B$35&gt;0),(((S1277-1)*(Skills!Y21*(1+Inputs!$B$33/100))+MIN((Skills!Y21*(1+Inputs!$B$33/100)),MAX(0,Inputs!$B$35-((S1277-1)*Skills!D21))))/Inputs!$B$35),IF(Inputs!$B$4="pvp",MIN((Skills!Y21*(1+Inputs!$B$33/100)),15)/15,(Skills!Y21*(1+Inputs!$B$33/100))/Skills!D21)))+((C1284=TRUE)*(F1284-Calc!F28))+((C1274=TRUE)*(F1274-Calc!F18)))/100)*(1+((C1271=TRUE)*F1271*IF(AND(Inputs!$B$4&lt;&gt;"pvp",Inputs!$B$35&gt;0),(((S1271-1)*(Skills!Y15*(1+Inputs!$B$33/100))+MIN((Skills!Y15*(1+Inputs!$B$33/100)),MAX(0,Inputs!$B$35-((S1271-1)*Skills!D15))))/Inputs!$B$35),IF(Inputs!$B$4="pvp",MIN((Skills!Y15*(1+Inputs!$B$33/100)),15)/15,(Skills!Y15*(1+Inputs!$B$33/100))/Skills!D15)))/100)*(1+((C1262=TRUE)*F1262*B1290)/100))*B1298*I1261)</f>
        <v/>
      </c>
      <c r="L1261">
        <f>K1261*(MIN(Inputs!$B$21+((C1280=TRUE)*(F1280-Calc!F24)),Inputs!$B$22)/100+Inputs!$B$22/100)/2</f>
        <v/>
      </c>
      <c r="M1261">
        <f>L1261*(1+(Inputs!$B$9+((C1282=TRUE)*(F1282-Calc!F26))+B1299)/100)</f>
        <v/>
      </c>
      <c r="N1261">
        <f>L1261*(1-MIN((Inputs!$B$8+((C1281=TRUE)*(F1281-Calc!F25))+B1296),100)/100)+M1261*(MIN((Inputs!$B$8+((C1281=TRUE)*(F1281-Calc!F25))+B1296),100)/100)</f>
        <v/>
      </c>
      <c r="O1261">
        <f>IF(C1261,H1261*N1261*IF(AND(Inputs!$B$4&lt;&gt;"pvp",Inputs!$B$35&gt;0),((Skills!G5*((R1261-1)*IF(Skills!H5&gt;0,Skills!I5/Skills!H5,1)+IF(Skills!H5&gt;0,MIN(Skills!I5,MAX(0,Inputs!$B$35-((R1261-1)*IF(Inputs!$B$4="pvp",15,MAX(0.1,Skills!D5-IF(Skills!E5=TRUE,Inputs!$B$31,0))))))/Skills!H5,1)))/Inputs!$B$35),G1261*Q1261)*IF(Inputs!$B$4="pvp",1,(1-Summary!$B$55)*(1)+Summary!$B$55*(MIN(Skills!W5,Inputs!$B$37))),0)</f>
        <v/>
      </c>
      <c r="P1261">
        <f>IF(B1300=0,0,O1261/B1300)</f>
        <v/>
      </c>
      <c r="Q1261">
        <f>IFERROR(1/IF(Inputs!$B$4="pvp",15,MAX(0.1,Skills!D5-IF(Skills!E5=TRUE,Inputs!$B$31,0))),0)</f>
        <v/>
      </c>
      <c r="R1261">
        <f>IF(AND(Inputs!$B$4&lt;&gt;"pvp",Inputs!$B$35&gt;0),(INT(Inputs!$B$35/IF(Inputs!$B$4="pvp",15,MAX(0.1,Skills!D5-IF(Skills!E5=TRUE,Inputs!$B$31,0))))+1),0)</f>
        <v/>
      </c>
      <c r="S1261">
        <f>IFERROR(O1261/N1261,0)</f>
        <v/>
      </c>
      <c r="U1261">
        <f>INDEX(FactorTable!$B$2:$Y$301, MATCH(ROUND(MIN(300,MAX(1,U1260)),0), FactorTable!$A$2:$A$301,0), 22)</f>
        <v/>
      </c>
    </row>
    <row r="1262">
      <c r="A1262">
        <f>Skills!A6</f>
        <v/>
      </c>
      <c r="B1262">
        <f>Skills!B6</f>
        <v/>
      </c>
      <c r="C1262">
        <f>Inputs!$B$3&gt;=66</f>
        <v/>
      </c>
      <c r="D1262">
        <f>IF(Skills!C6=1,60+Inputs!$B$24+Inputs!$B$28,IF(Skills!C6=2,90+Inputs!$B$25+Inputs!$B$28,IF(Skills!C6=3,120+Inputs!$B$26+Inputs!$B$28,MAX(0,(Inputs!$B$3-100)*3)+Inputs!$B$27+Inputs!$B$28)))</f>
        <v/>
      </c>
      <c r="E1262">
        <f>INDEX(FactorTable!$B$2:$Y$301, MATCH(ROUND(MIN(300,MAX(1,D1262)),0), FactorTable!$A$2:$A$301,0), Skills!M6+1)</f>
        <v/>
      </c>
      <c r="F1262">
        <f>IF(Skills!N6=TRUE,(Skills!L6/10)*(E1262/1000),Skills!L6/10)+Skills!O6</f>
        <v/>
      </c>
      <c r="G1262">
        <f>Calc!G6</f>
        <v/>
      </c>
      <c r="H1262">
        <f>Calc!H6</f>
        <v/>
      </c>
      <c r="I1262">
        <f>IF(Skills!AA6&lt;&gt;"",1+(Skills!AA6/10)*(U1259/1000)/100,1)</f>
        <v/>
      </c>
      <c r="J1262" t="inlineStr"/>
      <c r="K1262" t="inlineStr"/>
      <c r="L1262" t="inlineStr"/>
      <c r="M1262" t="inlineStr"/>
      <c r="N1262" t="inlineStr"/>
      <c r="O1262" t="n">
        <v>0</v>
      </c>
      <c r="P1262">
        <f>IF(B1300=0,0,O1262/B1300)</f>
        <v/>
      </c>
      <c r="Q1262" t="n">
        <v>0</v>
      </c>
      <c r="R1262" t="n">
        <v>0</v>
      </c>
      <c r="S1262">
        <f>IFERROR(O1262/N1262,0)</f>
        <v/>
      </c>
      <c r="U1262">
        <f>290*U1261/1000</f>
        <v/>
      </c>
    </row>
    <row r="1263">
      <c r="A1263">
        <f>Skills!A7</f>
        <v/>
      </c>
      <c r="B1263">
        <f>Skills!B7</f>
        <v/>
      </c>
      <c r="C1263">
        <f>Inputs!$B$3&gt;=66</f>
        <v/>
      </c>
      <c r="D1263">
        <f>IF(Skills!C7=1,60+Inputs!$B$24+Inputs!$B$28,IF(Skills!C7=2,90+Inputs!$B$25+Inputs!$B$28,IF(Skills!C7=3,120+Inputs!$B$26+Inputs!$B$28,MAX(0,(Inputs!$B$3-100)*3)+Inputs!$B$27+Inputs!$B$28)))</f>
        <v/>
      </c>
      <c r="E1263">
        <f>INDEX(FactorTable!$B$2:$Y$301, MATCH(ROUND(MIN(300,MAX(1,D1263)),0), FactorTable!$A$2:$A$301,0), Skills!M7+1)</f>
        <v/>
      </c>
      <c r="F1263">
        <f>IF(Skills!N7=TRUE,(Skills!L7/10)*(E1263/1000),Skills!L7/10)+Skills!O7</f>
        <v/>
      </c>
      <c r="G1263">
        <f>Calc!G7</f>
        <v/>
      </c>
      <c r="H1263">
        <f>Calc!H7</f>
        <v/>
      </c>
      <c r="I1263">
        <f>IF(Skills!AA7&lt;&gt;"",1+(Skills!AA7/10)*(U1259/1000)/100,1)</f>
        <v/>
      </c>
      <c r="J1263" t="inlineStr"/>
      <c r="K1263" t="inlineStr"/>
      <c r="L1263" t="inlineStr"/>
      <c r="M1263" t="inlineStr"/>
      <c r="N1263" t="inlineStr"/>
      <c r="O1263" t="n">
        <v>0</v>
      </c>
      <c r="P1263">
        <f>IF(B1300=0,0,O1263/B1300)</f>
        <v/>
      </c>
      <c r="Q1263" t="n">
        <v>0</v>
      </c>
      <c r="R1263" t="n">
        <v>0</v>
      </c>
      <c r="S1263">
        <f>IFERROR(O1263/N1263,0)</f>
        <v/>
      </c>
    </row>
    <row r="1264">
      <c r="A1264">
        <f>Skills!A8</f>
        <v/>
      </c>
      <c r="B1264">
        <f>Skills!B8</f>
        <v/>
      </c>
      <c r="C1264">
        <f>Inputs!$B$3&gt;=69</f>
        <v/>
      </c>
      <c r="D1264">
        <f>IF(Skills!C8=1,60+Inputs!$B$24+Inputs!$B$28,IF(Skills!C8=2,90+Inputs!$B$25+Inputs!$B$28,IF(Skills!C8=3,120+Inputs!$B$26+Inputs!$B$28,MAX(0,(Inputs!$B$3-100)*3)+Inputs!$B$27+Inputs!$B$28)))</f>
        <v/>
      </c>
      <c r="E1264">
        <f>INDEX(FactorTable!$B$2:$Y$301, MATCH(ROUND(MIN(300,MAX(1,D1264)),0), FactorTable!$A$2:$A$301,0), Skills!M8+1)</f>
        <v/>
      </c>
      <c r="F1264">
        <f>IF(Skills!N8=TRUE,(Skills!L8/10)*(E1264/1000),Skills!L8/10)+Skills!O8</f>
        <v/>
      </c>
      <c r="G1264">
        <f>Calc!G8</f>
        <v/>
      </c>
      <c r="H1264">
        <f>Calc!H8</f>
        <v/>
      </c>
      <c r="I1264">
        <f>IF(Skills!AA8&lt;&gt;"",1+(Skills!AA8/10)*(U1259/1000)/100,1)</f>
        <v/>
      </c>
      <c r="J1264">
        <f>(Inputs!$B$5*(1+Inputs!$B$6/100))*(F1264/100)</f>
        <v/>
      </c>
      <c r="K1264">
        <f>J1264*(1+((Inputs!$B$11*(1+Inputs!$B$12/100))*0.01+Inputs!$B$13*0.0025)/100)*(1+Inputs!$B$14/100)*(1+IF(Inputs!$B$4="pvp",0,(1-Summary!$B$55)*(Inputs!$B$19+((C1283=TRUE)*(F1283-Calc!F27))+Skills!P8+B1297)+Summary!$B$55*(Inputs!$B$20+Skills!Q8+B1297))/100)*(1+Inputs!$B$15/100)*(5000/(6000+Inputs!$B$7*(1-Inputs!$B$18/100)))*(1+(Inputs!$B$23+((C1286=TRUE)*(F1286-Calc!F30)))/100)*(1+Skills!R8/100)*(1+(IF(Skills!A8="SHOWDOWN",Inputs!$B$16+((C1279=TRUE)*(F1279-Calc!F23)),Inputs!$B$17+((C1285=TRUE)*(F1285-Calc!F29))))/100)*(((1+(((C1277=TRUE)*F1277*IF(AND(Inputs!$B$4&lt;&gt;"pvp",Inputs!$B$35&gt;0),(((S1277-1)*(Skills!Y21*(1+Inputs!$B$33/100))+MIN((Skills!Y21*(1+Inputs!$B$33/100)),MAX(0,Inputs!$B$35-((S1277-1)*Skills!D21))))/Inputs!$B$35),IF(Inputs!$B$4="pvp",MIN((Skills!Y21*(1+Inputs!$B$33/100)),15)/15,(Skills!Y21*(1+Inputs!$B$33/100))/Skills!D21)))+((C1284=TRUE)*(F1284-Calc!F28))+((C1274=TRUE)*(F1274-Calc!F18)))/100)*(1+((C1271=TRUE)*F1271*IF(AND(Inputs!$B$4&lt;&gt;"pvp",Inputs!$B$35&gt;0),(((S1271-1)*(Skills!Y15*(1+Inputs!$B$33/100))+MIN((Skills!Y15*(1+Inputs!$B$33/100)),MAX(0,Inputs!$B$35-((S1271-1)*Skills!D15))))/Inputs!$B$35),IF(Inputs!$B$4="pvp",MIN((Skills!Y15*(1+Inputs!$B$33/100)),15)/15,(Skills!Y15*(1+Inputs!$B$33/100))/Skills!D15)))/100)*(1+((C1262=TRUE)*F1262*B1290)/100))*B1298*I1264)</f>
        <v/>
      </c>
      <c r="L1264">
        <f>K1264*(MIN(Inputs!$B$21+((C1280=TRUE)*(F1280-Calc!F24)),Inputs!$B$22)/100+Inputs!$B$22/100)/2</f>
        <v/>
      </c>
      <c r="M1264">
        <f>L1264*(1+(Inputs!$B$9+((C1282=TRUE)*(F1282-Calc!F26))+B1299)/100)</f>
        <v/>
      </c>
      <c r="N1264">
        <f>L1264*(1-MIN((Inputs!$B$8+((C1281=TRUE)*(F1281-Calc!F25))+B1296),100)/100)+M1264*(MIN((Inputs!$B$8+((C1281=TRUE)*(F1281-Calc!F25))+B1296),100)/100)</f>
        <v/>
      </c>
      <c r="O1264">
        <f>IF(C1264,H1264*N1264*IF(AND(Inputs!$B$4&lt;&gt;"pvp",Inputs!$B$35&gt;0),((Skills!G8*((R1264-1)*IF(Skills!H8&gt;0,Skills!I8/Skills!H8,1)+IF(Skills!H8&gt;0,MIN(Skills!I8,MAX(0,Inputs!$B$35-((R1264-1)*IF(Inputs!$B$4="pvp",15,MAX(0.1,Skills!D8-IF(Skills!E8=TRUE,Inputs!$B$31,0))))))/Skills!H8,1)))/Inputs!$B$35),G1264*Q1264)*IF(Inputs!$B$4="pvp",1,(1-Summary!$B$55)*(1)+Summary!$B$55*(MIN(Skills!W8,Inputs!$B$37))),0)</f>
        <v/>
      </c>
      <c r="P1264">
        <f>IF(B1300=0,0,O1264/B1300)</f>
        <v/>
      </c>
      <c r="Q1264">
        <f>IFERROR(1/IF(Inputs!$B$4="pvp",15,MAX(0.1,Skills!D8-IF(Skills!E8=TRUE,Inputs!$B$31,0))),0)</f>
        <v/>
      </c>
      <c r="R1264">
        <f>IF(AND(Inputs!$B$4&lt;&gt;"pvp",Inputs!$B$35&gt;0),(INT(Inputs!$B$35/IF(Inputs!$B$4="pvp",15,MAX(0.1,Skills!D8-IF(Skills!E8=TRUE,Inputs!$B$31,0))))+1),0)</f>
        <v/>
      </c>
      <c r="S1264">
        <f>IFERROR(O1264/N1264,0)</f>
        <v/>
      </c>
    </row>
    <row r="1265">
      <c r="A1265">
        <f>Skills!A9</f>
        <v/>
      </c>
      <c r="B1265">
        <f>Skills!B9</f>
        <v/>
      </c>
      <c r="C1265">
        <f>Inputs!$B$3&gt;=72</f>
        <v/>
      </c>
      <c r="D1265">
        <f>IF(Skills!C9=1,60+Inputs!$B$24+Inputs!$B$28,IF(Skills!C9=2,90+Inputs!$B$25+Inputs!$B$28,IF(Skills!C9=3,120+Inputs!$B$26+Inputs!$B$28,MAX(0,(Inputs!$B$3-100)*3)+Inputs!$B$27+Inputs!$B$28)))</f>
        <v/>
      </c>
      <c r="E1265">
        <f>INDEX(FactorTable!$B$2:$Y$301, MATCH(ROUND(MIN(300,MAX(1,D1265)),0), FactorTable!$A$2:$A$301,0), Skills!M9+1)</f>
        <v/>
      </c>
      <c r="F1265">
        <f>IF(Skills!N9=TRUE,(Skills!L9/10)*(E1265/1000),Skills!L9/10)+Skills!O9</f>
        <v/>
      </c>
      <c r="G1265">
        <f>Calc!G9</f>
        <v/>
      </c>
      <c r="H1265">
        <f>Calc!H9</f>
        <v/>
      </c>
      <c r="I1265">
        <f>IF(Skills!AA9&lt;&gt;"",1+(Skills!AA9/10)*(U1259/1000)/100,1)</f>
        <v/>
      </c>
      <c r="J1265">
        <f>(Inputs!$B$5*(1+Inputs!$B$6/100))*(F1265/100)</f>
        <v/>
      </c>
      <c r="K1265">
        <f>J1265*(1+((Inputs!$B$11*(1+Inputs!$B$12/100))*0.01+Inputs!$B$13*0.0025)/100)*(1+Inputs!$B$14/100)*(1+IF(Inputs!$B$4="pvp",0,(1-Summary!$B$55)*(Inputs!$B$19+((C1283=TRUE)*(F1283-Calc!F27))+Skills!P9+B1297)+Summary!$B$55*(Inputs!$B$20+Skills!Q9+B1297))/100)*(1+Inputs!$B$15/100)*(5000/(6000+Inputs!$B$7*(1-Inputs!$B$18/100)))*(1+(Inputs!$B$23+((C1286=TRUE)*(F1286-Calc!F30)))/100)*(1+Skills!R9/100)*(1+(IF(Skills!A9="SHOWDOWN",Inputs!$B$16+((C1279=TRUE)*(F1279-Calc!F23)),Inputs!$B$17+((C1285=TRUE)*(F1285-Calc!F29))))/100)*(((1+(((C1277=TRUE)*F1277*IF(AND(Inputs!$B$4&lt;&gt;"pvp",Inputs!$B$35&gt;0),(((S1277-1)*(Skills!Y21*(1+Inputs!$B$33/100))+MIN((Skills!Y21*(1+Inputs!$B$33/100)),MAX(0,Inputs!$B$35-((S1277-1)*Skills!D21))))/Inputs!$B$35),IF(Inputs!$B$4="pvp",MIN((Skills!Y21*(1+Inputs!$B$33/100)),15)/15,(Skills!Y21*(1+Inputs!$B$33/100))/Skills!D21)))+((C1284=TRUE)*(F1284-Calc!F28))+((C1274=TRUE)*(F1274-Calc!F18)))/100)*(1+((C1271=TRUE)*F1271*IF(AND(Inputs!$B$4&lt;&gt;"pvp",Inputs!$B$35&gt;0),(((S1271-1)*(Skills!Y15*(1+Inputs!$B$33/100))+MIN((Skills!Y15*(1+Inputs!$B$33/100)),MAX(0,Inputs!$B$35-((S1271-1)*Skills!D15))))/Inputs!$B$35),IF(Inputs!$B$4="pvp",MIN((Skills!Y15*(1+Inputs!$B$33/100)),15)/15,(Skills!Y15*(1+Inputs!$B$33/100))/Skills!D15)))/100)*(1+((C1262=TRUE)*F1262*B1290)/100))*B1298*I1265)</f>
        <v/>
      </c>
      <c r="L1265">
        <f>K1265*(MIN(Inputs!$B$21+((C1280=TRUE)*(F1280-Calc!F24)),Inputs!$B$22)/100+Inputs!$B$22/100)/2</f>
        <v/>
      </c>
      <c r="M1265">
        <f>L1265*(1+(Inputs!$B$9+((C1282=TRUE)*(F1282-Calc!F26))+B1299)/100)</f>
        <v/>
      </c>
      <c r="N1265">
        <f>L1265*(1-MIN((Inputs!$B$8+((C1281=TRUE)*(F1281-Calc!F25))+B1296),100)/100)+M1265*(MIN((Inputs!$B$8+((C1281=TRUE)*(F1281-Calc!F25))+B1296),100)/100)</f>
        <v/>
      </c>
      <c r="O1265">
        <f>IF(C1265,H1265*N1265*IF(AND(Inputs!$B$4&lt;&gt;"pvp",Inputs!$B$35&gt;0),((Skills!G9*((R1265-1)*IF(Skills!H9&gt;0,Skills!I9/Skills!H9,1)+IF(Skills!H9&gt;0,MIN(Skills!I9,MAX(0,Inputs!$B$35-((R1265-1)*IF(Inputs!$B$4="pvp",15,MAX(0.1,Skills!D9-IF(Skills!E9=TRUE,Inputs!$B$31,0))))))/Skills!H9,1)))/Inputs!$B$35),G1265*Q1265)*IF(Inputs!$B$4="pvp",1,(1-Summary!$B$55)*(1)+Summary!$B$55*(MIN(Skills!W9,Inputs!$B$37))),0)</f>
        <v/>
      </c>
      <c r="P1265">
        <f>IF(B1300=0,0,O1265/B1300)</f>
        <v/>
      </c>
      <c r="Q1265">
        <f>IFERROR(1/IF(Inputs!$B$4="pvp",15,MAX(0.1,Skills!D9-IF(Skills!E9=TRUE,Inputs!$B$31,0))),0)</f>
        <v/>
      </c>
      <c r="R1265">
        <f>IF(AND(Inputs!$B$4&lt;&gt;"pvp",Inputs!$B$35&gt;0),(INT(Inputs!$B$35/IF(Inputs!$B$4="pvp",15,MAX(0.1,Skills!D9-IF(Skills!E9=TRUE,Inputs!$B$31,0))))+1),0)</f>
        <v/>
      </c>
      <c r="S1265">
        <f>IFERROR(O1265/N1265,0)</f>
        <v/>
      </c>
    </row>
    <row r="1266">
      <c r="A1266">
        <f>Skills!A10</f>
        <v/>
      </c>
      <c r="B1266">
        <f>Skills!B10</f>
        <v/>
      </c>
      <c r="C1266">
        <f>Inputs!$B$3&gt;=117</f>
        <v/>
      </c>
      <c r="D1266">
        <f>IF(Skills!C10=1,60+Inputs!$B$24+Inputs!$B$28,IF(Skills!C10=2,90+Inputs!$B$25+Inputs!$B$28,IF(Skills!C10=3,120+Inputs!$B$26+Inputs!$B$28,MAX(0,(Inputs!$B$3-100)*3)+Inputs!$B$27+Inputs!$B$28)))</f>
        <v/>
      </c>
      <c r="E1266">
        <f>INDEX(FactorTable!$B$2:$Y$301, MATCH(ROUND(MIN(300,MAX(1,D1266)),0), FactorTable!$A$2:$A$301,0), Skills!M10+1)</f>
        <v/>
      </c>
      <c r="F1266">
        <f>IF(Skills!N10=TRUE,(Skills!L10/10)*(E1266/1000),Skills!L10/10)+Skills!O10</f>
        <v/>
      </c>
      <c r="G1266">
        <f>Calc!G10</f>
        <v/>
      </c>
      <c r="H1266">
        <f>Calc!H10</f>
        <v/>
      </c>
      <c r="I1266">
        <f>IF(Skills!AA10&lt;&gt;"",1+(Skills!AA10/10)*(U1259/1000)/100,1)</f>
        <v/>
      </c>
      <c r="J1266">
        <f>(Inputs!$B$5*(1+Inputs!$B$6/100))*(F1266/100)</f>
        <v/>
      </c>
      <c r="K1266">
        <f>J1266*(1+((Inputs!$B$11*(1+Inputs!$B$12/100))*0.01+Inputs!$B$13*0.0025)/100)*(1+Inputs!$B$14/100)*(1+IF(Inputs!$B$4="pvp",0,(1-Summary!$B$55)*(Inputs!$B$19+((C1283=TRUE)*(F1283-Calc!F27))+Skills!P10+B1297)+Summary!$B$55*(Inputs!$B$20+Skills!Q10+B1297))/100)*(1+Inputs!$B$15/100)*(5000/(6000+Inputs!$B$7*(1-Inputs!$B$18/100)))*(1+(Inputs!$B$23+((C1286=TRUE)*(F1286-Calc!F30)))/100)*(1+Skills!R10/100)*(1+(IF(Skills!A10="SHOWDOWN",Inputs!$B$16+((C1279=TRUE)*(F1279-Calc!F23)),Inputs!$B$17+((C1285=TRUE)*(F1285-Calc!F29))))/100)*(((1+(((C1277=TRUE)*F1277*IF(AND(Inputs!$B$4&lt;&gt;"pvp",Inputs!$B$35&gt;0),(((S1277-1)*(Skills!Y21*(1+Inputs!$B$33/100))+MIN((Skills!Y21*(1+Inputs!$B$33/100)),MAX(0,Inputs!$B$35-((S1277-1)*Skills!D21))))/Inputs!$B$35),IF(Inputs!$B$4="pvp",MIN((Skills!Y21*(1+Inputs!$B$33/100)),15)/15,(Skills!Y21*(1+Inputs!$B$33/100))/Skills!D21)))+((C1284=TRUE)*(F1284-Calc!F28))+((C1274=TRUE)*(F1274-Calc!F18)))/100)*(1+((C1271=TRUE)*F1271*IF(AND(Inputs!$B$4&lt;&gt;"pvp",Inputs!$B$35&gt;0),(((S1271-1)*(Skills!Y15*(1+Inputs!$B$33/100))+MIN((Skills!Y15*(1+Inputs!$B$33/100)),MAX(0,Inputs!$B$35-((S1271-1)*Skills!D15))))/Inputs!$B$35),IF(Inputs!$B$4="pvp",MIN((Skills!Y15*(1+Inputs!$B$33/100)),15)/15,(Skills!Y15*(1+Inputs!$B$33/100))/Skills!D15)))/100)*(1+((C1262=TRUE)*F1262*B1290)/100))*B1298*I1266)</f>
        <v/>
      </c>
      <c r="L1266">
        <f>K1266*(MIN(Inputs!$B$21+((C1280=TRUE)*(F1280-Calc!F24)),Inputs!$B$22)/100+Inputs!$B$22/100)/2</f>
        <v/>
      </c>
      <c r="M1266">
        <f>L1266*(1+(Inputs!$B$9+((C1282=TRUE)*(F1282-Calc!F26))+B1299)/100)</f>
        <v/>
      </c>
      <c r="N1266">
        <f>L1266*(1-MIN((Inputs!$B$8+((C1281=TRUE)*(F1281-Calc!F25))+B1296),100)/100)+M1266*(MIN((Inputs!$B$8+((C1281=TRUE)*(F1281-Calc!F25))+B1296),100)/100)</f>
        <v/>
      </c>
      <c r="O1266">
        <f>IF(C1266,0.2*SUMPRODUCT((Skills!Z2:Z31=TRUE)*(C1258:C1287=TRUE)*S1258:S1287)*N1266,0)</f>
        <v/>
      </c>
      <c r="P1266">
        <f>IF(B1300=0,0,O1266/B1300)</f>
        <v/>
      </c>
      <c r="Q1266" t="n">
        <v>0</v>
      </c>
      <c r="R1266" t="n">
        <v>0</v>
      </c>
      <c r="S1266" t="n">
        <v>0</v>
      </c>
    </row>
    <row r="1267">
      <c r="A1267">
        <f>Skills!A11</f>
        <v/>
      </c>
      <c r="B1267">
        <f>Skills!B11</f>
        <v/>
      </c>
      <c r="C1267">
        <f>Inputs!$B$3&gt;=60</f>
        <v/>
      </c>
      <c r="D1267">
        <f>IF(Skills!C11=1,60+Inputs!$B$24+Inputs!$B$28,IF(Skills!C11=2,90+Inputs!$B$25+Inputs!$B$28,IF(Skills!C11=3,120+Inputs!$B$26+Inputs!$B$28,MAX(0,(Inputs!$B$3-100)*3)+Inputs!$B$27+Inputs!$B$28)))</f>
        <v/>
      </c>
      <c r="E1267">
        <f>INDEX(FactorTable!$B$2:$Y$301, MATCH(ROUND(MIN(300,MAX(1,D1267)),0), FactorTable!$A$2:$A$301,0), Skills!M11+1)</f>
        <v/>
      </c>
      <c r="F1267">
        <f>IF(Skills!N11=TRUE,(Skills!L11/10)*(E1267/1000),Skills!L11/10)+Skills!O11</f>
        <v/>
      </c>
      <c r="G1267">
        <f>Calc!G11</f>
        <v/>
      </c>
      <c r="H1267">
        <f>Calc!H11</f>
        <v/>
      </c>
      <c r="I1267">
        <f>IF(Skills!AA11&lt;&gt;"",1+(Skills!AA11/10)*(U1259/1000)/100,1)</f>
        <v/>
      </c>
      <c r="J1267" t="inlineStr"/>
      <c r="K1267" t="inlineStr"/>
      <c r="L1267" t="inlineStr"/>
      <c r="M1267" t="inlineStr"/>
      <c r="N1267" t="inlineStr"/>
      <c r="O1267" t="n">
        <v>0</v>
      </c>
      <c r="P1267">
        <f>IF(B1300=0,0,O1267/B1300)</f>
        <v/>
      </c>
      <c r="Q1267" t="n">
        <v>0</v>
      </c>
      <c r="R1267" t="n">
        <v>0</v>
      </c>
      <c r="S1267">
        <f>IFERROR(O1267/N1267,0)</f>
        <v/>
      </c>
    </row>
    <row r="1268">
      <c r="A1268">
        <f>Skills!A12</f>
        <v/>
      </c>
      <c r="B1268">
        <f>Skills!B12</f>
        <v/>
      </c>
      <c r="C1268">
        <f>Inputs!$B$3&gt;=103</f>
        <v/>
      </c>
      <c r="D1268">
        <f>IF(Skills!C12=1,60+Inputs!$B$24+Inputs!$B$28,IF(Skills!C12=2,90+Inputs!$B$25+Inputs!$B$28,IF(Skills!C12=3,120+Inputs!$B$26+Inputs!$B$28,MAX(0,(Inputs!$B$3-100)*3)+Inputs!$B$27+Inputs!$B$28)))</f>
        <v/>
      </c>
      <c r="E1268">
        <f>INDEX(FactorTable!$B$2:$Y$301, MATCH(ROUND(MIN(300,MAX(1,D1268)),0), FactorTable!$A$2:$A$301,0), Skills!M12+1)</f>
        <v/>
      </c>
      <c r="F1268">
        <f>IF(Skills!N12=TRUE,(Skills!L12/10)*(E1268/1000),Skills!L12/10)+Skills!O12</f>
        <v/>
      </c>
      <c r="G1268">
        <f>Calc!G12</f>
        <v/>
      </c>
      <c r="H1268">
        <f>Calc!H12</f>
        <v/>
      </c>
      <c r="I1268">
        <f>IF(Skills!AA12&lt;&gt;"",1+(Skills!AA12/10)*(U1259/1000)/100,1)</f>
        <v/>
      </c>
      <c r="J1268">
        <f>(Inputs!$B$5*(1+Inputs!$B$6/100))*(F1268/100)</f>
        <v/>
      </c>
      <c r="K1268">
        <f>J1268*(1+((Inputs!$B$11*(1+Inputs!$B$12/100))*0.01+Inputs!$B$13*0.0025)/100)*(1+Inputs!$B$14/100)*(1+IF(Inputs!$B$4="pvp",0,(1-Summary!$B$55)*(Inputs!$B$19+((C1283=TRUE)*(F1283-Calc!F27))+Skills!P12+B1297)+Summary!$B$55*(Inputs!$B$20+Skills!Q12+B1297))/100)*(1+Inputs!$B$15/100)*(5000/(6000+Inputs!$B$7*(1-Inputs!$B$18/100)))*(1+(Inputs!$B$23+((C1286=TRUE)*(F1286-Calc!F30)))/100)*(1+Skills!R12/100)*(1+(IF(Skills!A12="SHOWDOWN",Inputs!$B$16+((C1279=TRUE)*(F1279-Calc!F23)),Inputs!$B$17+((C1285=TRUE)*(F1285-Calc!F29))))/100)*(((1+(((C1277=TRUE)*F1277*IF(AND(Inputs!$B$4&lt;&gt;"pvp",Inputs!$B$35&gt;0),(((S1277-1)*(Skills!Y21*(1+Inputs!$B$33/100))+MIN((Skills!Y21*(1+Inputs!$B$33/100)),MAX(0,Inputs!$B$35-((S1277-1)*Skills!D21))))/Inputs!$B$35),IF(Inputs!$B$4="pvp",MIN((Skills!Y21*(1+Inputs!$B$33/100)),15)/15,(Skills!Y21*(1+Inputs!$B$33/100))/Skills!D21)))+((C1284=TRUE)*(F1284-Calc!F28))+((C1274=TRUE)*(F1274-Calc!F18)))/100)*(1+((C1271=TRUE)*F1271*IF(AND(Inputs!$B$4&lt;&gt;"pvp",Inputs!$B$35&gt;0),(((S1271-1)*(Skills!Y15*(1+Inputs!$B$33/100))+MIN((Skills!Y15*(1+Inputs!$B$33/100)),MAX(0,Inputs!$B$35-((S1271-1)*Skills!D15))))/Inputs!$B$35),IF(Inputs!$B$4="pvp",MIN((Skills!Y15*(1+Inputs!$B$33/100)),15)/15,(Skills!Y15*(1+Inputs!$B$33/100))/Skills!D15)))/100)*(1+((C1262=TRUE)*F1262*B1290)/100))*B1298*I1268)</f>
        <v/>
      </c>
      <c r="L1268">
        <f>K1268*(MIN(Inputs!$B$21+((C1280=TRUE)*(F1280-Calc!F24)),Inputs!$B$22)/100+Inputs!$B$22/100)/2</f>
        <v/>
      </c>
      <c r="M1268">
        <f>L1268*(1+(Inputs!$B$9+((C1282=TRUE)*(F1282-Calc!F26))+B1299)/100)</f>
        <v/>
      </c>
      <c r="N1268">
        <f>L1268*(1-MIN((Inputs!$B$8+((C1281=TRUE)*(F1281-Calc!F25))+B1296),100)/100)+M1268*(MIN((Inputs!$B$8+((C1281=TRUE)*(F1281-Calc!F25))+B1296),100)/100)</f>
        <v/>
      </c>
      <c r="O1268">
        <f>IF(C1268,H1268*N1268*IF(AND(Inputs!$B$4&lt;&gt;"pvp",Inputs!$B$35&gt;0),((Skills!G12*((R1268-1)*IF(Skills!H12&gt;0,Skills!I12/Skills!H12,1)+IF(Skills!H12&gt;0,MIN(Skills!I12,MAX(0,Inputs!$B$35-((R1268-1)*IF(Inputs!$B$4="pvp",15,MAX(0.1,Skills!D12-IF(Skills!E12=TRUE,Inputs!$B$31,0))))))/Skills!H12,1)))/Inputs!$B$35),G1268*Q1268)*IF(Inputs!$B$4="pvp",1,(1-Summary!$B$55)*(1)+Summary!$B$55*(MIN(Skills!W12,Inputs!$B$37))),0)</f>
        <v/>
      </c>
      <c r="P1268">
        <f>IF(B1300=0,0,O1268/B1300)</f>
        <v/>
      </c>
      <c r="Q1268">
        <f>IFERROR(1/IF(Inputs!$B$4="pvp",15,MAX(0.1,Skills!D12-IF(Skills!E12=TRUE,Inputs!$B$31,0))),0)</f>
        <v/>
      </c>
      <c r="R1268">
        <f>IF(AND(Inputs!$B$4&lt;&gt;"pvp",Inputs!$B$35&gt;0),(INT(Inputs!$B$35/IF(Inputs!$B$4="pvp",15,MAX(0.1,Skills!D12-IF(Skills!E12=TRUE,Inputs!$B$31,0))))+1),0)</f>
        <v/>
      </c>
      <c r="S1268">
        <f>IFERROR(O1268/N1268,0)</f>
        <v/>
      </c>
    </row>
    <row r="1269">
      <c r="A1269">
        <f>Skills!A13</f>
        <v/>
      </c>
      <c r="B1269">
        <f>Skills!B13</f>
        <v/>
      </c>
      <c r="C1269">
        <f>Inputs!$B$3&gt;=105</f>
        <v/>
      </c>
      <c r="D1269">
        <f>IF(Skills!C13=1,60+Inputs!$B$24+Inputs!$B$28,IF(Skills!C13=2,90+Inputs!$B$25+Inputs!$B$28,IF(Skills!C13=3,120+Inputs!$B$26+Inputs!$B$28,MAX(0,(Inputs!$B$3-100)*3)+Inputs!$B$27+Inputs!$B$28)))</f>
        <v/>
      </c>
      <c r="E1269">
        <f>INDEX(FactorTable!$B$2:$Y$301, MATCH(ROUND(MIN(300,MAX(1,D1269)),0), FactorTable!$A$2:$A$301,0), Skills!M13+1)</f>
        <v/>
      </c>
      <c r="F1269">
        <f>IF(Skills!N13=TRUE,(Skills!L13/10)*(E1269/1000),Skills!L13/10)+Skills!O13</f>
        <v/>
      </c>
      <c r="G1269">
        <f>Calc!G13</f>
        <v/>
      </c>
      <c r="H1269">
        <f>Calc!H13</f>
        <v/>
      </c>
      <c r="I1269">
        <f>IF(Skills!AA13&lt;&gt;"",1+(Skills!AA13/10)*(U1259/1000)/100,1)</f>
        <v/>
      </c>
      <c r="J1269">
        <f>(Inputs!$B$5*(1+Inputs!$B$6/100))*(F1269/100)</f>
        <v/>
      </c>
      <c r="K1269">
        <f>J1269*(1+((Inputs!$B$11*(1+Inputs!$B$12/100))*0.01+Inputs!$B$13*0.0025)/100)*(1+Inputs!$B$14/100)*(1+IF(Inputs!$B$4="pvp",0,(1-Summary!$B$55)*(Inputs!$B$19+((C1283=TRUE)*(F1283-Calc!F27))+Skills!P13+B1297)+Summary!$B$55*(Inputs!$B$20+Skills!Q13+B1297))/100)*(1+Inputs!$B$15/100)*(5000/(6000+Inputs!$B$7*(1-Inputs!$B$18/100)))*(1+(Inputs!$B$23+((C1286=TRUE)*(F1286-Calc!F30)))/100)*(1+Skills!R13/100)*(1+(IF(Skills!A13="SHOWDOWN",Inputs!$B$16+((C1279=TRUE)*(F1279-Calc!F23)),Inputs!$B$17+((C1285=TRUE)*(F1285-Calc!F29))))/100)*(((1+(((C1277=TRUE)*F1277*IF(AND(Inputs!$B$4&lt;&gt;"pvp",Inputs!$B$35&gt;0),(((S1277-1)*(Skills!Y21*(1+Inputs!$B$33/100))+MIN((Skills!Y21*(1+Inputs!$B$33/100)),MAX(0,Inputs!$B$35-((S1277-1)*Skills!D21))))/Inputs!$B$35),IF(Inputs!$B$4="pvp",MIN((Skills!Y21*(1+Inputs!$B$33/100)),15)/15,(Skills!Y21*(1+Inputs!$B$33/100))/Skills!D21)))+((C1284=TRUE)*(F1284-Calc!F28))+((C1274=TRUE)*(F1274-Calc!F18)))/100)*(1+((C1271=TRUE)*F1271*IF(AND(Inputs!$B$4&lt;&gt;"pvp",Inputs!$B$35&gt;0),(((S1271-1)*(Skills!Y15*(1+Inputs!$B$33/100))+MIN((Skills!Y15*(1+Inputs!$B$33/100)),MAX(0,Inputs!$B$35-((S1271-1)*Skills!D15))))/Inputs!$B$35),IF(Inputs!$B$4="pvp",MIN((Skills!Y15*(1+Inputs!$B$33/100)),15)/15,(Skills!Y15*(1+Inputs!$B$33/100))/Skills!D15)))/100)*(1+((C1262=TRUE)*F1262*B1290)/100))*B1298*I1269)</f>
        <v/>
      </c>
      <c r="L1269">
        <f>K1269*(MIN(Inputs!$B$21+((C1280=TRUE)*(F1280-Calc!F24)),Inputs!$B$22)/100+Inputs!$B$22/100)/2</f>
        <v/>
      </c>
      <c r="M1269">
        <f>L1269*(1+(Inputs!$B$9+((C1282=TRUE)*(F1282-Calc!F26))+B1299)/100)</f>
        <v/>
      </c>
      <c r="N1269">
        <f>L1269*(1-MIN((Inputs!$B$8+((C1281=TRUE)*(F1281-Calc!F25))+B1296),100)/100)+M1269*(MIN((Inputs!$B$8+((C1281=TRUE)*(F1281-Calc!F25))+B1296),100)/100)</f>
        <v/>
      </c>
      <c r="O1269">
        <f>IF(C1269,H1269*N1269*IF(AND(Inputs!$B$4&lt;&gt;"pvp",Inputs!$B$35&gt;0),((Skills!G13*((R1269-1)*IF(Skills!H13&gt;0,Skills!I13/Skills!H13,1)+IF(Skills!H13&gt;0,MIN(Skills!I13,MAX(0,Inputs!$B$35-((R1269-1)*IF(Inputs!$B$4="pvp",15,MAX(0.1,Skills!D13-IF(Skills!E13=TRUE,Inputs!$B$31,0))))))/Skills!H13,1)))/Inputs!$B$35),G1269*Q1269)*IF(Inputs!$B$4="pvp",1,(1-Summary!$B$55)*(1)+Summary!$B$55*(MIN(Skills!W13,Inputs!$B$37))),0)</f>
        <v/>
      </c>
      <c r="P1269">
        <f>IF(B1300=0,0,O1269/B1300)</f>
        <v/>
      </c>
      <c r="Q1269">
        <f>IFERROR(1/IF(Inputs!$B$4="pvp",15,MAX(0.1,Skills!D13-IF(Skills!E13=TRUE,Inputs!$B$31,0))),0)</f>
        <v/>
      </c>
      <c r="R1269">
        <f>IF(AND(Inputs!$B$4&lt;&gt;"pvp",Inputs!$B$35&gt;0),(INT(Inputs!$B$35/IF(Inputs!$B$4="pvp",15,MAX(0.1,Skills!D13-IF(Skills!E13=TRUE,Inputs!$B$31,0))))+1),0)</f>
        <v/>
      </c>
      <c r="S1269">
        <f>IFERROR(O1269/N1269,0)</f>
        <v/>
      </c>
    </row>
    <row r="1270">
      <c r="A1270">
        <f>Skills!A14</f>
        <v/>
      </c>
      <c r="B1270">
        <f>Skills!B14</f>
        <v/>
      </c>
      <c r="C1270">
        <f>Inputs!$B$3&gt;=105</f>
        <v/>
      </c>
      <c r="D1270">
        <f>IF(Skills!C14=1,60+Inputs!$B$24+Inputs!$B$28,IF(Skills!C14=2,90+Inputs!$B$25+Inputs!$B$28,IF(Skills!C14=3,120+Inputs!$B$26+Inputs!$B$28,MAX(0,(Inputs!$B$3-100)*3)+Inputs!$B$27+Inputs!$B$28)))</f>
        <v/>
      </c>
      <c r="E1270">
        <f>INDEX(FactorTable!$B$2:$Y$301, MATCH(ROUND(MIN(300,MAX(1,D1270)),0), FactorTable!$A$2:$A$301,0), Skills!M14+1)</f>
        <v/>
      </c>
      <c r="F1270">
        <f>IF(Skills!N14=TRUE,(Skills!L14/10)*(E1270/1000),Skills!L14/10)+Skills!O14</f>
        <v/>
      </c>
      <c r="G1270">
        <f>Calc!G14</f>
        <v/>
      </c>
      <c r="H1270">
        <f>Calc!H14</f>
        <v/>
      </c>
      <c r="I1270">
        <f>IF(Skills!AA14&lt;&gt;"",1+(Skills!AA14/10)*(U1259/1000)/100,1)</f>
        <v/>
      </c>
      <c r="J1270">
        <f>(Inputs!$B$5*(1+Inputs!$B$6/100))*(F1270/100)</f>
        <v/>
      </c>
      <c r="K1270">
        <f>J1270*(1+((Inputs!$B$11*(1+Inputs!$B$12/100))*0.01+Inputs!$B$13*0.0025)/100)*(1+Inputs!$B$14/100)*(1+IF(Inputs!$B$4="pvp",0,(1-Summary!$B$55)*(Inputs!$B$19+((C1283=TRUE)*(F1283-Calc!F27))+Skills!P14+B1297)+Summary!$B$55*(Inputs!$B$20+Skills!Q14+B1297))/100)*(1+Inputs!$B$15/100)*(5000/(6000+Inputs!$B$7*(1-Inputs!$B$18/100)))*(1+(Inputs!$B$23+((C1286=TRUE)*(F1286-Calc!F30)))/100)*(1+Skills!R14/100)*(1+(IF(Skills!A14="SHOWDOWN",Inputs!$B$16+((C1279=TRUE)*(F1279-Calc!F23)),Inputs!$B$17+((C1285=TRUE)*(F1285-Calc!F29))))/100)*(((1+(((C1277=TRUE)*F1277*IF(AND(Inputs!$B$4&lt;&gt;"pvp",Inputs!$B$35&gt;0),(((S1277-1)*(Skills!Y21*(1+Inputs!$B$33/100))+MIN((Skills!Y21*(1+Inputs!$B$33/100)),MAX(0,Inputs!$B$35-((S1277-1)*Skills!D21))))/Inputs!$B$35),IF(Inputs!$B$4="pvp",MIN((Skills!Y21*(1+Inputs!$B$33/100)),15)/15,(Skills!Y21*(1+Inputs!$B$33/100))/Skills!D21)))+((C1284=TRUE)*(F1284-Calc!F28))+((C1274=TRUE)*(F1274-Calc!F18)))/100)*(1+((C1271=TRUE)*F1271*IF(AND(Inputs!$B$4&lt;&gt;"pvp",Inputs!$B$35&gt;0),(((S1271-1)*(Skills!Y15*(1+Inputs!$B$33/100))+MIN((Skills!Y15*(1+Inputs!$B$33/100)),MAX(0,Inputs!$B$35-((S1271-1)*Skills!D15))))/Inputs!$B$35),IF(Inputs!$B$4="pvp",MIN((Skills!Y15*(1+Inputs!$B$33/100)),15)/15,(Skills!Y15*(1+Inputs!$B$33/100))/Skills!D15)))/100)*(1+((C1262=TRUE)*F1262*B1290)/100))*B1298*I1270)</f>
        <v/>
      </c>
      <c r="L1270">
        <f>K1270*(MIN(Inputs!$B$21+((C1280=TRUE)*(F1280-Calc!F24)),Inputs!$B$22)/100+Inputs!$B$22/100)/2</f>
        <v/>
      </c>
      <c r="M1270">
        <f>L1270*(1+(Inputs!$B$9+((C1282=TRUE)*(F1282-Calc!F26))+B1299)/100)</f>
        <v/>
      </c>
      <c r="N1270">
        <f>L1270*(1-MIN((Inputs!$B$8+((C1281=TRUE)*(F1281-Calc!F25))+B1296),100)/100)+M1270*(MIN((Inputs!$B$8+((C1281=TRUE)*(F1281-Calc!F25))+B1296),100)/100)</f>
        <v/>
      </c>
      <c r="O1270">
        <f>IF(C1270,H1270*N1270*IF(AND(Inputs!$B$4&lt;&gt;"pvp",Inputs!$B$35&gt;0),((Skills!G14*((R1270-1)*IF(Skills!H14&gt;0,Skills!I14/Skills!H14,1)+IF(Skills!H14&gt;0,MIN(Skills!I14,MAX(0,Inputs!$B$35-((R1270-1)*IF(Inputs!$B$4="pvp",15,MAX(0.1,Skills!D14-IF(Skills!E14=TRUE,Inputs!$B$31,0))))))/Skills!H14,1)))/Inputs!$B$35),G1270*Q1270)*IF(Inputs!$B$4="pvp",1,(1-Summary!$B$55)*(1)+Summary!$B$55*(MIN(Skills!W14,Inputs!$B$37))),0)</f>
        <v/>
      </c>
      <c r="P1270">
        <f>IF(B1300=0,0,O1270/B1300)</f>
        <v/>
      </c>
      <c r="Q1270">
        <f>IFERROR(1/IF(Inputs!$B$4="pvp",15,MAX(0.1,Skills!D14-IF(Skills!E14=TRUE,Inputs!$B$31,0))),0)</f>
        <v/>
      </c>
      <c r="R1270">
        <f>IF(AND(Inputs!$B$4&lt;&gt;"pvp",Inputs!$B$35&gt;0),(INT(Inputs!$B$35/IF(Inputs!$B$4="pvp",15,MAX(0.1,Skills!D14-IF(Skills!E14=TRUE,Inputs!$B$31,0))))+1),0)</f>
        <v/>
      </c>
      <c r="S1270">
        <f>IFERROR(O1270/N1270,0)</f>
        <v/>
      </c>
    </row>
    <row r="1271">
      <c r="A1271">
        <f>Skills!A15</f>
        <v/>
      </c>
      <c r="B1271">
        <f>Skills!B15</f>
        <v/>
      </c>
      <c r="C1271">
        <f>Inputs!$B$3&gt;=110</f>
        <v/>
      </c>
      <c r="D1271">
        <f>IF(Skills!C15=1,60+Inputs!$B$24+Inputs!$B$28,IF(Skills!C15=2,90+Inputs!$B$25+Inputs!$B$28,IF(Skills!C15=3,120+Inputs!$B$26+Inputs!$B$28,MAX(0,(Inputs!$B$3-100)*3)+Inputs!$B$27+Inputs!$B$28)))</f>
        <v/>
      </c>
      <c r="E1271">
        <f>INDEX(FactorTable!$B$2:$Y$301, MATCH(ROUND(MIN(300,MAX(1,D1271)),0), FactorTable!$A$2:$A$301,0), Skills!M15+1)</f>
        <v/>
      </c>
      <c r="F1271">
        <f>IF(Skills!N15=TRUE,(Skills!L15/10)*(E1271/1000),Skills!L15/10)+Skills!O15</f>
        <v/>
      </c>
      <c r="G1271">
        <f>Calc!G15</f>
        <v/>
      </c>
      <c r="H1271">
        <f>Calc!H15</f>
        <v/>
      </c>
      <c r="I1271">
        <f>IF(Skills!AA15&lt;&gt;"",1+(Skills!AA15/10)*(U1259/1000)/100,1)</f>
        <v/>
      </c>
      <c r="J1271" t="inlineStr"/>
      <c r="K1271" t="inlineStr"/>
      <c r="L1271" t="inlineStr"/>
      <c r="M1271" t="inlineStr"/>
      <c r="N1271" t="inlineStr"/>
      <c r="O1271" t="n">
        <v>0</v>
      </c>
      <c r="P1271">
        <f>IF(B1300=0,0,O1271/B1300)</f>
        <v/>
      </c>
      <c r="Q1271">
        <f>IFERROR(1/IF(Inputs!$B$4="pvp",15,MAX(0.1,Skills!D15-IF(Skills!E15=TRUE,Inputs!$B$31,0))),0)</f>
        <v/>
      </c>
      <c r="R1271">
        <f>IF(AND(Inputs!$B$4&lt;&gt;"pvp",Inputs!$B$35&gt;0),(INT(Inputs!$B$35/IF(Inputs!$B$4="pvp",15,MAX(0.1,Skills!D15-IF(Skills!E15=TRUE,Inputs!$B$31,0))))+1),0)</f>
        <v/>
      </c>
      <c r="S1271">
        <f>IFERROR(O1271/N1271,0)</f>
        <v/>
      </c>
    </row>
    <row r="1272">
      <c r="A1272">
        <f>Skills!A16</f>
        <v/>
      </c>
      <c r="B1272">
        <f>Skills!B16</f>
        <v/>
      </c>
      <c r="C1272">
        <f>Inputs!$B$3&gt;=110</f>
        <v/>
      </c>
      <c r="D1272">
        <f>IF(Skills!C16=1,60+Inputs!$B$24+Inputs!$B$28,IF(Skills!C16=2,90+Inputs!$B$25+Inputs!$B$28,IF(Skills!C16=3,120+Inputs!$B$26+Inputs!$B$28,MAX(0,(Inputs!$B$3-100)*3)+Inputs!$B$27+Inputs!$B$28)))</f>
        <v/>
      </c>
      <c r="E1272">
        <f>INDEX(FactorTable!$B$2:$Y$301, MATCH(ROUND(MIN(300,MAX(1,D1272)),0), FactorTable!$A$2:$A$301,0), Skills!M16+1)</f>
        <v/>
      </c>
      <c r="F1272">
        <f>IF(Skills!N16=TRUE,(Skills!L16/10)*(E1272/1000),Skills!L16/10)+Skills!O16</f>
        <v/>
      </c>
      <c r="G1272">
        <f>Calc!G16</f>
        <v/>
      </c>
      <c r="H1272">
        <f>Calc!H16</f>
        <v/>
      </c>
      <c r="I1272">
        <f>IF(Skills!AA16&lt;&gt;"",1+(Skills!AA16/10)*(U1259/1000)/100,1)</f>
        <v/>
      </c>
      <c r="J1272" t="inlineStr"/>
      <c r="K1272" t="inlineStr"/>
      <c r="L1272" t="inlineStr"/>
      <c r="M1272" t="inlineStr"/>
      <c r="N1272" t="inlineStr"/>
      <c r="O1272" t="n">
        <v>0</v>
      </c>
      <c r="P1272">
        <f>IF(B1300=0,0,O1272/B1300)</f>
        <v/>
      </c>
      <c r="Q1272">
        <f>IFERROR(1/IF(Inputs!$B$4="pvp",15,MAX(0.1,Skills!D16-IF(Skills!E16=TRUE,Inputs!$B$31,0))),0)</f>
        <v/>
      </c>
      <c r="R1272">
        <f>IF(AND(Inputs!$B$4&lt;&gt;"pvp",Inputs!$B$35&gt;0),(INT(Inputs!$B$35/IF(Inputs!$B$4="pvp",15,MAX(0.1,Skills!D16-IF(Skills!E16=TRUE,Inputs!$B$31,0))))+1),0)</f>
        <v/>
      </c>
      <c r="S1272">
        <f>IFERROR(O1272/N1272,0)</f>
        <v/>
      </c>
    </row>
    <row r="1273">
      <c r="A1273">
        <f>Skills!A17</f>
        <v/>
      </c>
      <c r="B1273">
        <f>Skills!B17</f>
        <v/>
      </c>
      <c r="C1273">
        <f>Inputs!$B$3&gt;=115</f>
        <v/>
      </c>
      <c r="D1273">
        <f>IF(Skills!C17=1,60+Inputs!$B$24+Inputs!$B$28,IF(Skills!C17=2,90+Inputs!$B$25+Inputs!$B$28,IF(Skills!C17=3,120+Inputs!$B$26+Inputs!$B$28,MAX(0,(Inputs!$B$3-100)*3)+Inputs!$B$27+Inputs!$B$28)))</f>
        <v/>
      </c>
      <c r="E1273">
        <f>INDEX(FactorTable!$B$2:$Y$301, MATCH(ROUND(MIN(300,MAX(1,D1273)),0), FactorTable!$A$2:$A$301,0), Skills!M17+1)</f>
        <v/>
      </c>
      <c r="F1273">
        <f>IF(Skills!N17=TRUE,(Skills!L17/10)*(E1273/1000),Skills!L17/10)+Skills!O17</f>
        <v/>
      </c>
      <c r="G1273">
        <f>Calc!G17</f>
        <v/>
      </c>
      <c r="H1273">
        <f>Calc!H17</f>
        <v/>
      </c>
      <c r="I1273">
        <f>IF(Skills!AA17&lt;&gt;"",1+(Skills!AA17/10)*(U1259/1000)/100,1)</f>
        <v/>
      </c>
      <c r="J1273">
        <f>(Inputs!$B$5*(1+Inputs!$B$6/100))*(F1273/100)</f>
        <v/>
      </c>
      <c r="K1273">
        <f>J1273*(1+((Inputs!$B$11*(1+Inputs!$B$12/100))*0.01+Inputs!$B$13*0.0025)/100)*(1+Inputs!$B$14/100)*(1+IF(Inputs!$B$4="pvp",0,(1-Summary!$B$55)*(Inputs!$B$19+((C1283=TRUE)*(F1283-Calc!F27))+Skills!P17+B1297)+Summary!$B$55*(Inputs!$B$20+Skills!Q17+B1297))/100)*(1+Inputs!$B$15/100)*(5000/(6000+Inputs!$B$7*(1-Inputs!$B$18/100)))*(1+(Inputs!$B$23+((C1286=TRUE)*(F1286-Calc!F30)))/100)*(1+Skills!R17/100)*(1+(IF(Skills!A17="SHOWDOWN",Inputs!$B$16+((C1279=TRUE)*(F1279-Calc!F23)),Inputs!$B$17+((C1285=TRUE)*(F1285-Calc!F29))))/100)*(((1+(((C1277=TRUE)*F1277*IF(AND(Inputs!$B$4&lt;&gt;"pvp",Inputs!$B$35&gt;0),(((S1277-1)*(Skills!Y21*(1+Inputs!$B$33/100))+MIN((Skills!Y21*(1+Inputs!$B$33/100)),MAX(0,Inputs!$B$35-((S1277-1)*Skills!D21))))/Inputs!$B$35),IF(Inputs!$B$4="pvp",MIN((Skills!Y21*(1+Inputs!$B$33/100)),15)/15,(Skills!Y21*(1+Inputs!$B$33/100))/Skills!D21)))+((C1284=TRUE)*(F1284-Calc!F28))+((C1274=TRUE)*(F1274-Calc!F18)))/100)*(1+((C1271=TRUE)*F1271*IF(AND(Inputs!$B$4&lt;&gt;"pvp",Inputs!$B$35&gt;0),(((S1271-1)*(Skills!Y15*(1+Inputs!$B$33/100))+MIN((Skills!Y15*(1+Inputs!$B$33/100)),MAX(0,Inputs!$B$35-((S1271-1)*Skills!D15))))/Inputs!$B$35),IF(Inputs!$B$4="pvp",MIN((Skills!Y15*(1+Inputs!$B$33/100)),15)/15,(Skills!Y15*(1+Inputs!$B$33/100))/Skills!D15)))/100)*(1+((C1262=TRUE)*F1262*B1290)/100))*B1298*I1273)</f>
        <v/>
      </c>
      <c r="L1273">
        <f>K1273*(MIN(Inputs!$B$21+((C1280=TRUE)*(F1280-Calc!F24)),Inputs!$B$22)/100+Inputs!$B$22/100)/2</f>
        <v/>
      </c>
      <c r="M1273">
        <f>L1273*(1+(Inputs!$B$9+((C1282=TRUE)*(F1282-Calc!F26))+B1299)/100)</f>
        <v/>
      </c>
      <c r="N1273">
        <f>L1273*(1-MIN((Inputs!$B$8+((C1281=TRUE)*(F1281-Calc!F25))+B1296),100)/100)+M1273*(MIN((Inputs!$B$8+((C1281=TRUE)*(F1281-Calc!F25))+B1296),100)/100)</f>
        <v/>
      </c>
      <c r="O1273">
        <f>IF(C1273,(Inputs!$B$38+1)*0.2*N1273,0)</f>
        <v/>
      </c>
      <c r="P1273">
        <f>IF(B1300=0,0,O1273/B1300)</f>
        <v/>
      </c>
      <c r="Q1273" t="n">
        <v>0</v>
      </c>
      <c r="R1273" t="n">
        <v>0</v>
      </c>
      <c r="S1273">
        <f>IFERROR(O1273/N1273,0)</f>
        <v/>
      </c>
    </row>
    <row r="1274">
      <c r="A1274">
        <f>Skills!A18</f>
        <v/>
      </c>
      <c r="B1274">
        <f>Skills!B18</f>
        <v/>
      </c>
      <c r="C1274">
        <f>Inputs!$B$3&gt;=115</f>
        <v/>
      </c>
      <c r="D1274">
        <f>IF(Skills!C18=1,60+Inputs!$B$24+Inputs!$B$28,IF(Skills!C18=2,90+Inputs!$B$25+Inputs!$B$28,IF(Skills!C18=3,120+Inputs!$B$26+Inputs!$B$28,MAX(0,(Inputs!$B$3-100)*3)+Inputs!$B$27+Inputs!$B$28)))</f>
        <v/>
      </c>
      <c r="E1274">
        <f>INDEX(FactorTable!$B$2:$Y$301, MATCH(ROUND(MIN(300,MAX(1,D1274)),0), FactorTable!$A$2:$A$301,0), Skills!M18+1)</f>
        <v/>
      </c>
      <c r="F1274">
        <f>IF(Skills!N18=TRUE,(Skills!L18/10)*(E1274/1000),Skills!L18/10)+Skills!O18</f>
        <v/>
      </c>
      <c r="G1274">
        <f>Calc!G18</f>
        <v/>
      </c>
      <c r="H1274">
        <f>Calc!H18</f>
        <v/>
      </c>
      <c r="I1274">
        <f>IF(Skills!AA18&lt;&gt;"",1+(Skills!AA18/10)*(U1259/1000)/100,1)</f>
        <v/>
      </c>
      <c r="J1274" t="inlineStr"/>
      <c r="K1274" t="inlineStr"/>
      <c r="L1274" t="inlineStr"/>
      <c r="M1274" t="inlineStr"/>
      <c r="N1274" t="inlineStr"/>
      <c r="O1274" t="n">
        <v>0</v>
      </c>
      <c r="P1274">
        <f>IF(B1300=0,0,O1274/B1300)</f>
        <v/>
      </c>
      <c r="Q1274" t="n">
        <v>0</v>
      </c>
      <c r="R1274" t="n">
        <v>0</v>
      </c>
      <c r="S1274">
        <f>IFERROR(O1274/N1274,0)</f>
        <v/>
      </c>
    </row>
    <row r="1275">
      <c r="A1275">
        <f>Skills!A19</f>
        <v/>
      </c>
      <c r="B1275">
        <f>Skills!B19</f>
        <v/>
      </c>
      <c r="C1275">
        <f>TRUE</f>
        <v/>
      </c>
      <c r="D1275">
        <f>IF(Skills!C19=1,60+Inputs!$B$24+Inputs!$B$28,IF(Skills!C19=2,90+Inputs!$B$25+Inputs!$B$28,IF(Skills!C19=3,120+Inputs!$B$26+Inputs!$B$28,MAX(0,(Inputs!$B$3-100)*3)+Inputs!$B$27+Inputs!$B$28)))</f>
        <v/>
      </c>
      <c r="E1275">
        <f>INDEX(FactorTable!$B$2:$Y$301, MATCH(ROUND(MIN(300,MAX(1,D1275)),0), FactorTable!$A$2:$A$301,0), Skills!M19+1)</f>
        <v/>
      </c>
      <c r="F1275">
        <f>IF(Skills!N19=TRUE,(Skills!L19/10)*(E1275/1000),Skills!L19/10)+Skills!O19</f>
        <v/>
      </c>
      <c r="G1275">
        <f>Calc!G19</f>
        <v/>
      </c>
      <c r="H1275">
        <f>Calc!H19</f>
        <v/>
      </c>
      <c r="I1275">
        <f>IF(Skills!AA19&lt;&gt;"",1+(Skills!AA19/10)*(U1259/1000)/100,1)</f>
        <v/>
      </c>
      <c r="J1275" t="inlineStr"/>
      <c r="K1275" t="inlineStr"/>
      <c r="L1275" t="inlineStr"/>
      <c r="M1275" t="inlineStr"/>
      <c r="N1275" t="inlineStr"/>
      <c r="O1275" t="n">
        <v>0</v>
      </c>
      <c r="P1275">
        <f>IF(B1300=0,0,O1275/B1300)</f>
        <v/>
      </c>
      <c r="Q1275">
        <f>IFERROR(1/IF(Inputs!$B$4="pvp",15,MAX(0.1,Skills!D19-IF(Skills!E19=TRUE,Inputs!$B$31,0))),0)</f>
        <v/>
      </c>
      <c r="R1275">
        <f>IF(AND(Inputs!$B$4&lt;&gt;"pvp",Inputs!$B$35&gt;0),(INT(Inputs!$B$35/IF(Inputs!$B$4="pvp",15,MAX(0.1,Skills!D19-IF(Skills!E19=TRUE,Inputs!$B$31,0))))+1),0)</f>
        <v/>
      </c>
      <c r="S1275">
        <f>IFERROR(O1275/N1275,0)</f>
        <v/>
      </c>
    </row>
    <row r="1276">
      <c r="A1276">
        <f>Skills!A20</f>
        <v/>
      </c>
      <c r="B1276">
        <f>Skills!B20</f>
        <v/>
      </c>
      <c r="C1276">
        <f>Inputs!$B$3&gt;=15</f>
        <v/>
      </c>
      <c r="D1276">
        <f>IF(Skills!C20=1,60+Inputs!$B$24+Inputs!$B$28,IF(Skills!C20=2,90+Inputs!$B$25+Inputs!$B$28,IF(Skills!C20=3,120+Inputs!$B$26+Inputs!$B$28,MAX(0,(Inputs!$B$3-100)*3)+Inputs!$B$27+Inputs!$B$28)))</f>
        <v/>
      </c>
      <c r="E1276">
        <f>INDEX(FactorTable!$B$2:$Y$301, MATCH(ROUND(MIN(300,MAX(1,D1276)),0), FactorTable!$A$2:$A$301,0), Skills!M20+1)</f>
        <v/>
      </c>
      <c r="F1276">
        <f>IF(Skills!N20=TRUE,(Skills!L20/10)*(E1276/1000),Skills!L20/10)+Skills!O20</f>
        <v/>
      </c>
      <c r="G1276">
        <f>Calc!G20</f>
        <v/>
      </c>
      <c r="H1276">
        <f>Calc!H20</f>
        <v/>
      </c>
      <c r="I1276">
        <f>IF(Skills!AA20&lt;&gt;"",1+(Skills!AA20/10)*(U1259/1000)/100,1)</f>
        <v/>
      </c>
      <c r="J1276" t="inlineStr"/>
      <c r="K1276" t="inlineStr"/>
      <c r="L1276" t="inlineStr"/>
      <c r="M1276" t="inlineStr"/>
      <c r="N1276" t="inlineStr"/>
      <c r="O1276" t="n">
        <v>0</v>
      </c>
      <c r="P1276">
        <f>IF(B1300=0,0,O1276/B1300)</f>
        <v/>
      </c>
      <c r="Q1276">
        <f>IFERROR(1/IF(Inputs!$B$4="pvp",15,MAX(0.1,Skills!D20-IF(Skills!E20=TRUE,Inputs!$B$31,0))),0)</f>
        <v/>
      </c>
      <c r="R1276">
        <f>IF(AND(Inputs!$B$4&lt;&gt;"pvp",Inputs!$B$35&gt;0),(INT(Inputs!$B$35/IF(Inputs!$B$4="pvp",15,MAX(0.1,Skills!D20-IF(Skills!E20=TRUE,Inputs!$B$31,0))))+1),0)</f>
        <v/>
      </c>
      <c r="S1276">
        <f>IFERROR(O1276/N1276,0)</f>
        <v/>
      </c>
    </row>
    <row r="1277">
      <c r="A1277">
        <f>Skills!A21</f>
        <v/>
      </c>
      <c r="B1277">
        <f>Skills!B21</f>
        <v/>
      </c>
      <c r="C1277">
        <f>Inputs!$B$3&gt;=15</f>
        <v/>
      </c>
      <c r="D1277">
        <f>IF(Skills!C21=1,60+Inputs!$B$24+Inputs!$B$28,IF(Skills!C21=2,90+Inputs!$B$25+Inputs!$B$28,IF(Skills!C21=3,120+Inputs!$B$26+Inputs!$B$28,MAX(0,(Inputs!$B$3-100)*3)+Inputs!$B$27+Inputs!$B$28)))</f>
        <v/>
      </c>
      <c r="E1277">
        <f>INDEX(FactorTable!$B$2:$Y$301, MATCH(ROUND(MIN(300,MAX(1,D1277)),0), FactorTable!$A$2:$A$301,0), Skills!M21+1)</f>
        <v/>
      </c>
      <c r="F1277">
        <f>IF(Skills!N21=TRUE,(Skills!L21/10)*(E1277/1000),Skills!L21/10)+Skills!O21</f>
        <v/>
      </c>
      <c r="G1277">
        <f>Calc!G21</f>
        <v/>
      </c>
      <c r="H1277">
        <f>Calc!H21</f>
        <v/>
      </c>
      <c r="I1277">
        <f>IF(Skills!AA21&lt;&gt;"",1+(Skills!AA21/10)*(U1259/1000)/100,1)</f>
        <v/>
      </c>
      <c r="J1277" t="inlineStr"/>
      <c r="K1277" t="inlineStr"/>
      <c r="L1277" t="inlineStr"/>
      <c r="M1277" t="inlineStr"/>
      <c r="N1277" t="inlineStr"/>
      <c r="O1277" t="n">
        <v>0</v>
      </c>
      <c r="P1277">
        <f>IF(B1300=0,0,O1277/B1300)</f>
        <v/>
      </c>
      <c r="Q1277">
        <f>IFERROR(1/IF(Inputs!$B$4="pvp",15,MAX(0.1,Skills!D21-IF(Skills!E21=TRUE,Inputs!$B$31,0))),0)</f>
        <v/>
      </c>
      <c r="R1277">
        <f>IF(AND(Inputs!$B$4&lt;&gt;"pvp",Inputs!$B$35&gt;0),(INT(Inputs!$B$35/IF(Inputs!$B$4="pvp",15,MAX(0.1,Skills!D21-IF(Skills!E21=TRUE,Inputs!$B$31,0))))+1),0)</f>
        <v/>
      </c>
      <c r="S1277">
        <f>IFERROR(O1277/N1277,0)</f>
        <v/>
      </c>
    </row>
    <row r="1278">
      <c r="A1278">
        <f>Skills!A22</f>
        <v/>
      </c>
      <c r="B1278">
        <f>Skills!B22</f>
        <v/>
      </c>
      <c r="C1278">
        <f>Inputs!$B$3&gt;=33</f>
        <v/>
      </c>
      <c r="D1278">
        <f>IF(Skills!C22=1,60+Inputs!$B$24+Inputs!$B$28,IF(Skills!C22=2,90+Inputs!$B$25+Inputs!$B$28,IF(Skills!C22=3,120+Inputs!$B$26+Inputs!$B$28,MAX(0,(Inputs!$B$3-100)*3)+Inputs!$B$27+Inputs!$B$28)))</f>
        <v/>
      </c>
      <c r="E1278">
        <f>INDEX(FactorTable!$B$2:$Y$301, MATCH(ROUND(MIN(300,MAX(1,D1278)),0), FactorTable!$A$2:$A$301,0), Skills!M22+1)</f>
        <v/>
      </c>
      <c r="F1278">
        <f>IF(Skills!N22=TRUE,(Skills!L22/10)*(E1278/1000),Skills!L22/10)+Skills!O22</f>
        <v/>
      </c>
      <c r="G1278">
        <f>Calc!G22</f>
        <v/>
      </c>
      <c r="H1278">
        <f>Calc!H22</f>
        <v/>
      </c>
      <c r="I1278">
        <f>IF(Skills!AA22&lt;&gt;"",1+(Skills!AA22/10)*(U1259/1000)/100,1)</f>
        <v/>
      </c>
      <c r="J1278" t="inlineStr"/>
      <c r="K1278" t="inlineStr"/>
      <c r="L1278" t="inlineStr"/>
      <c r="M1278" t="inlineStr"/>
      <c r="N1278" t="inlineStr"/>
      <c r="O1278" t="n">
        <v>0</v>
      </c>
      <c r="P1278">
        <f>IF(B1300=0,0,O1278/B1300)</f>
        <v/>
      </c>
      <c r="Q1278" t="n">
        <v>0</v>
      </c>
      <c r="R1278" t="n">
        <v>0</v>
      </c>
      <c r="S1278">
        <f>IFERROR(O1278/N1278,0)</f>
        <v/>
      </c>
    </row>
    <row r="1279">
      <c r="A1279">
        <f>Skills!A23</f>
        <v/>
      </c>
      <c r="B1279">
        <f>Skills!B23</f>
        <v/>
      </c>
      <c r="C1279">
        <f>Inputs!$B$3&gt;=38</f>
        <v/>
      </c>
      <c r="D1279">
        <f>IF(Skills!C23=1,60+Inputs!$B$24+Inputs!$B$28,IF(Skills!C23=2,90+Inputs!$B$25+Inputs!$B$28,IF(Skills!C23=3,120+Inputs!$B$26+Inputs!$B$28,MAX(0,(Inputs!$B$3-100)*3)+Inputs!$B$27+Inputs!$B$28)))</f>
        <v/>
      </c>
      <c r="E1279">
        <f>INDEX(FactorTable!$B$2:$Y$301, MATCH(ROUND(MIN(300,MAX(1,D1279)),0), FactorTable!$A$2:$A$301,0), Skills!M23+1)</f>
        <v/>
      </c>
      <c r="F1279">
        <f>IF(Skills!N23=TRUE,(Skills!L23/10)*(E1279/1000),Skills!L23/10)+Skills!O23</f>
        <v/>
      </c>
      <c r="G1279">
        <f>Calc!G23</f>
        <v/>
      </c>
      <c r="H1279">
        <f>Calc!H23</f>
        <v/>
      </c>
      <c r="I1279">
        <f>IF(Skills!AA23&lt;&gt;"",1+(Skills!AA23/10)*(U1259/1000)/100,1)</f>
        <v/>
      </c>
      <c r="J1279" t="inlineStr"/>
      <c r="K1279" t="inlineStr"/>
      <c r="L1279" t="inlineStr"/>
      <c r="M1279" t="inlineStr"/>
      <c r="N1279" t="inlineStr"/>
      <c r="O1279" t="n">
        <v>0</v>
      </c>
      <c r="P1279">
        <f>IF(B1300=0,0,O1279/B1300)</f>
        <v/>
      </c>
      <c r="Q1279" t="n">
        <v>0</v>
      </c>
      <c r="R1279" t="n">
        <v>0</v>
      </c>
      <c r="S1279">
        <f>IFERROR(O1279/N1279,0)</f>
        <v/>
      </c>
    </row>
    <row r="1280">
      <c r="A1280">
        <f>Skills!A24</f>
        <v/>
      </c>
      <c r="B1280">
        <f>Skills!B24</f>
        <v/>
      </c>
      <c r="C1280">
        <f>Inputs!$B$3&gt;=40</f>
        <v/>
      </c>
      <c r="D1280">
        <f>IF(Skills!C24=1,60+Inputs!$B$24+Inputs!$B$28,IF(Skills!C24=2,90+Inputs!$B$25+Inputs!$B$28,IF(Skills!C24=3,120+Inputs!$B$26+Inputs!$B$28,MAX(0,(Inputs!$B$3-100)*3)+Inputs!$B$27+Inputs!$B$28)))</f>
        <v/>
      </c>
      <c r="E1280">
        <f>INDEX(FactorTable!$B$2:$Y$301, MATCH(ROUND(MIN(300,MAX(1,D1280)),0), FactorTable!$A$2:$A$301,0), Skills!M24+1)</f>
        <v/>
      </c>
      <c r="F1280">
        <f>IF(Skills!N24=TRUE,(Skills!L24/10)*(E1280/1000),Skills!L24/10)+Skills!O24</f>
        <v/>
      </c>
      <c r="G1280">
        <f>Calc!G24</f>
        <v/>
      </c>
      <c r="H1280">
        <f>Calc!H24</f>
        <v/>
      </c>
      <c r="I1280">
        <f>IF(Skills!AA24&lt;&gt;"",1+(Skills!AA24/10)*(U1259/1000)/100,1)</f>
        <v/>
      </c>
      <c r="J1280" t="inlineStr"/>
      <c r="K1280" t="inlineStr"/>
      <c r="L1280" t="inlineStr"/>
      <c r="M1280" t="inlineStr"/>
      <c r="N1280" t="inlineStr"/>
      <c r="O1280" t="n">
        <v>0</v>
      </c>
      <c r="P1280">
        <f>IF(B1300=0,0,O1280/B1300)</f>
        <v/>
      </c>
      <c r="Q1280" t="n">
        <v>0</v>
      </c>
      <c r="R1280" t="n">
        <v>0</v>
      </c>
      <c r="S1280">
        <f>IFERROR(O1280/N1280,0)</f>
        <v/>
      </c>
    </row>
    <row r="1281">
      <c r="A1281">
        <f>Skills!A25</f>
        <v/>
      </c>
      <c r="B1281">
        <f>Skills!B25</f>
        <v/>
      </c>
      <c r="C1281">
        <f>Inputs!$B$3&gt;=45</f>
        <v/>
      </c>
      <c r="D1281">
        <f>IF(Skills!C25=1,60+Inputs!$B$24+Inputs!$B$28,IF(Skills!C25=2,90+Inputs!$B$25+Inputs!$B$28,IF(Skills!C25=3,120+Inputs!$B$26+Inputs!$B$28,MAX(0,(Inputs!$B$3-100)*3)+Inputs!$B$27+Inputs!$B$28)))</f>
        <v/>
      </c>
      <c r="E1281">
        <f>INDEX(FactorTable!$B$2:$Y$301, MATCH(ROUND(MIN(300,MAX(1,D1281)),0), FactorTable!$A$2:$A$301,0), Skills!M25+1)</f>
        <v/>
      </c>
      <c r="F1281">
        <f>IF(Skills!N25=TRUE,(Skills!L25/10)*(E1281/1000),Skills!L25/10)+Skills!O25</f>
        <v/>
      </c>
      <c r="G1281">
        <f>Calc!G25</f>
        <v/>
      </c>
      <c r="H1281">
        <f>Calc!H25</f>
        <v/>
      </c>
      <c r="I1281">
        <f>IF(Skills!AA25&lt;&gt;"",1+(Skills!AA25/10)*(U1259/1000)/100,1)</f>
        <v/>
      </c>
      <c r="J1281" t="inlineStr"/>
      <c r="K1281" t="inlineStr"/>
      <c r="L1281" t="inlineStr"/>
      <c r="M1281" t="inlineStr"/>
      <c r="N1281" t="inlineStr"/>
      <c r="O1281" t="n">
        <v>0</v>
      </c>
      <c r="P1281">
        <f>IF(B1300=0,0,O1281/B1300)</f>
        <v/>
      </c>
      <c r="Q1281" t="n">
        <v>0</v>
      </c>
      <c r="R1281" t="n">
        <v>0</v>
      </c>
      <c r="S1281">
        <f>IFERROR(O1281/N1281,0)</f>
        <v/>
      </c>
    </row>
    <row r="1282">
      <c r="A1282">
        <f>Skills!A26</f>
        <v/>
      </c>
      <c r="B1282">
        <f>Skills!B26</f>
        <v/>
      </c>
      <c r="C1282">
        <f>Inputs!$B$3&gt;=45</f>
        <v/>
      </c>
      <c r="D1282">
        <f>IF(Skills!C26=1,60+Inputs!$B$24+Inputs!$B$28,IF(Skills!C26=2,90+Inputs!$B$25+Inputs!$B$28,IF(Skills!C26=3,120+Inputs!$B$26+Inputs!$B$28,MAX(0,(Inputs!$B$3-100)*3)+Inputs!$B$27+Inputs!$B$28)))</f>
        <v/>
      </c>
      <c r="E1282">
        <f>INDEX(FactorTable!$B$2:$Y$301, MATCH(ROUND(MIN(300,MAX(1,D1282)),0), FactorTable!$A$2:$A$301,0), Skills!M26+1)</f>
        <v/>
      </c>
      <c r="F1282">
        <f>IF(Skills!N26=TRUE,(Skills!L26/10)*(E1282/1000),Skills!L26/10)+Skills!O26</f>
        <v/>
      </c>
      <c r="G1282">
        <f>Calc!G26</f>
        <v/>
      </c>
      <c r="H1282">
        <f>Calc!H26</f>
        <v/>
      </c>
      <c r="I1282">
        <f>IF(Skills!AA26&lt;&gt;"",1+(Skills!AA26/10)*(U1259/1000)/100,1)</f>
        <v/>
      </c>
      <c r="J1282" t="inlineStr"/>
      <c r="K1282" t="inlineStr"/>
      <c r="L1282" t="inlineStr"/>
      <c r="M1282" t="inlineStr"/>
      <c r="N1282" t="inlineStr"/>
      <c r="O1282" t="n">
        <v>0</v>
      </c>
      <c r="P1282">
        <f>IF(B1300=0,0,O1282/B1300)</f>
        <v/>
      </c>
      <c r="Q1282" t="n">
        <v>0</v>
      </c>
      <c r="R1282" t="n">
        <v>0</v>
      </c>
      <c r="S1282">
        <f>IFERROR(O1282/N1282,0)</f>
        <v/>
      </c>
    </row>
    <row r="1283">
      <c r="A1283">
        <f>Skills!A27</f>
        <v/>
      </c>
      <c r="B1283">
        <f>Skills!B27</f>
        <v/>
      </c>
      <c r="C1283">
        <f>Inputs!$B$3&gt;=72</f>
        <v/>
      </c>
      <c r="D1283">
        <f>IF(Skills!C27=1,60+Inputs!$B$24+Inputs!$B$28,IF(Skills!C27=2,90+Inputs!$B$25+Inputs!$B$28,IF(Skills!C27=3,120+Inputs!$B$26+Inputs!$B$28,MAX(0,(Inputs!$B$3-100)*3)+Inputs!$B$27+Inputs!$B$28)))</f>
        <v/>
      </c>
      <c r="E1283">
        <f>INDEX(FactorTable!$B$2:$Y$301, MATCH(ROUND(MIN(300,MAX(1,D1283)),0), FactorTable!$A$2:$A$301,0), Skills!M27+1)</f>
        <v/>
      </c>
      <c r="F1283">
        <f>IF(Skills!N27=TRUE,(Skills!L27/10)*(E1283/1000),Skills!L27/10)+Skills!O27</f>
        <v/>
      </c>
      <c r="G1283">
        <f>Calc!G27</f>
        <v/>
      </c>
      <c r="H1283">
        <f>Calc!H27</f>
        <v/>
      </c>
      <c r="I1283">
        <f>IF(Skills!AA27&lt;&gt;"",1+(Skills!AA27/10)*(U1259/1000)/100,1)</f>
        <v/>
      </c>
      <c r="J1283" t="inlineStr"/>
      <c r="K1283" t="inlineStr"/>
      <c r="L1283" t="inlineStr"/>
      <c r="M1283" t="inlineStr"/>
      <c r="N1283" t="inlineStr"/>
      <c r="O1283" t="n">
        <v>0</v>
      </c>
      <c r="P1283">
        <f>IF(B1300=0,0,O1283/B1300)</f>
        <v/>
      </c>
      <c r="Q1283" t="n">
        <v>0</v>
      </c>
      <c r="R1283" t="n">
        <v>0</v>
      </c>
      <c r="S1283">
        <f>IFERROR(O1283/N1283,0)</f>
        <v/>
      </c>
    </row>
    <row r="1284">
      <c r="A1284">
        <f>Skills!A28</f>
        <v/>
      </c>
      <c r="B1284">
        <f>Skills!B28</f>
        <v/>
      </c>
      <c r="C1284">
        <f>Inputs!$B$3&gt;=75</f>
        <v/>
      </c>
      <c r="D1284">
        <f>IF(Skills!C28=1,60+Inputs!$B$24+Inputs!$B$28,IF(Skills!C28=2,90+Inputs!$B$25+Inputs!$B$28,IF(Skills!C28=3,120+Inputs!$B$26+Inputs!$B$28,MAX(0,(Inputs!$B$3-100)*3)+Inputs!$B$27+Inputs!$B$28)))</f>
        <v/>
      </c>
      <c r="E1284">
        <f>INDEX(FactorTable!$B$2:$Y$301, MATCH(ROUND(MIN(300,MAX(1,D1284)),0), FactorTable!$A$2:$A$301,0), Skills!M28+1)</f>
        <v/>
      </c>
      <c r="F1284">
        <f>IF(Skills!N28=TRUE,(Skills!L28/10)*(E1284/1000),Skills!L28/10)+Skills!O28</f>
        <v/>
      </c>
      <c r="G1284">
        <f>Calc!G28</f>
        <v/>
      </c>
      <c r="H1284">
        <f>Calc!H28</f>
        <v/>
      </c>
      <c r="I1284">
        <f>IF(Skills!AA28&lt;&gt;"",1+(Skills!AA28/10)*(U1259/1000)/100,1)</f>
        <v/>
      </c>
      <c r="J1284" t="inlineStr"/>
      <c r="K1284" t="inlineStr"/>
      <c r="L1284" t="inlineStr"/>
      <c r="M1284" t="inlineStr"/>
      <c r="N1284" t="inlineStr"/>
      <c r="O1284" t="n">
        <v>0</v>
      </c>
      <c r="P1284">
        <f>IF(B1300=0,0,O1284/B1300)</f>
        <v/>
      </c>
      <c r="Q1284" t="n">
        <v>0</v>
      </c>
      <c r="R1284" t="n">
        <v>0</v>
      </c>
      <c r="S1284">
        <f>IFERROR(O1284/N1284,0)</f>
        <v/>
      </c>
    </row>
    <row r="1285">
      <c r="A1285">
        <f>Skills!A29</f>
        <v/>
      </c>
      <c r="B1285">
        <f>Skills!B29</f>
        <v/>
      </c>
      <c r="C1285">
        <f>Inputs!$B$3&gt;=120</f>
        <v/>
      </c>
      <c r="D1285">
        <f>IF(Skills!C29=1,60+Inputs!$B$24+Inputs!$B$28,IF(Skills!C29=2,90+Inputs!$B$25+Inputs!$B$28,IF(Skills!C29=3,120+Inputs!$B$26+Inputs!$B$28,MAX(0,(Inputs!$B$3-100)*3)+Inputs!$B$27+Inputs!$B$28)))</f>
        <v/>
      </c>
      <c r="E1285">
        <f>INDEX(FactorTable!$B$2:$Y$301, MATCH(ROUND(MIN(300,MAX(1,D1285)),0), FactorTable!$A$2:$A$301,0), Skills!M29+1)</f>
        <v/>
      </c>
      <c r="F1285">
        <f>IF(Skills!N29=TRUE,(Skills!L29/10)*(E1285/1000),Skills!L29/10)+Skills!O29</f>
        <v/>
      </c>
      <c r="G1285">
        <f>Calc!G29</f>
        <v/>
      </c>
      <c r="H1285">
        <f>Calc!H29</f>
        <v/>
      </c>
      <c r="I1285">
        <f>IF(Skills!AA29&lt;&gt;"",1+(Skills!AA29/10)*(U1259/1000)/100,1)</f>
        <v/>
      </c>
      <c r="J1285" t="inlineStr"/>
      <c r="K1285" t="inlineStr"/>
      <c r="L1285" t="inlineStr"/>
      <c r="M1285" t="inlineStr"/>
      <c r="N1285" t="inlineStr"/>
      <c r="O1285" t="n">
        <v>0</v>
      </c>
      <c r="P1285">
        <f>IF(B1300=0,0,O1285/B1300)</f>
        <v/>
      </c>
      <c r="Q1285" t="n">
        <v>0</v>
      </c>
      <c r="R1285" t="n">
        <v>0</v>
      </c>
      <c r="S1285">
        <f>IFERROR(O1285/N1285,0)</f>
        <v/>
      </c>
    </row>
    <row r="1286">
      <c r="A1286">
        <f>Skills!A30</f>
        <v/>
      </c>
      <c r="B1286">
        <f>Skills!B30</f>
        <v/>
      </c>
      <c r="C1286">
        <f>Inputs!$B$3&gt;=125</f>
        <v/>
      </c>
      <c r="D1286">
        <f>IF(Skills!C30=1,60+Inputs!$B$24+Inputs!$B$28,IF(Skills!C30=2,90+Inputs!$B$25+Inputs!$B$28,IF(Skills!C30=3,120+Inputs!$B$26+Inputs!$B$28,MAX(0,(Inputs!$B$3-100)*3)+Inputs!$B$27+Inputs!$B$28)))</f>
        <v/>
      </c>
      <c r="E1286">
        <f>INDEX(FactorTable!$B$2:$Y$301, MATCH(ROUND(MIN(300,MAX(1,D1286)),0), FactorTable!$A$2:$A$301,0), Skills!M30+1)</f>
        <v/>
      </c>
      <c r="F1286">
        <f>IF(Skills!N30=TRUE,(Skills!L30/10)*(E1286/1000),Skills!L30/10)+Skills!O30</f>
        <v/>
      </c>
      <c r="G1286">
        <f>Calc!G30</f>
        <v/>
      </c>
      <c r="H1286">
        <f>Calc!H30</f>
        <v/>
      </c>
      <c r="I1286">
        <f>IF(Skills!AA30&lt;&gt;"",1+(Skills!AA30/10)*(U1259/1000)/100,1)</f>
        <v/>
      </c>
      <c r="J1286" t="inlineStr"/>
      <c r="K1286" t="inlineStr"/>
      <c r="L1286" t="inlineStr"/>
      <c r="M1286" t="inlineStr"/>
      <c r="N1286" t="inlineStr"/>
      <c r="O1286" t="n">
        <v>0</v>
      </c>
      <c r="P1286">
        <f>IF(B1300=0,0,O1286/B1300)</f>
        <v/>
      </c>
      <c r="Q1286" t="n">
        <v>0</v>
      </c>
      <c r="R1286" t="n">
        <v>0</v>
      </c>
      <c r="S1286">
        <f>IFERROR(O1286/N1286,0)</f>
        <v/>
      </c>
    </row>
    <row r="1287">
      <c r="A1287">
        <f>Skills!A31</f>
        <v/>
      </c>
      <c r="B1287">
        <f>Skills!B31</f>
        <v/>
      </c>
      <c r="C1287">
        <f>Inputs!$B$3&gt;=107</f>
        <v/>
      </c>
      <c r="D1287">
        <f>IF(Skills!C31=1,60+Inputs!$B$24+Inputs!$B$28,IF(Skills!C31=2,90+Inputs!$B$25+Inputs!$B$28,IF(Skills!C31=3,120+Inputs!$B$26+Inputs!$B$28,MAX(0,(Inputs!$B$3-100)*3)+Inputs!$B$27+Inputs!$B$28)))</f>
        <v/>
      </c>
      <c r="E1287">
        <f>INDEX(FactorTable!$B$2:$Y$301, MATCH(ROUND(MIN(300,MAX(1,D1287)),0), FactorTable!$A$2:$A$301,0), Skills!M31+1)</f>
        <v/>
      </c>
      <c r="F1287">
        <f>IF(Skills!N31=TRUE,(Skills!L31/10)*(E1287/1000),Skills!L31/10)+Skills!O31</f>
        <v/>
      </c>
      <c r="G1287">
        <f>Calc!G31</f>
        <v/>
      </c>
      <c r="H1287">
        <f>Calc!H31</f>
        <v/>
      </c>
      <c r="I1287">
        <f>IF(Skills!AA31&lt;&gt;"",1+(Skills!AA31/10)*(U1259/1000)/100,1)</f>
        <v/>
      </c>
      <c r="J1287" t="inlineStr"/>
      <c r="K1287" t="inlineStr"/>
      <c r="L1287" t="inlineStr"/>
      <c r="M1287" t="inlineStr"/>
      <c r="N1287" t="inlineStr"/>
      <c r="O1287" t="n">
        <v>0</v>
      </c>
      <c r="P1287">
        <f>IF(B1300=0,0,O1287/B1300)</f>
        <v/>
      </c>
      <c r="Q1287" t="n">
        <v>0</v>
      </c>
      <c r="R1287" t="n">
        <v>0</v>
      </c>
      <c r="S1287">
        <f>IFERROR(O1287/N1287,0)</f>
        <v/>
      </c>
    </row>
    <row r="1289">
      <c r="A1289" t="inlineStr">
        <is>
          <t>Actions Per Second (pre-Adrenalin)</t>
        </is>
      </c>
      <c r="B1289">
        <f>1+MIN(150,150*(1-(1-(Inputs!$B$10+((C1278=TRUE)*(F1278-Calc!F22)))/150)*(1-((C1275=TRUE)*F1275*IF(AND(Inputs!$B$4&lt;&gt;"pvp",Inputs!$B$35&gt;0),(((S1275-1)*(Skills!Y19*(1+Inputs!$B$33/100))+MIN((Skills!Y19*(1+Inputs!$B$33/100)),MAX(0,Inputs!$B$35-((S1275-1)*Skills!D19))))/Inputs!$B$35),IF(Inputs!$B$4="pvp",MIN((Skills!Y19*(1+Inputs!$B$33/100)),15)/15,(Skills!Y19*(1+Inputs!$B$33/100))/Skills!D19)))/150)))/100</f>
        <v/>
      </c>
    </row>
    <row r="1290">
      <c r="A1290" t="inlineStr">
        <is>
          <t>Alchemic Adrenaline Uptime</t>
        </is>
      </c>
      <c r="B1290">
        <f>(Skills!Y6*(1+Inputs!$B$33/100))/((Skills!Y6*(1+Inputs!$B$33/100))+(5/B1289))</f>
        <v/>
      </c>
    </row>
    <row r="1291">
      <c r="A1291" t="inlineStr">
        <is>
          <t>Attack Speed Buff Bonus %</t>
        </is>
      </c>
      <c r="B1291">
        <f>((C1275=TRUE)*F1275*IF(AND(Inputs!$B$4&lt;&gt;"pvp",Inputs!$B$35&gt;0),(((S1275-1)*(Skills!Y19*(1+Inputs!$B$33/100))+MIN((Skills!Y19*(1+Inputs!$B$33/100)),MAX(0,Inputs!$B$35-((S1275-1)*Skills!D19))))/Inputs!$B$35),IF(Inputs!$B$4="pvp",MIN((Skills!Y19*(1+Inputs!$B$33/100)),15)/15,(Skills!Y19*(1+Inputs!$B$33/100))/Skills!D19)))+((C1263=TRUE)*F1263*B1290)</f>
        <v/>
      </c>
    </row>
    <row r="1292">
      <c r="A1292" t="inlineStr">
        <is>
          <t>Actions Per Second (final)</t>
        </is>
      </c>
      <c r="B1292">
        <f>1+MIN(150,150*(1-(1-(Inputs!$B$10+((C1278=TRUE)*(F1278-Calc!F22)))/150)*(1-B1291/150)))/100</f>
        <v/>
      </c>
    </row>
    <row r="1293">
      <c r="A1293" t="inlineStr">
        <is>
          <t>Skill + Buff Cast Rate</t>
        </is>
      </c>
      <c r="B1293">
        <f>IF(AND(Inputs!$B$4&lt;&gt;"pvp",Inputs!$B$35&gt;0),SUMPRODUCT((Skills!E2:E31=TRUE)*(C1258:C1287=TRUE)*R1258:R1287*Skills!F2:F31)/Inputs!$B$35,SUMPRODUCT((Skills!E2:E31=TRUE)*(C1258:C1287=TRUE)*Q1258:Q1287*Skills!F2:F31))</f>
        <v/>
      </c>
    </row>
    <row r="1294">
      <c r="A1294" t="inlineStr">
        <is>
          <t>Showdown Casts Per Second</t>
        </is>
      </c>
      <c r="B1294">
        <f>MAX(0,B1292-B1293)</f>
        <v/>
      </c>
    </row>
    <row r="1295">
      <c r="A1295" t="inlineStr">
        <is>
          <t>Average Buff Multiplier</t>
        </is>
      </c>
      <c r="B1295">
        <f>(1+(((C1277=TRUE)*F1277*IF(AND(Inputs!$B$4&lt;&gt;"pvp",Inputs!$B$35&gt;0),(((S1277-1)*(Skills!Y21*(1+Inputs!$B$33/100))+MIN((Skills!Y21*(1+Inputs!$B$33/100)),MAX(0,Inputs!$B$35-((S1277-1)*Skills!D21))))/Inputs!$B$35),IF(Inputs!$B$4="pvp",MIN((Skills!Y21*(1+Inputs!$B$33/100)),15)/15,(Skills!Y21*(1+Inputs!$B$33/100))/Skills!D21)))+((C1284=TRUE)*(F1284-Calc!F28))+((C1274=TRUE)*(F1274-Calc!F18)))/100)*(1+((C1271=TRUE)*F1271*IF(AND(Inputs!$B$4&lt;&gt;"pvp",Inputs!$B$35&gt;0),(((S1271-1)*(Skills!Y15*(1+Inputs!$B$33/100))+MIN((Skills!Y15*(1+Inputs!$B$33/100)),MAX(0,Inputs!$B$35-((S1271-1)*Skills!D15))))/Inputs!$B$35),IF(Inputs!$B$4="pvp",MIN((Skills!Y15*(1+Inputs!$B$33/100)),15)/15,(Skills!Y15*(1+Inputs!$B$33/100))/Skills!D15)))/100)*(1+((C1262=TRUE)*F1262*B1290)/100)</f>
        <v/>
      </c>
    </row>
    <row r="1296">
      <c r="A1296" t="inlineStr">
        <is>
          <t>Global Crit Rate Bonus %</t>
        </is>
      </c>
      <c r="B1296">
        <f>IF(Inputs!$B$3&gt;=47,8,0)+((C1276=TRUE)*F1276*IF(AND(Inputs!$B$4&lt;&gt;"pvp",Inputs!$B$35&gt;0),(((S1276-1)*(Skills!Y20*(1+Inputs!$B$33/100))+MIN((Skills!Y20*(1+Inputs!$B$33/100)),MAX(0,Inputs!$B$35-((S1276-1)*Skills!D20))))/Inputs!$B$35),IF(Inputs!$B$4="pvp",MIN((Skills!Y20*(1+Inputs!$B$33/100)),15)/15,(Skills!Y20*(1+Inputs!$B$33/100))/Skills!D20)))</f>
        <v/>
      </c>
    </row>
    <row r="1297">
      <c r="A1297" t="inlineStr">
        <is>
          <t>Global Monster Damage-Taken Bonus %</t>
        </is>
      </c>
      <c r="B1297">
        <f>IF(Inputs!$B$3&gt;=82,15,0)+((C1272=TRUE)*F1272*IF(AND(Inputs!$B$4&lt;&gt;"pvp",Inputs!$B$35&gt;0),(((S1272-1)*(Skills!Y16*(1+Inputs!$B$33/100))+MIN((Skills!Y16*(1+Inputs!$B$33/100)),MAX(0,Inputs!$B$35-((S1272-1)*Skills!D16))))/Inputs!$B$35),IF(Inputs!$B$4="pvp",MIN((Skills!Y16*(1+Inputs!$B$33/100)),15)/15,(Skills!Y16*(1+Inputs!$B$33/100))/Skills!D16)))</f>
        <v/>
      </c>
    </row>
    <row r="1298">
      <c r="A1298" t="inlineStr">
        <is>
          <t>Shadow Partner Average Multiplier</t>
        </is>
      </c>
      <c r="B1298">
        <f>1+((C1267=TRUE)*F1267*I1267*Skills!J11/100)/100</f>
        <v/>
      </c>
    </row>
    <row r="1299">
      <c r="A1299" t="inlineStr">
        <is>
          <t>Global Critical Damage Bonus % (Frailty Curse Mastery Lv.111)</t>
        </is>
      </c>
      <c r="B1299">
        <f>IF(Inputs!$B$3&gt;=111,30,0)*IF(AND(Inputs!$B$4&lt;&gt;"pvp",Inputs!$B$35&gt;0),(((S1272-1)*(Skills!Y16*(1+Inputs!$B$33/100))+MIN((Skills!Y16*(1+Inputs!$B$33/100)),MAX(0,Inputs!$B$35-((S1272-1)*Skills!D16))))/Inputs!$B$35),IF(Inputs!$B$4="pvp",MIN((Skills!Y16*(1+Inputs!$B$33/100)),15)/15,(Skills!Y16*(1+Inputs!$B$33/100))/Skills!D16))</f>
        <v/>
      </c>
    </row>
    <row r="1300">
      <c r="A1300" s="5" t="inlineStr">
        <is>
          <t>TOTAL DPS</t>
        </is>
      </c>
      <c r="B1300" s="5">
        <f>SUM(O1258:O1287)</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70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6" customWidth="1" min="3" max="3"/>
    <col width="26" customWidth="1" min="4" max="4"/>
    <col width="9" customWidth="1" min="5" max="5"/>
    <col width="9" customWidth="1" min="6" max="6"/>
    <col width="8" customWidth="1" min="7" max="7"/>
    <col width="13" customWidth="1" min="8" max="8"/>
    <col width="2" customWidth="1" min="9" max="9"/>
    <col width="26" customWidth="1" min="10" max="10"/>
    <col width="13" customWidth="1" min="11" max="11"/>
    <col width="2" customWidth="1" min="12" max="12"/>
    <col width="12" customWidth="1" min="13" max="13"/>
    <col width="10" customWidth="1" min="14" max="14"/>
    <col width="9" customWidth="1" min="15" max="15"/>
    <col width="2" customWidth="1" min="16" max="16"/>
    <col width="14" customWidth="1" min="17" max="17"/>
  </cols>
  <sheetData>
    <row r="1">
      <c r="A1" s="8" t="inlineStr">
        <is>
          <t>Slot</t>
        </is>
      </c>
      <c r="B1" s="8" t="inlineStr">
        <is>
          <t>Rarity</t>
        </is>
      </c>
      <c r="C1" s="8" t="inlineStr">
        <is>
          <t>Line</t>
        </is>
      </c>
      <c r="D1" s="8" t="inlineStr">
        <is>
          <t>Stat</t>
        </is>
      </c>
      <c r="E1" s="8" t="inlineStr">
        <is>
          <t>Value</t>
        </is>
      </c>
      <c r="F1" s="8" t="inlineStr">
        <is>
          <t>Weight</t>
        </is>
      </c>
      <c r="G1" s="8" t="inlineStr">
        <is>
          <t>Prime</t>
        </is>
      </c>
      <c r="H1" s="8" t="inlineStr">
        <is>
          <t>DPSPerUnit</t>
        </is>
      </c>
      <c r="J1" s="10" t="inlineStr">
        <is>
          <t>Stat</t>
        </is>
      </c>
      <c r="K1" s="10" t="inlineStr">
        <is>
          <t>DPSPerUnit</t>
        </is>
      </c>
      <c r="M1" s="10" t="inlineStr">
        <is>
          <t>Rarity</t>
        </is>
      </c>
      <c r="N1" s="10" t="inlineStr">
        <is>
          <t>Rate</t>
        </is>
      </c>
      <c r="O1" s="10" t="inlineStr">
        <is>
          <t>MaxPity</t>
        </is>
      </c>
      <c r="Q1" s="10" t="inlineStr">
        <is>
          <t>SlotList</t>
        </is>
      </c>
    </row>
    <row r="2">
      <c r="A2" t="inlineStr">
        <is>
          <t>ALL</t>
        </is>
      </c>
      <c r="B2" t="inlineStr">
        <is>
          <t>normal</t>
        </is>
      </c>
      <c r="C2" t="n">
        <v>1</v>
      </c>
      <c r="D2" t="inlineStr">
        <is>
          <t>Critical Rate %</t>
        </is>
      </c>
      <c r="E2" t="n">
        <v>3</v>
      </c>
      <c r="F2" t="n">
        <v>2.5</v>
      </c>
      <c r="G2" t="b">
        <v>0</v>
      </c>
      <c r="H2">
        <f>IF(Inputs!$B$8&gt;=100,Sensitivity!H16,Sensitivity!H15)</f>
        <v/>
      </c>
      <c r="J2" t="inlineStr">
        <is>
          <t>(none)</t>
        </is>
      </c>
      <c r="K2" t="n">
        <v>0</v>
      </c>
      <c r="M2" t="inlineStr">
        <is>
          <t>normal</t>
        </is>
      </c>
      <c r="N2" t="n">
        <v>0.06</v>
      </c>
      <c r="O2" t="n">
        <v>30</v>
      </c>
      <c r="Q2" t="inlineStr">
        <is>
          <t>head</t>
        </is>
      </c>
    </row>
    <row r="3">
      <c r="A3" t="inlineStr">
        <is>
          <t>ALL</t>
        </is>
      </c>
      <c r="B3" t="inlineStr">
        <is>
          <t>normal</t>
        </is>
      </c>
      <c r="C3" t="n">
        <v>1</v>
      </c>
      <c r="D3" t="inlineStr">
        <is>
          <t>Attack Speed %</t>
        </is>
      </c>
      <c r="E3" t="n">
        <v>3</v>
      </c>
      <c r="F3" t="n">
        <v>2.5</v>
      </c>
      <c r="G3" t="b">
        <v>0</v>
      </c>
      <c r="H3">
        <f>Sensitivity!H17</f>
        <v/>
      </c>
      <c r="J3" t="inlineStr">
        <is>
          <t>All Skill Level</t>
        </is>
      </c>
      <c r="K3">
        <f>Sensitivity!H25</f>
        <v/>
      </c>
      <c r="M3" t="inlineStr">
        <is>
          <t>rare</t>
        </is>
      </c>
      <c r="N3" t="n">
        <v>0.03333</v>
      </c>
      <c r="O3" t="n">
        <v>60</v>
      </c>
      <c r="Q3" t="inlineStr">
        <is>
          <t>cape</t>
        </is>
      </c>
    </row>
    <row r="4">
      <c r="A4" t="inlineStr">
        <is>
          <t>ALL</t>
        </is>
      </c>
      <c r="B4" t="inlineStr">
        <is>
          <t>normal</t>
        </is>
      </c>
      <c r="C4" t="n">
        <v>1</v>
      </c>
      <c r="D4" t="inlineStr">
        <is>
          <t>Damage %</t>
        </is>
      </c>
      <c r="E4" t="n">
        <v>5</v>
      </c>
      <c r="F4" t="n">
        <v>4</v>
      </c>
      <c r="G4" t="b">
        <v>0</v>
      </c>
      <c r="H4">
        <f>Sensitivity!H8</f>
        <v/>
      </c>
      <c r="J4" t="inlineStr">
        <is>
          <t>Attack Speed %</t>
        </is>
      </c>
      <c r="K4">
        <f>Sensitivity!H17</f>
        <v/>
      </c>
      <c r="M4" t="inlineStr">
        <is>
          <t>epic</t>
        </is>
      </c>
      <c r="N4" t="n">
        <v>0.0167</v>
      </c>
      <c r="O4" t="n">
        <v>120</v>
      </c>
      <c r="Q4" t="inlineStr">
        <is>
          <t>chest</t>
        </is>
      </c>
    </row>
    <row r="5">
      <c r="A5" t="inlineStr">
        <is>
          <t>ALL</t>
        </is>
      </c>
      <c r="B5" t="inlineStr">
        <is>
          <t>normal</t>
        </is>
      </c>
      <c r="C5" t="n">
        <v>1</v>
      </c>
      <c r="D5" t="inlineStr">
        <is>
          <t>Min Damage Multiplier %</t>
        </is>
      </c>
      <c r="E5" t="n">
        <v>3</v>
      </c>
      <c r="F5" t="n">
        <v>4</v>
      </c>
      <c r="G5" t="b">
        <v>0</v>
      </c>
      <c r="H5">
        <f>Sensitivity!H13</f>
        <v/>
      </c>
      <c r="J5" t="inlineStr">
        <is>
          <t>Basic Attack Damage %</t>
        </is>
      </c>
      <c r="K5">
        <f>Sensitivity!H19</f>
        <v/>
      </c>
      <c r="M5" t="inlineStr">
        <is>
          <t>unique</t>
        </is>
      </c>
      <c r="N5" t="n">
        <v>0.006</v>
      </c>
      <c r="O5" t="n">
        <v>333</v>
      </c>
      <c r="Q5" t="inlineStr">
        <is>
          <t>shoulders</t>
        </is>
      </c>
    </row>
    <row r="6">
      <c r="A6" t="inlineStr">
        <is>
          <t>ALL</t>
        </is>
      </c>
      <c r="B6" t="inlineStr">
        <is>
          <t>normal</t>
        </is>
      </c>
      <c r="C6" t="n">
        <v>1</v>
      </c>
      <c r="D6" t="inlineStr">
        <is>
          <t>Max Damage Multiplier %</t>
        </is>
      </c>
      <c r="E6" t="n">
        <v>3</v>
      </c>
      <c r="F6" t="n">
        <v>4</v>
      </c>
      <c r="G6" t="b">
        <v>0</v>
      </c>
      <c r="H6">
        <f>Sensitivity!H14</f>
        <v/>
      </c>
      <c r="J6" t="inlineStr">
        <is>
          <t>Basic Attack Target Increase</t>
        </is>
      </c>
      <c r="K6">
        <f>Sensitivity!H29</f>
        <v/>
      </c>
      <c r="M6" t="inlineStr">
        <is>
          <t>legendary</t>
        </is>
      </c>
      <c r="N6" t="n">
        <v>0.0021</v>
      </c>
      <c r="O6" t="n">
        <v>714</v>
      </c>
      <c r="Q6" t="inlineStr">
        <is>
          <t>legs</t>
        </is>
      </c>
    </row>
    <row r="7">
      <c r="A7" t="inlineStr">
        <is>
          <t>ALL</t>
        </is>
      </c>
      <c r="B7" t="inlineStr">
        <is>
          <t>normal</t>
        </is>
      </c>
      <c r="C7" t="n">
        <v>1</v>
      </c>
      <c r="D7" t="inlineStr">
        <is>
          <t>Str %</t>
        </is>
      </c>
      <c r="E7" t="n">
        <v>3</v>
      </c>
      <c r="F7" t="n">
        <v>4.5</v>
      </c>
      <c r="G7" t="b">
        <v>0</v>
      </c>
      <c r="H7" t="inlineStr">
        <is>
          <t>0</t>
        </is>
      </c>
      <c r="J7" t="inlineStr">
        <is>
          <t>Buff Duration Increase %</t>
        </is>
      </c>
      <c r="K7">
        <f>Sensitivity!H30</f>
        <v/>
      </c>
      <c r="M7" t="inlineStr">
        <is>
          <t>mystic</t>
        </is>
      </c>
      <c r="N7" t="n">
        <v>0</v>
      </c>
      <c r="O7" t="n">
        <v>0</v>
      </c>
      <c r="Q7" t="inlineStr">
        <is>
          <t>belt</t>
        </is>
      </c>
    </row>
    <row r="8">
      <c r="A8" t="inlineStr">
        <is>
          <t>ALL</t>
        </is>
      </c>
      <c r="B8" t="inlineStr">
        <is>
          <t>normal</t>
        </is>
      </c>
      <c r="C8" t="n">
        <v>1</v>
      </c>
      <c r="D8" t="inlineStr">
        <is>
          <t>Dex %</t>
        </is>
      </c>
      <c r="E8" t="n">
        <v>3</v>
      </c>
      <c r="F8" t="n">
        <v>4.5</v>
      </c>
      <c r="G8" t="b">
        <v>0</v>
      </c>
      <c r="H8" t="inlineStr">
        <is>
          <t>0</t>
        </is>
      </c>
      <c r="J8" t="inlineStr">
        <is>
          <t>Companion Summoning Time Increase %</t>
        </is>
      </c>
      <c r="K8">
        <f>Sensitivity!H16</f>
        <v/>
      </c>
      <c r="Q8" t="inlineStr">
        <is>
          <t>gloves</t>
        </is>
      </c>
    </row>
    <row r="9">
      <c r="A9" t="inlineStr">
        <is>
          <t>ALL</t>
        </is>
      </c>
      <c r="B9" t="inlineStr">
        <is>
          <t>normal</t>
        </is>
      </c>
      <c r="C9" t="n">
        <v>1</v>
      </c>
      <c r="D9" t="inlineStr">
        <is>
          <t>Int %</t>
        </is>
      </c>
      <c r="E9" t="n">
        <v>3</v>
      </c>
      <c r="F9" t="n">
        <v>4.5</v>
      </c>
      <c r="G9" t="b">
        <v>0</v>
      </c>
      <c r="H9" t="inlineStr">
        <is>
          <t>0</t>
        </is>
      </c>
      <c r="J9" t="inlineStr">
        <is>
          <t>Critical Damage %</t>
        </is>
      </c>
      <c r="K9">
        <f>Sensitivity!H16</f>
        <v/>
      </c>
      <c r="Q9" t="inlineStr">
        <is>
          <t>boots</t>
        </is>
      </c>
    </row>
    <row r="10">
      <c r="A10" t="inlineStr">
        <is>
          <t>ALL</t>
        </is>
      </c>
      <c r="B10" t="inlineStr">
        <is>
          <t>normal</t>
        </is>
      </c>
      <c r="C10" t="n">
        <v>1</v>
      </c>
      <c r="D10" t="inlineStr">
        <is>
          <t>Luk %</t>
        </is>
      </c>
      <c r="E10" t="n">
        <v>3</v>
      </c>
      <c r="F10" t="n">
        <v>4.5</v>
      </c>
      <c r="G10" t="b">
        <v>0</v>
      </c>
      <c r="H10">
        <f>Sensitivity!H6</f>
        <v/>
      </c>
      <c r="J10" t="inlineStr">
        <is>
          <t>Critical Rate %</t>
        </is>
      </c>
      <c r="K10">
        <f>IF(Inputs!$B$8&gt;=100,Sensitivity!H16,Sensitivity!H15)</f>
        <v/>
      </c>
      <c r="Q10" t="inlineStr">
        <is>
          <t>ring</t>
        </is>
      </c>
    </row>
    <row r="11">
      <c r="A11" t="inlineStr">
        <is>
          <t>ALL</t>
        </is>
      </c>
      <c r="B11" t="inlineStr">
        <is>
          <t>normal</t>
        </is>
      </c>
      <c r="C11" t="n">
        <v>1</v>
      </c>
      <c r="D11" t="inlineStr">
        <is>
          <t>Defense %</t>
        </is>
      </c>
      <c r="E11" t="n">
        <v>3</v>
      </c>
      <c r="F11" t="n">
        <v>9</v>
      </c>
      <c r="G11" t="b">
        <v>0</v>
      </c>
      <c r="H11" t="inlineStr">
        <is>
          <t>0</t>
        </is>
      </c>
      <c r="J11" t="inlineStr">
        <is>
          <t>Damage %</t>
        </is>
      </c>
      <c r="K11">
        <f>Sensitivity!H8</f>
        <v/>
      </c>
      <c r="Q11" t="inlineStr">
        <is>
          <t>neck</t>
        </is>
      </c>
    </row>
    <row r="12">
      <c r="A12" t="inlineStr">
        <is>
          <t>ALL</t>
        </is>
      </c>
      <c r="B12" t="inlineStr">
        <is>
          <t>normal</t>
        </is>
      </c>
      <c r="C12" t="n">
        <v>1</v>
      </c>
      <c r="D12" t="inlineStr">
        <is>
          <t>Max HP %</t>
        </is>
      </c>
      <c r="E12" t="n">
        <v>6</v>
      </c>
      <c r="F12" t="n">
        <v>9</v>
      </c>
      <c r="G12" t="b">
        <v>0</v>
      </c>
      <c r="H12" t="inlineStr">
        <is>
          <t>0</t>
        </is>
      </c>
      <c r="J12" t="inlineStr">
        <is>
          <t>Defense %</t>
        </is>
      </c>
      <c r="K12" t="inlineStr">
        <is>
          <t>0</t>
        </is>
      </c>
      <c r="Q12" t="inlineStr">
        <is>
          <t>eye-accessory</t>
        </is>
      </c>
    </row>
    <row r="13">
      <c r="A13" t="inlineStr">
        <is>
          <t>ALL</t>
        </is>
      </c>
      <c r="B13" t="inlineStr">
        <is>
          <t>normal</t>
        </is>
      </c>
      <c r="C13" t="n">
        <v>1</v>
      </c>
      <c r="D13" t="inlineStr">
        <is>
          <t>Max MP %</t>
        </is>
      </c>
      <c r="E13" t="n">
        <v>3</v>
      </c>
      <c r="F13" t="n">
        <v>9</v>
      </c>
      <c r="G13" t="b">
        <v>0</v>
      </c>
      <c r="H13" t="inlineStr">
        <is>
          <t>0</t>
        </is>
      </c>
      <c r="J13" t="inlineStr">
        <is>
          <t>Defense Penetration</t>
        </is>
      </c>
      <c r="K13">
        <f>Sensitivity!H18</f>
        <v/>
      </c>
      <c r="Q13" t="inlineStr">
        <is>
          <t>ring2</t>
        </is>
      </c>
    </row>
    <row r="14">
      <c r="A14" t="inlineStr">
        <is>
          <t>ALL</t>
        </is>
      </c>
      <c r="B14" t="inlineStr">
        <is>
          <t>normal</t>
        </is>
      </c>
      <c r="C14" t="n">
        <v>1</v>
      </c>
      <c r="D14" t="inlineStr">
        <is>
          <t>Str</t>
        </is>
      </c>
      <c r="E14" t="n">
        <v>50</v>
      </c>
      <c r="F14" t="n">
        <v>9.5</v>
      </c>
      <c r="G14" t="b">
        <v>0</v>
      </c>
      <c r="H14" t="inlineStr">
        <is>
          <t>0</t>
        </is>
      </c>
      <c r="J14" t="inlineStr">
        <is>
          <t>Dex</t>
        </is>
      </c>
      <c r="K14" t="inlineStr">
        <is>
          <t>0</t>
        </is>
      </c>
      <c r="Q14" t="inlineStr">
        <is>
          <t>face</t>
        </is>
      </c>
    </row>
    <row r="15">
      <c r="A15" t="inlineStr">
        <is>
          <t>ALL</t>
        </is>
      </c>
      <c r="B15" t="inlineStr">
        <is>
          <t>normal</t>
        </is>
      </c>
      <c r="C15" t="n">
        <v>1</v>
      </c>
      <c r="D15" t="inlineStr">
        <is>
          <t>Dex</t>
        </is>
      </c>
      <c r="E15" t="n">
        <v>50</v>
      </c>
      <c r="F15" t="n">
        <v>9.5</v>
      </c>
      <c r="G15" t="b">
        <v>0</v>
      </c>
      <c r="H15" t="inlineStr">
        <is>
          <t>0</t>
        </is>
      </c>
      <c r="J15" t="inlineStr">
        <is>
          <t>Dex %</t>
        </is>
      </c>
      <c r="K15" t="inlineStr">
        <is>
          <t>0</t>
        </is>
      </c>
      <c r="Q15" t="inlineStr">
        <is>
          <t>earrings</t>
        </is>
      </c>
    </row>
    <row r="16">
      <c r="A16" t="inlineStr">
        <is>
          <t>ALL</t>
        </is>
      </c>
      <c r="B16" t="inlineStr">
        <is>
          <t>normal</t>
        </is>
      </c>
      <c r="C16" t="n">
        <v>1</v>
      </c>
      <c r="D16" t="inlineStr">
        <is>
          <t>Int</t>
        </is>
      </c>
      <c r="E16" t="n">
        <v>50</v>
      </c>
      <c r="F16" t="n">
        <v>9.5</v>
      </c>
      <c r="G16" t="b">
        <v>0</v>
      </c>
      <c r="H16" t="inlineStr">
        <is>
          <t>0</t>
        </is>
      </c>
      <c r="J16" t="inlineStr">
        <is>
          <t>Final Damage %</t>
        </is>
      </c>
      <c r="K16">
        <f>Sensitivity!H12</f>
        <v/>
      </c>
      <c r="Q16" t="inlineStr">
        <is>
          <t>pocket</t>
        </is>
      </c>
    </row>
    <row r="17">
      <c r="A17" t="inlineStr">
        <is>
          <t>ALL</t>
        </is>
      </c>
      <c r="B17" t="inlineStr">
        <is>
          <t>normal</t>
        </is>
      </c>
      <c r="C17" t="n">
        <v>1</v>
      </c>
      <c r="D17" t="inlineStr">
        <is>
          <t>Luk</t>
        </is>
      </c>
      <c r="E17" t="n">
        <v>50</v>
      </c>
      <c r="F17" t="n">
        <v>9.5</v>
      </c>
      <c r="G17" t="b">
        <v>0</v>
      </c>
      <c r="H17">
        <f>Sensitivity!H5</f>
        <v/>
      </c>
      <c r="J17" t="inlineStr">
        <is>
          <t>Int</t>
        </is>
      </c>
      <c r="K17" t="inlineStr">
        <is>
          <t>0</t>
        </is>
      </c>
    </row>
    <row r="18">
      <c r="A18" t="inlineStr">
        <is>
          <t>ALL</t>
        </is>
      </c>
      <c r="B18" t="inlineStr">
        <is>
          <t>normal</t>
        </is>
      </c>
      <c r="C18" t="n">
        <v>2</v>
      </c>
      <c r="D18" t="inlineStr">
        <is>
          <t>Critical Rate %</t>
        </is>
      </c>
      <c r="E18" t="n">
        <v>3</v>
      </c>
      <c r="F18" t="n">
        <v>2.5</v>
      </c>
      <c r="G18" t="b">
        <v>0</v>
      </c>
      <c r="H18">
        <f>IF(Inputs!$B$8&gt;=100,Sensitivity!H16,Sensitivity!H15)</f>
        <v/>
      </c>
      <c r="J18" t="inlineStr">
        <is>
          <t>Int %</t>
        </is>
      </c>
      <c r="K18" t="inlineStr">
        <is>
          <t>0</t>
        </is>
      </c>
    </row>
    <row r="19">
      <c r="A19" t="inlineStr">
        <is>
          <t>ALL</t>
        </is>
      </c>
      <c r="B19" t="inlineStr">
        <is>
          <t>normal</t>
        </is>
      </c>
      <c r="C19" t="n">
        <v>2</v>
      </c>
      <c r="D19" t="inlineStr">
        <is>
          <t>Attack Speed %</t>
        </is>
      </c>
      <c r="E19" t="n">
        <v>3</v>
      </c>
      <c r="F19" t="n">
        <v>2.5</v>
      </c>
      <c r="G19" t="b">
        <v>0</v>
      </c>
      <c r="H19">
        <f>Sensitivity!H17</f>
        <v/>
      </c>
      <c r="J19" t="inlineStr">
        <is>
          <t>Luk</t>
        </is>
      </c>
      <c r="K19">
        <f>Sensitivity!H5</f>
        <v/>
      </c>
    </row>
    <row r="20">
      <c r="A20" t="inlineStr">
        <is>
          <t>ALL</t>
        </is>
      </c>
      <c r="B20" t="inlineStr">
        <is>
          <t>normal</t>
        </is>
      </c>
      <c r="C20" t="n">
        <v>2</v>
      </c>
      <c r="D20" t="inlineStr">
        <is>
          <t>Damage %</t>
        </is>
      </c>
      <c r="E20" t="n">
        <v>5</v>
      </c>
      <c r="F20" t="n">
        <v>4</v>
      </c>
      <c r="G20" t="b">
        <v>0</v>
      </c>
      <c r="H20">
        <f>Sensitivity!H8</f>
        <v/>
      </c>
      <c r="J20" t="inlineStr">
        <is>
          <t>Luk %</t>
        </is>
      </c>
      <c r="K20">
        <f>Sensitivity!H6</f>
        <v/>
      </c>
    </row>
    <row r="21">
      <c r="A21" t="inlineStr">
        <is>
          <t>ALL</t>
        </is>
      </c>
      <c r="B21" t="inlineStr">
        <is>
          <t>normal</t>
        </is>
      </c>
      <c r="C21" t="n">
        <v>2</v>
      </c>
      <c r="D21" t="inlineStr">
        <is>
          <t>Min Damage Multiplier %</t>
        </is>
      </c>
      <c r="E21" t="n">
        <v>3</v>
      </c>
      <c r="F21" t="n">
        <v>4</v>
      </c>
      <c r="G21" t="b">
        <v>0</v>
      </c>
      <c r="H21">
        <f>Sensitivity!H13</f>
        <v/>
      </c>
      <c r="J21" t="inlineStr">
        <is>
          <t>Main Stat % per 4 Levels</t>
        </is>
      </c>
      <c r="K21">
        <f>Sensitivity!H6*INT(Inputs!$B$3/4)</f>
        <v/>
      </c>
    </row>
    <row r="22">
      <c r="A22" t="inlineStr">
        <is>
          <t>ALL</t>
        </is>
      </c>
      <c r="B22" t="inlineStr">
        <is>
          <t>normal</t>
        </is>
      </c>
      <c r="C22" t="n">
        <v>2</v>
      </c>
      <c r="D22" t="inlineStr">
        <is>
          <t>Max Damage Multiplier %</t>
        </is>
      </c>
      <c r="E22" t="n">
        <v>3</v>
      </c>
      <c r="F22" t="n">
        <v>4</v>
      </c>
      <c r="G22" t="b">
        <v>0</v>
      </c>
      <c r="H22">
        <f>Sensitivity!H14</f>
        <v/>
      </c>
      <c r="J22" t="inlineStr">
        <is>
          <t>Main Stat Per Level</t>
        </is>
      </c>
      <c r="K22">
        <f>Sensitivity!H5*Inputs!$B$3</f>
        <v/>
      </c>
    </row>
    <row r="23">
      <c r="A23" t="inlineStr">
        <is>
          <t>ALL</t>
        </is>
      </c>
      <c r="B23" t="inlineStr">
        <is>
          <t>normal</t>
        </is>
      </c>
      <c r="C23" t="n">
        <v>2</v>
      </c>
      <c r="D23" t="inlineStr">
        <is>
          <t>Str %</t>
        </is>
      </c>
      <c r="E23" t="n">
        <v>3</v>
      </c>
      <c r="F23" t="n">
        <v>4.5</v>
      </c>
      <c r="G23" t="b">
        <v>0</v>
      </c>
      <c r="H23" t="inlineStr">
        <is>
          <t>0</t>
        </is>
      </c>
      <c r="J23" t="inlineStr">
        <is>
          <t>Max Damage Multiplier %</t>
        </is>
      </c>
      <c r="K23">
        <f>Sensitivity!H14</f>
        <v/>
      </c>
    </row>
    <row r="24">
      <c r="A24" t="inlineStr">
        <is>
          <t>ALL</t>
        </is>
      </c>
      <c r="B24" t="inlineStr">
        <is>
          <t>normal</t>
        </is>
      </c>
      <c r="C24" t="n">
        <v>2</v>
      </c>
      <c r="D24" t="inlineStr">
        <is>
          <t>Dex %</t>
        </is>
      </c>
      <c r="E24" t="n">
        <v>3</v>
      </c>
      <c r="F24" t="n">
        <v>4.5</v>
      </c>
      <c r="G24" t="b">
        <v>0</v>
      </c>
      <c r="H24" t="inlineStr">
        <is>
          <t>0</t>
        </is>
      </c>
      <c r="J24" t="inlineStr">
        <is>
          <t>Max HP %</t>
        </is>
      </c>
      <c r="K24" t="inlineStr">
        <is>
          <t>0</t>
        </is>
      </c>
    </row>
    <row r="25">
      <c r="A25" t="inlineStr">
        <is>
          <t>ALL</t>
        </is>
      </c>
      <c r="B25" t="inlineStr">
        <is>
          <t>normal</t>
        </is>
      </c>
      <c r="C25" t="n">
        <v>2</v>
      </c>
      <c r="D25" t="inlineStr">
        <is>
          <t>Int %</t>
        </is>
      </c>
      <c r="E25" t="n">
        <v>3</v>
      </c>
      <c r="F25" t="n">
        <v>4.5</v>
      </c>
      <c r="G25" t="b">
        <v>0</v>
      </c>
      <c r="H25" t="inlineStr">
        <is>
          <t>0</t>
        </is>
      </c>
      <c r="J25" t="inlineStr">
        <is>
          <t>Max MP %</t>
        </is>
      </c>
      <c r="K25" t="inlineStr">
        <is>
          <t>0</t>
        </is>
      </c>
    </row>
    <row r="26">
      <c r="A26" t="inlineStr">
        <is>
          <t>ALL</t>
        </is>
      </c>
      <c r="B26" t="inlineStr">
        <is>
          <t>normal</t>
        </is>
      </c>
      <c r="C26" t="n">
        <v>2</v>
      </c>
      <c r="D26" t="inlineStr">
        <is>
          <t>Luk %</t>
        </is>
      </c>
      <c r="E26" t="n">
        <v>3</v>
      </c>
      <c r="F26" t="n">
        <v>4.5</v>
      </c>
      <c r="G26" t="b">
        <v>0</v>
      </c>
      <c r="H26">
        <f>Sensitivity!H6</f>
        <v/>
      </c>
      <c r="J26" t="inlineStr">
        <is>
          <t>Min Damage Multiplier %</t>
        </is>
      </c>
      <c r="K26">
        <f>Sensitivity!H13</f>
        <v/>
      </c>
    </row>
    <row r="27">
      <c r="A27" t="inlineStr">
        <is>
          <t>ALL</t>
        </is>
      </c>
      <c r="B27" t="inlineStr">
        <is>
          <t>normal</t>
        </is>
      </c>
      <c r="C27" t="n">
        <v>2</v>
      </c>
      <c r="D27" t="inlineStr">
        <is>
          <t>Defense %</t>
        </is>
      </c>
      <c r="E27" t="n">
        <v>3</v>
      </c>
      <c r="F27" t="n">
        <v>9</v>
      </c>
      <c r="G27" t="b">
        <v>0</v>
      </c>
      <c r="H27" t="inlineStr">
        <is>
          <t>0</t>
        </is>
      </c>
      <c r="J27" t="inlineStr">
        <is>
          <t>Skill Cooldown Decrease (seconds)</t>
        </is>
      </c>
      <c r="K27">
        <f>Sensitivity!H28</f>
        <v/>
      </c>
    </row>
    <row r="28">
      <c r="A28" t="inlineStr">
        <is>
          <t>ALL</t>
        </is>
      </c>
      <c r="B28" t="inlineStr">
        <is>
          <t>normal</t>
        </is>
      </c>
      <c r="C28" t="n">
        <v>2</v>
      </c>
      <c r="D28" t="inlineStr">
        <is>
          <t>Max HP %</t>
        </is>
      </c>
      <c r="E28" t="n">
        <v>6</v>
      </c>
      <c r="F28" t="n">
        <v>9</v>
      </c>
      <c r="G28" t="b">
        <v>0</v>
      </c>
      <c r="H28" t="inlineStr">
        <is>
          <t>0</t>
        </is>
      </c>
      <c r="J28" t="inlineStr">
        <is>
          <t>Skill Damage %</t>
        </is>
      </c>
      <c r="K28">
        <f>Sensitivity!H20</f>
        <v/>
      </c>
    </row>
    <row r="29">
      <c r="A29" t="inlineStr">
        <is>
          <t>ALL</t>
        </is>
      </c>
      <c r="B29" t="inlineStr">
        <is>
          <t>normal</t>
        </is>
      </c>
      <c r="C29" t="n">
        <v>2</v>
      </c>
      <c r="D29" t="inlineStr">
        <is>
          <t>Max MP %</t>
        </is>
      </c>
      <c r="E29" t="n">
        <v>3</v>
      </c>
      <c r="F29" t="n">
        <v>9</v>
      </c>
      <c r="G29" t="b">
        <v>0</v>
      </c>
      <c r="H29" t="inlineStr">
        <is>
          <t>0</t>
        </is>
      </c>
      <c r="J29" t="inlineStr">
        <is>
          <t>Str</t>
        </is>
      </c>
      <c r="K29" t="inlineStr">
        <is>
          <t>0</t>
        </is>
      </c>
    </row>
    <row r="30">
      <c r="A30" t="inlineStr">
        <is>
          <t>ALL</t>
        </is>
      </c>
      <c r="B30" t="inlineStr">
        <is>
          <t>normal</t>
        </is>
      </c>
      <c r="C30" t="n">
        <v>2</v>
      </c>
      <c r="D30" t="inlineStr">
        <is>
          <t>Str</t>
        </is>
      </c>
      <c r="E30" t="n">
        <v>50</v>
      </c>
      <c r="F30" t="n">
        <v>9.5</v>
      </c>
      <c r="G30" t="b">
        <v>0</v>
      </c>
      <c r="H30" t="inlineStr">
        <is>
          <t>0</t>
        </is>
      </c>
      <c r="J30" t="inlineStr">
        <is>
          <t>Str %</t>
        </is>
      </c>
      <c r="K30" t="inlineStr">
        <is>
          <t>0</t>
        </is>
      </c>
    </row>
    <row r="31">
      <c r="A31" t="inlineStr">
        <is>
          <t>ALL</t>
        </is>
      </c>
      <c r="B31" t="inlineStr">
        <is>
          <t>normal</t>
        </is>
      </c>
      <c r="C31" t="n">
        <v>2</v>
      </c>
      <c r="D31" t="inlineStr">
        <is>
          <t>Dex</t>
        </is>
      </c>
      <c r="E31" t="n">
        <v>50</v>
      </c>
      <c r="F31" t="n">
        <v>9.5</v>
      </c>
      <c r="G31" t="b">
        <v>0</v>
      </c>
      <c r="H31" t="inlineStr">
        <is>
          <t>0</t>
        </is>
      </c>
    </row>
    <row r="32">
      <c r="A32" t="inlineStr">
        <is>
          <t>ALL</t>
        </is>
      </c>
      <c r="B32" t="inlineStr">
        <is>
          <t>normal</t>
        </is>
      </c>
      <c r="C32" t="n">
        <v>2</v>
      </c>
      <c r="D32" t="inlineStr">
        <is>
          <t>Int</t>
        </is>
      </c>
      <c r="E32" t="n">
        <v>50</v>
      </c>
      <c r="F32" t="n">
        <v>9.5</v>
      </c>
      <c r="G32" t="b">
        <v>0</v>
      </c>
      <c r="H32" t="inlineStr">
        <is>
          <t>0</t>
        </is>
      </c>
    </row>
    <row r="33">
      <c r="A33" t="inlineStr">
        <is>
          <t>ALL</t>
        </is>
      </c>
      <c r="B33" t="inlineStr">
        <is>
          <t>normal</t>
        </is>
      </c>
      <c r="C33" t="n">
        <v>2</v>
      </c>
      <c r="D33" t="inlineStr">
        <is>
          <t>Luk</t>
        </is>
      </c>
      <c r="E33" t="n">
        <v>50</v>
      </c>
      <c r="F33" t="n">
        <v>9.5</v>
      </c>
      <c r="G33" t="b">
        <v>0</v>
      </c>
      <c r="H33">
        <f>Sensitivity!H5</f>
        <v/>
      </c>
    </row>
    <row r="34">
      <c r="A34" t="inlineStr">
        <is>
          <t>ALL</t>
        </is>
      </c>
      <c r="B34" t="inlineStr">
        <is>
          <t>normal</t>
        </is>
      </c>
      <c r="C34" t="n">
        <v>3</v>
      </c>
      <c r="D34" t="inlineStr">
        <is>
          <t>Critical Rate %</t>
        </is>
      </c>
      <c r="E34" t="n">
        <v>3</v>
      </c>
      <c r="F34" t="n">
        <v>2.5</v>
      </c>
      <c r="G34" t="b">
        <v>0</v>
      </c>
      <c r="H34">
        <f>IF(Inputs!$B$8&gt;=100,Sensitivity!H16,Sensitivity!H15)</f>
        <v/>
      </c>
    </row>
    <row r="35">
      <c r="A35" t="inlineStr">
        <is>
          <t>ALL</t>
        </is>
      </c>
      <c r="B35" t="inlineStr">
        <is>
          <t>normal</t>
        </is>
      </c>
      <c r="C35" t="n">
        <v>3</v>
      </c>
      <c r="D35" t="inlineStr">
        <is>
          <t>Attack Speed %</t>
        </is>
      </c>
      <c r="E35" t="n">
        <v>3</v>
      </c>
      <c r="F35" t="n">
        <v>2.5</v>
      </c>
      <c r="G35" t="b">
        <v>0</v>
      </c>
      <c r="H35">
        <f>Sensitivity!H17</f>
        <v/>
      </c>
    </row>
    <row r="36">
      <c r="A36" t="inlineStr">
        <is>
          <t>ALL</t>
        </is>
      </c>
      <c r="B36" t="inlineStr">
        <is>
          <t>normal</t>
        </is>
      </c>
      <c r="C36" t="n">
        <v>3</v>
      </c>
      <c r="D36" t="inlineStr">
        <is>
          <t>Damage %</t>
        </is>
      </c>
      <c r="E36" t="n">
        <v>5</v>
      </c>
      <c r="F36" t="n">
        <v>4</v>
      </c>
      <c r="G36" t="b">
        <v>0</v>
      </c>
      <c r="H36">
        <f>Sensitivity!H8</f>
        <v/>
      </c>
    </row>
    <row r="37">
      <c r="A37" t="inlineStr">
        <is>
          <t>ALL</t>
        </is>
      </c>
      <c r="B37" t="inlineStr">
        <is>
          <t>normal</t>
        </is>
      </c>
      <c r="C37" t="n">
        <v>3</v>
      </c>
      <c r="D37" t="inlineStr">
        <is>
          <t>Min Damage Multiplier %</t>
        </is>
      </c>
      <c r="E37" t="n">
        <v>3</v>
      </c>
      <c r="F37" t="n">
        <v>4</v>
      </c>
      <c r="G37" t="b">
        <v>0</v>
      </c>
      <c r="H37">
        <f>Sensitivity!H13</f>
        <v/>
      </c>
    </row>
    <row r="38">
      <c r="A38" t="inlineStr">
        <is>
          <t>ALL</t>
        </is>
      </c>
      <c r="B38" t="inlineStr">
        <is>
          <t>normal</t>
        </is>
      </c>
      <c r="C38" t="n">
        <v>3</v>
      </c>
      <c r="D38" t="inlineStr">
        <is>
          <t>Max Damage Multiplier %</t>
        </is>
      </c>
      <c r="E38" t="n">
        <v>3</v>
      </c>
      <c r="F38" t="n">
        <v>4</v>
      </c>
      <c r="G38" t="b">
        <v>0</v>
      </c>
      <c r="H38">
        <f>Sensitivity!H14</f>
        <v/>
      </c>
    </row>
    <row r="39">
      <c r="A39" t="inlineStr">
        <is>
          <t>ALL</t>
        </is>
      </c>
      <c r="B39" t="inlineStr">
        <is>
          <t>normal</t>
        </is>
      </c>
      <c r="C39" t="n">
        <v>3</v>
      </c>
      <c r="D39" t="inlineStr">
        <is>
          <t>Str %</t>
        </is>
      </c>
      <c r="E39" t="n">
        <v>3</v>
      </c>
      <c r="F39" t="n">
        <v>4.5</v>
      </c>
      <c r="G39" t="b">
        <v>0</v>
      </c>
      <c r="H39" t="inlineStr">
        <is>
          <t>0</t>
        </is>
      </c>
    </row>
    <row r="40">
      <c r="A40" t="inlineStr">
        <is>
          <t>ALL</t>
        </is>
      </c>
      <c r="B40" t="inlineStr">
        <is>
          <t>normal</t>
        </is>
      </c>
      <c r="C40" t="n">
        <v>3</v>
      </c>
      <c r="D40" t="inlineStr">
        <is>
          <t>Dex %</t>
        </is>
      </c>
      <c r="E40" t="n">
        <v>3</v>
      </c>
      <c r="F40" t="n">
        <v>4.5</v>
      </c>
      <c r="G40" t="b">
        <v>0</v>
      </c>
      <c r="H40" t="inlineStr">
        <is>
          <t>0</t>
        </is>
      </c>
    </row>
    <row r="41">
      <c r="A41" t="inlineStr">
        <is>
          <t>ALL</t>
        </is>
      </c>
      <c r="B41" t="inlineStr">
        <is>
          <t>normal</t>
        </is>
      </c>
      <c r="C41" t="n">
        <v>3</v>
      </c>
      <c r="D41" t="inlineStr">
        <is>
          <t>Int %</t>
        </is>
      </c>
      <c r="E41" t="n">
        <v>3</v>
      </c>
      <c r="F41" t="n">
        <v>4.5</v>
      </c>
      <c r="G41" t="b">
        <v>0</v>
      </c>
      <c r="H41" t="inlineStr">
        <is>
          <t>0</t>
        </is>
      </c>
    </row>
    <row r="42">
      <c r="A42" t="inlineStr">
        <is>
          <t>ALL</t>
        </is>
      </c>
      <c r="B42" t="inlineStr">
        <is>
          <t>normal</t>
        </is>
      </c>
      <c r="C42" t="n">
        <v>3</v>
      </c>
      <c r="D42" t="inlineStr">
        <is>
          <t>Luk %</t>
        </is>
      </c>
      <c r="E42" t="n">
        <v>3</v>
      </c>
      <c r="F42" t="n">
        <v>4.5</v>
      </c>
      <c r="G42" t="b">
        <v>0</v>
      </c>
      <c r="H42">
        <f>Sensitivity!H6</f>
        <v/>
      </c>
    </row>
    <row r="43">
      <c r="A43" t="inlineStr">
        <is>
          <t>ALL</t>
        </is>
      </c>
      <c r="B43" t="inlineStr">
        <is>
          <t>normal</t>
        </is>
      </c>
      <c r="C43" t="n">
        <v>3</v>
      </c>
      <c r="D43" t="inlineStr">
        <is>
          <t>Defense %</t>
        </is>
      </c>
      <c r="E43" t="n">
        <v>3</v>
      </c>
      <c r="F43" t="n">
        <v>9</v>
      </c>
      <c r="G43" t="b">
        <v>0</v>
      </c>
      <c r="H43" t="inlineStr">
        <is>
          <t>0</t>
        </is>
      </c>
    </row>
    <row r="44">
      <c r="A44" t="inlineStr">
        <is>
          <t>ALL</t>
        </is>
      </c>
      <c r="B44" t="inlineStr">
        <is>
          <t>normal</t>
        </is>
      </c>
      <c r="C44" t="n">
        <v>3</v>
      </c>
      <c r="D44" t="inlineStr">
        <is>
          <t>Max HP %</t>
        </is>
      </c>
      <c r="E44" t="n">
        <v>6</v>
      </c>
      <c r="F44" t="n">
        <v>9</v>
      </c>
      <c r="G44" t="b">
        <v>0</v>
      </c>
      <c r="H44" t="inlineStr">
        <is>
          <t>0</t>
        </is>
      </c>
    </row>
    <row r="45">
      <c r="A45" t="inlineStr">
        <is>
          <t>ALL</t>
        </is>
      </c>
      <c r="B45" t="inlineStr">
        <is>
          <t>normal</t>
        </is>
      </c>
      <c r="C45" t="n">
        <v>3</v>
      </c>
      <c r="D45" t="inlineStr">
        <is>
          <t>Max MP %</t>
        </is>
      </c>
      <c r="E45" t="n">
        <v>3</v>
      </c>
      <c r="F45" t="n">
        <v>9</v>
      </c>
      <c r="G45" t="b">
        <v>0</v>
      </c>
      <c r="H45" t="inlineStr">
        <is>
          <t>0</t>
        </is>
      </c>
    </row>
    <row r="46">
      <c r="A46" t="inlineStr">
        <is>
          <t>ALL</t>
        </is>
      </c>
      <c r="B46" t="inlineStr">
        <is>
          <t>normal</t>
        </is>
      </c>
      <c r="C46" t="n">
        <v>3</v>
      </c>
      <c r="D46" t="inlineStr">
        <is>
          <t>Str</t>
        </is>
      </c>
      <c r="E46" t="n">
        <v>50</v>
      </c>
      <c r="F46" t="n">
        <v>9.5</v>
      </c>
      <c r="G46" t="b">
        <v>0</v>
      </c>
      <c r="H46" t="inlineStr">
        <is>
          <t>0</t>
        </is>
      </c>
    </row>
    <row r="47">
      <c r="A47" t="inlineStr">
        <is>
          <t>ALL</t>
        </is>
      </c>
      <c r="B47" t="inlineStr">
        <is>
          <t>normal</t>
        </is>
      </c>
      <c r="C47" t="n">
        <v>3</v>
      </c>
      <c r="D47" t="inlineStr">
        <is>
          <t>Dex</t>
        </is>
      </c>
      <c r="E47" t="n">
        <v>50</v>
      </c>
      <c r="F47" t="n">
        <v>9.5</v>
      </c>
      <c r="G47" t="b">
        <v>0</v>
      </c>
      <c r="H47" t="inlineStr">
        <is>
          <t>0</t>
        </is>
      </c>
    </row>
    <row r="48">
      <c r="A48" t="inlineStr">
        <is>
          <t>ALL</t>
        </is>
      </c>
      <c r="B48" t="inlineStr">
        <is>
          <t>normal</t>
        </is>
      </c>
      <c r="C48" t="n">
        <v>3</v>
      </c>
      <c r="D48" t="inlineStr">
        <is>
          <t>Int</t>
        </is>
      </c>
      <c r="E48" t="n">
        <v>50</v>
      </c>
      <c r="F48" t="n">
        <v>9.5</v>
      </c>
      <c r="G48" t="b">
        <v>0</v>
      </c>
      <c r="H48" t="inlineStr">
        <is>
          <t>0</t>
        </is>
      </c>
    </row>
    <row r="49">
      <c r="A49" t="inlineStr">
        <is>
          <t>ALL</t>
        </is>
      </c>
      <c r="B49" t="inlineStr">
        <is>
          <t>normal</t>
        </is>
      </c>
      <c r="C49" t="n">
        <v>3</v>
      </c>
      <c r="D49" t="inlineStr">
        <is>
          <t>Luk</t>
        </is>
      </c>
      <c r="E49" t="n">
        <v>50</v>
      </c>
      <c r="F49" t="n">
        <v>9.5</v>
      </c>
      <c r="G49" t="b">
        <v>0</v>
      </c>
      <c r="H49">
        <f>Sensitivity!H5</f>
        <v/>
      </c>
    </row>
    <row r="50">
      <c r="A50" t="inlineStr">
        <is>
          <t>ALL</t>
        </is>
      </c>
      <c r="B50" t="inlineStr">
        <is>
          <t>rare</t>
        </is>
      </c>
      <c r="C50" t="n">
        <v>1</v>
      </c>
      <c r="D50" t="inlineStr">
        <is>
          <t>Critical Rate %</t>
        </is>
      </c>
      <c r="E50" t="n">
        <v>4.5</v>
      </c>
      <c r="F50" t="n">
        <v>2.5</v>
      </c>
      <c r="G50" t="b">
        <v>1</v>
      </c>
      <c r="H50">
        <f>IF(Inputs!$B$8&gt;=100,Sensitivity!H16,Sensitivity!H15)</f>
        <v/>
      </c>
    </row>
    <row r="51">
      <c r="A51" t="inlineStr">
        <is>
          <t>ALL</t>
        </is>
      </c>
      <c r="B51" t="inlineStr">
        <is>
          <t>rare</t>
        </is>
      </c>
      <c r="C51" t="n">
        <v>1</v>
      </c>
      <c r="D51" t="inlineStr">
        <is>
          <t>Attack Speed %</t>
        </is>
      </c>
      <c r="E51" t="n">
        <v>3.5</v>
      </c>
      <c r="F51" t="n">
        <v>2.5</v>
      </c>
      <c r="G51" t="b">
        <v>1</v>
      </c>
      <c r="H51">
        <f>Sensitivity!H17</f>
        <v/>
      </c>
    </row>
    <row r="52">
      <c r="A52" t="inlineStr">
        <is>
          <t>ALL</t>
        </is>
      </c>
      <c r="B52" t="inlineStr">
        <is>
          <t>rare</t>
        </is>
      </c>
      <c r="C52" t="n">
        <v>1</v>
      </c>
      <c r="D52" t="inlineStr">
        <is>
          <t>Damage %</t>
        </is>
      </c>
      <c r="E52" t="n">
        <v>8</v>
      </c>
      <c r="F52" t="n">
        <v>4</v>
      </c>
      <c r="G52" t="b">
        <v>1</v>
      </c>
      <c r="H52">
        <f>Sensitivity!H8</f>
        <v/>
      </c>
    </row>
    <row r="53">
      <c r="A53" t="inlineStr">
        <is>
          <t>ALL</t>
        </is>
      </c>
      <c r="B53" t="inlineStr">
        <is>
          <t>rare</t>
        </is>
      </c>
      <c r="C53" t="n">
        <v>1</v>
      </c>
      <c r="D53" t="inlineStr">
        <is>
          <t>Min Damage Multiplier %</t>
        </is>
      </c>
      <c r="E53" t="n">
        <v>6</v>
      </c>
      <c r="F53" t="n">
        <v>4</v>
      </c>
      <c r="G53" t="b">
        <v>1</v>
      </c>
      <c r="H53">
        <f>Sensitivity!H13</f>
        <v/>
      </c>
    </row>
    <row r="54">
      <c r="A54" t="inlineStr">
        <is>
          <t>ALL</t>
        </is>
      </c>
      <c r="B54" t="inlineStr">
        <is>
          <t>rare</t>
        </is>
      </c>
      <c r="C54" t="n">
        <v>1</v>
      </c>
      <c r="D54" t="inlineStr">
        <is>
          <t>Max Damage Multiplier %</t>
        </is>
      </c>
      <c r="E54" t="n">
        <v>6</v>
      </c>
      <c r="F54" t="n">
        <v>4</v>
      </c>
      <c r="G54" t="b">
        <v>1</v>
      </c>
      <c r="H54">
        <f>Sensitivity!H14</f>
        <v/>
      </c>
    </row>
    <row r="55">
      <c r="A55" t="inlineStr">
        <is>
          <t>ALL</t>
        </is>
      </c>
      <c r="B55" t="inlineStr">
        <is>
          <t>rare</t>
        </is>
      </c>
      <c r="C55" t="n">
        <v>1</v>
      </c>
      <c r="D55" t="inlineStr">
        <is>
          <t>Str %</t>
        </is>
      </c>
      <c r="E55" t="n">
        <v>4.5</v>
      </c>
      <c r="F55" t="n">
        <v>4.5</v>
      </c>
      <c r="G55" t="b">
        <v>1</v>
      </c>
      <c r="H55" t="inlineStr">
        <is>
          <t>0</t>
        </is>
      </c>
    </row>
    <row r="56">
      <c r="A56" t="inlineStr">
        <is>
          <t>ALL</t>
        </is>
      </c>
      <c r="B56" t="inlineStr">
        <is>
          <t>rare</t>
        </is>
      </c>
      <c r="C56" t="n">
        <v>1</v>
      </c>
      <c r="D56" t="inlineStr">
        <is>
          <t>Dex %</t>
        </is>
      </c>
      <c r="E56" t="n">
        <v>4.5</v>
      </c>
      <c r="F56" t="n">
        <v>4.5</v>
      </c>
      <c r="G56" t="b">
        <v>1</v>
      </c>
      <c r="H56" t="inlineStr">
        <is>
          <t>0</t>
        </is>
      </c>
    </row>
    <row r="57">
      <c r="A57" t="inlineStr">
        <is>
          <t>ALL</t>
        </is>
      </c>
      <c r="B57" t="inlineStr">
        <is>
          <t>rare</t>
        </is>
      </c>
      <c r="C57" t="n">
        <v>1</v>
      </c>
      <c r="D57" t="inlineStr">
        <is>
          <t>Int %</t>
        </is>
      </c>
      <c r="E57" t="n">
        <v>4.5</v>
      </c>
      <c r="F57" t="n">
        <v>4.5</v>
      </c>
      <c r="G57" t="b">
        <v>1</v>
      </c>
      <c r="H57" t="inlineStr">
        <is>
          <t>0</t>
        </is>
      </c>
    </row>
    <row r="58">
      <c r="A58" t="inlineStr">
        <is>
          <t>ALL</t>
        </is>
      </c>
      <c r="B58" t="inlineStr">
        <is>
          <t>rare</t>
        </is>
      </c>
      <c r="C58" t="n">
        <v>1</v>
      </c>
      <c r="D58" t="inlineStr">
        <is>
          <t>Luk %</t>
        </is>
      </c>
      <c r="E58" t="n">
        <v>4.5</v>
      </c>
      <c r="F58" t="n">
        <v>4.5</v>
      </c>
      <c r="G58" t="b">
        <v>1</v>
      </c>
      <c r="H58">
        <f>Sensitivity!H6</f>
        <v/>
      </c>
    </row>
    <row r="59">
      <c r="A59" t="inlineStr">
        <is>
          <t>ALL</t>
        </is>
      </c>
      <c r="B59" t="inlineStr">
        <is>
          <t>rare</t>
        </is>
      </c>
      <c r="C59" t="n">
        <v>1</v>
      </c>
      <c r="D59" t="inlineStr">
        <is>
          <t>Defense %</t>
        </is>
      </c>
      <c r="E59" t="n">
        <v>4.5</v>
      </c>
      <c r="F59" t="n">
        <v>9</v>
      </c>
      <c r="G59" t="b">
        <v>1</v>
      </c>
      <c r="H59" t="inlineStr">
        <is>
          <t>0</t>
        </is>
      </c>
    </row>
    <row r="60">
      <c r="A60" t="inlineStr">
        <is>
          <t>ALL</t>
        </is>
      </c>
      <c r="B60" t="inlineStr">
        <is>
          <t>rare</t>
        </is>
      </c>
      <c r="C60" t="n">
        <v>1</v>
      </c>
      <c r="D60" t="inlineStr">
        <is>
          <t>Max HP %</t>
        </is>
      </c>
      <c r="E60" t="n">
        <v>9</v>
      </c>
      <c r="F60" t="n">
        <v>9</v>
      </c>
      <c r="G60" t="b">
        <v>1</v>
      </c>
      <c r="H60" t="inlineStr">
        <is>
          <t>0</t>
        </is>
      </c>
    </row>
    <row r="61">
      <c r="A61" t="inlineStr">
        <is>
          <t>ALL</t>
        </is>
      </c>
      <c r="B61" t="inlineStr">
        <is>
          <t>rare</t>
        </is>
      </c>
      <c r="C61" t="n">
        <v>1</v>
      </c>
      <c r="D61" t="inlineStr">
        <is>
          <t>Max MP %</t>
        </is>
      </c>
      <c r="E61" t="n">
        <v>4.5</v>
      </c>
      <c r="F61" t="n">
        <v>9</v>
      </c>
      <c r="G61" t="b">
        <v>1</v>
      </c>
      <c r="H61" t="inlineStr">
        <is>
          <t>0</t>
        </is>
      </c>
    </row>
    <row r="62">
      <c r="A62" t="inlineStr">
        <is>
          <t>ALL</t>
        </is>
      </c>
      <c r="B62" t="inlineStr">
        <is>
          <t>rare</t>
        </is>
      </c>
      <c r="C62" t="n">
        <v>1</v>
      </c>
      <c r="D62" t="inlineStr">
        <is>
          <t>Str</t>
        </is>
      </c>
      <c r="E62" t="n">
        <v>100</v>
      </c>
      <c r="F62" t="n">
        <v>9.5</v>
      </c>
      <c r="G62" t="b">
        <v>1</v>
      </c>
      <c r="H62" t="inlineStr">
        <is>
          <t>0</t>
        </is>
      </c>
    </row>
    <row r="63">
      <c r="A63" t="inlineStr">
        <is>
          <t>ALL</t>
        </is>
      </c>
      <c r="B63" t="inlineStr">
        <is>
          <t>rare</t>
        </is>
      </c>
      <c r="C63" t="n">
        <v>1</v>
      </c>
      <c r="D63" t="inlineStr">
        <is>
          <t>Dex</t>
        </is>
      </c>
      <c r="E63" t="n">
        <v>100</v>
      </c>
      <c r="F63" t="n">
        <v>9.5</v>
      </c>
      <c r="G63" t="b">
        <v>1</v>
      </c>
      <c r="H63" t="inlineStr">
        <is>
          <t>0</t>
        </is>
      </c>
    </row>
    <row r="64">
      <c r="A64" t="inlineStr">
        <is>
          <t>ALL</t>
        </is>
      </c>
      <c r="B64" t="inlineStr">
        <is>
          <t>rare</t>
        </is>
      </c>
      <c r="C64" t="n">
        <v>1</v>
      </c>
      <c r="D64" t="inlineStr">
        <is>
          <t>Int</t>
        </is>
      </c>
      <c r="E64" t="n">
        <v>100</v>
      </c>
      <c r="F64" t="n">
        <v>9.5</v>
      </c>
      <c r="G64" t="b">
        <v>1</v>
      </c>
      <c r="H64" t="inlineStr">
        <is>
          <t>0</t>
        </is>
      </c>
    </row>
    <row r="65">
      <c r="A65" t="inlineStr">
        <is>
          <t>ALL</t>
        </is>
      </c>
      <c r="B65" t="inlineStr">
        <is>
          <t>rare</t>
        </is>
      </c>
      <c r="C65" t="n">
        <v>1</v>
      </c>
      <c r="D65" t="inlineStr">
        <is>
          <t>Luk</t>
        </is>
      </c>
      <c r="E65" t="n">
        <v>100</v>
      </c>
      <c r="F65" t="n">
        <v>9.5</v>
      </c>
      <c r="G65" t="b">
        <v>1</v>
      </c>
      <c r="H65">
        <f>Sensitivity!H5</f>
        <v/>
      </c>
    </row>
    <row r="66">
      <c r="A66" t="inlineStr">
        <is>
          <t>ALL</t>
        </is>
      </c>
      <c r="B66" t="inlineStr">
        <is>
          <t>rare</t>
        </is>
      </c>
      <c r="C66" t="n">
        <v>2</v>
      </c>
      <c r="D66" t="inlineStr">
        <is>
          <t>Critical Rate %</t>
        </is>
      </c>
      <c r="E66" t="n">
        <v>3</v>
      </c>
      <c r="F66" t="n">
        <v>1.9</v>
      </c>
      <c r="G66" t="b">
        <v>0</v>
      </c>
      <c r="H66">
        <f>IF(Inputs!$B$8&gt;=100,Sensitivity!H16,Sensitivity!H15)</f>
        <v/>
      </c>
    </row>
    <row r="67">
      <c r="A67" t="inlineStr">
        <is>
          <t>ALL</t>
        </is>
      </c>
      <c r="B67" t="inlineStr">
        <is>
          <t>rare</t>
        </is>
      </c>
      <c r="C67" t="n">
        <v>2</v>
      </c>
      <c r="D67" t="inlineStr">
        <is>
          <t>Critical Rate %</t>
        </is>
      </c>
      <c r="E67" t="n">
        <v>4.5</v>
      </c>
      <c r="F67" t="n">
        <v>0.6</v>
      </c>
      <c r="G67" t="b">
        <v>1</v>
      </c>
      <c r="H67">
        <f>IF(Inputs!$B$8&gt;=100,Sensitivity!H16,Sensitivity!H15)</f>
        <v/>
      </c>
    </row>
    <row r="68">
      <c r="A68" t="inlineStr">
        <is>
          <t>ALL</t>
        </is>
      </c>
      <c r="B68" t="inlineStr">
        <is>
          <t>rare</t>
        </is>
      </c>
      <c r="C68" t="n">
        <v>2</v>
      </c>
      <c r="D68" t="inlineStr">
        <is>
          <t>Attack Speed %</t>
        </is>
      </c>
      <c r="E68" t="n">
        <v>3</v>
      </c>
      <c r="F68" t="n">
        <v>1.9</v>
      </c>
      <c r="G68" t="b">
        <v>0</v>
      </c>
      <c r="H68">
        <f>Sensitivity!H17</f>
        <v/>
      </c>
    </row>
    <row r="69">
      <c r="A69" t="inlineStr">
        <is>
          <t>ALL</t>
        </is>
      </c>
      <c r="B69" t="inlineStr">
        <is>
          <t>rare</t>
        </is>
      </c>
      <c r="C69" t="n">
        <v>2</v>
      </c>
      <c r="D69" t="inlineStr">
        <is>
          <t>Attack Speed %</t>
        </is>
      </c>
      <c r="E69" t="n">
        <v>3.5</v>
      </c>
      <c r="F69" t="n">
        <v>0.6</v>
      </c>
      <c r="G69" t="b">
        <v>1</v>
      </c>
      <c r="H69">
        <f>Sensitivity!H17</f>
        <v/>
      </c>
    </row>
    <row r="70">
      <c r="A70" t="inlineStr">
        <is>
          <t>ALL</t>
        </is>
      </c>
      <c r="B70" t="inlineStr">
        <is>
          <t>rare</t>
        </is>
      </c>
      <c r="C70" t="n">
        <v>2</v>
      </c>
      <c r="D70" t="inlineStr">
        <is>
          <t>Damage %</t>
        </is>
      </c>
      <c r="E70" t="n">
        <v>5</v>
      </c>
      <c r="F70" t="n">
        <v>3.04</v>
      </c>
      <c r="G70" t="b">
        <v>0</v>
      </c>
      <c r="H70">
        <f>Sensitivity!H8</f>
        <v/>
      </c>
    </row>
    <row r="71">
      <c r="A71" t="inlineStr">
        <is>
          <t>ALL</t>
        </is>
      </c>
      <c r="B71" t="inlineStr">
        <is>
          <t>rare</t>
        </is>
      </c>
      <c r="C71" t="n">
        <v>2</v>
      </c>
      <c r="D71" t="inlineStr">
        <is>
          <t>Damage %</t>
        </is>
      </c>
      <c r="E71" t="n">
        <v>8</v>
      </c>
      <c r="F71" t="n">
        <v>0.96</v>
      </c>
      <c r="G71" t="b">
        <v>1</v>
      </c>
      <c r="H71">
        <f>Sensitivity!H8</f>
        <v/>
      </c>
    </row>
    <row r="72">
      <c r="A72" t="inlineStr">
        <is>
          <t>ALL</t>
        </is>
      </c>
      <c r="B72" t="inlineStr">
        <is>
          <t>rare</t>
        </is>
      </c>
      <c r="C72" t="n">
        <v>2</v>
      </c>
      <c r="D72" t="inlineStr">
        <is>
          <t>Min Damage Multiplier %</t>
        </is>
      </c>
      <c r="E72" t="n">
        <v>3</v>
      </c>
      <c r="F72" t="n">
        <v>3.04</v>
      </c>
      <c r="G72" t="b">
        <v>0</v>
      </c>
      <c r="H72">
        <f>Sensitivity!H13</f>
        <v/>
      </c>
    </row>
    <row r="73">
      <c r="A73" t="inlineStr">
        <is>
          <t>ALL</t>
        </is>
      </c>
      <c r="B73" t="inlineStr">
        <is>
          <t>rare</t>
        </is>
      </c>
      <c r="C73" t="n">
        <v>2</v>
      </c>
      <c r="D73" t="inlineStr">
        <is>
          <t>Min Damage Multiplier %</t>
        </is>
      </c>
      <c r="E73" t="n">
        <v>6</v>
      </c>
      <c r="F73" t="n">
        <v>0.96</v>
      </c>
      <c r="G73" t="b">
        <v>1</v>
      </c>
      <c r="H73">
        <f>Sensitivity!H13</f>
        <v/>
      </c>
    </row>
    <row r="74">
      <c r="A74" t="inlineStr">
        <is>
          <t>ALL</t>
        </is>
      </c>
      <c r="B74" t="inlineStr">
        <is>
          <t>rare</t>
        </is>
      </c>
      <c r="C74" t="n">
        <v>2</v>
      </c>
      <c r="D74" t="inlineStr">
        <is>
          <t>Max Damage Multiplier %</t>
        </is>
      </c>
      <c r="E74" t="n">
        <v>3</v>
      </c>
      <c r="F74" t="n">
        <v>3.04</v>
      </c>
      <c r="G74" t="b">
        <v>0</v>
      </c>
      <c r="H74">
        <f>Sensitivity!H14</f>
        <v/>
      </c>
    </row>
    <row r="75">
      <c r="A75" t="inlineStr">
        <is>
          <t>ALL</t>
        </is>
      </c>
      <c r="B75" t="inlineStr">
        <is>
          <t>rare</t>
        </is>
      </c>
      <c r="C75" t="n">
        <v>2</v>
      </c>
      <c r="D75" t="inlineStr">
        <is>
          <t>Max Damage Multiplier %</t>
        </is>
      </c>
      <c r="E75" t="n">
        <v>6</v>
      </c>
      <c r="F75" t="n">
        <v>0.96</v>
      </c>
      <c r="G75" t="b">
        <v>1</v>
      </c>
      <c r="H75">
        <f>Sensitivity!H14</f>
        <v/>
      </c>
    </row>
    <row r="76">
      <c r="A76" t="inlineStr">
        <is>
          <t>ALL</t>
        </is>
      </c>
      <c r="B76" t="inlineStr">
        <is>
          <t>rare</t>
        </is>
      </c>
      <c r="C76" t="n">
        <v>2</v>
      </c>
      <c r="D76" t="inlineStr">
        <is>
          <t>Str %</t>
        </is>
      </c>
      <c r="E76" t="n">
        <v>3</v>
      </c>
      <c r="F76" t="n">
        <v>3.42</v>
      </c>
      <c r="G76" t="b">
        <v>0</v>
      </c>
      <c r="H76" t="inlineStr">
        <is>
          <t>0</t>
        </is>
      </c>
    </row>
    <row r="77">
      <c r="A77" t="inlineStr">
        <is>
          <t>ALL</t>
        </is>
      </c>
      <c r="B77" t="inlineStr">
        <is>
          <t>rare</t>
        </is>
      </c>
      <c r="C77" t="n">
        <v>2</v>
      </c>
      <c r="D77" t="inlineStr">
        <is>
          <t>Str %</t>
        </is>
      </c>
      <c r="E77" t="n">
        <v>4.5</v>
      </c>
      <c r="F77" t="n">
        <v>1.08</v>
      </c>
      <c r="G77" t="b">
        <v>1</v>
      </c>
      <c r="H77" t="inlineStr">
        <is>
          <t>0</t>
        </is>
      </c>
    </row>
    <row r="78">
      <c r="A78" t="inlineStr">
        <is>
          <t>ALL</t>
        </is>
      </c>
      <c r="B78" t="inlineStr">
        <is>
          <t>rare</t>
        </is>
      </c>
      <c r="C78" t="n">
        <v>2</v>
      </c>
      <c r="D78" t="inlineStr">
        <is>
          <t>Dex %</t>
        </is>
      </c>
      <c r="E78" t="n">
        <v>3</v>
      </c>
      <c r="F78" t="n">
        <v>3.42</v>
      </c>
      <c r="G78" t="b">
        <v>0</v>
      </c>
      <c r="H78" t="inlineStr">
        <is>
          <t>0</t>
        </is>
      </c>
    </row>
    <row r="79">
      <c r="A79" t="inlineStr">
        <is>
          <t>ALL</t>
        </is>
      </c>
      <c r="B79" t="inlineStr">
        <is>
          <t>rare</t>
        </is>
      </c>
      <c r="C79" t="n">
        <v>2</v>
      </c>
      <c r="D79" t="inlineStr">
        <is>
          <t>Dex %</t>
        </is>
      </c>
      <c r="E79" t="n">
        <v>4.5</v>
      </c>
      <c r="F79" t="n">
        <v>1.08</v>
      </c>
      <c r="G79" t="b">
        <v>1</v>
      </c>
      <c r="H79" t="inlineStr">
        <is>
          <t>0</t>
        </is>
      </c>
    </row>
    <row r="80">
      <c r="A80" t="inlineStr">
        <is>
          <t>ALL</t>
        </is>
      </c>
      <c r="B80" t="inlineStr">
        <is>
          <t>rare</t>
        </is>
      </c>
      <c r="C80" t="n">
        <v>2</v>
      </c>
      <c r="D80" t="inlineStr">
        <is>
          <t>Int %</t>
        </is>
      </c>
      <c r="E80" t="n">
        <v>3</v>
      </c>
      <c r="F80" t="n">
        <v>3.42</v>
      </c>
      <c r="G80" t="b">
        <v>0</v>
      </c>
      <c r="H80" t="inlineStr">
        <is>
          <t>0</t>
        </is>
      </c>
    </row>
    <row r="81">
      <c r="A81" t="inlineStr">
        <is>
          <t>ALL</t>
        </is>
      </c>
      <c r="B81" t="inlineStr">
        <is>
          <t>rare</t>
        </is>
      </c>
      <c r="C81" t="n">
        <v>2</v>
      </c>
      <c r="D81" t="inlineStr">
        <is>
          <t>Int %</t>
        </is>
      </c>
      <c r="E81" t="n">
        <v>4.5</v>
      </c>
      <c r="F81" t="n">
        <v>1.08</v>
      </c>
      <c r="G81" t="b">
        <v>1</v>
      </c>
      <c r="H81" t="inlineStr">
        <is>
          <t>0</t>
        </is>
      </c>
    </row>
    <row r="82">
      <c r="A82" t="inlineStr">
        <is>
          <t>ALL</t>
        </is>
      </c>
      <c r="B82" t="inlineStr">
        <is>
          <t>rare</t>
        </is>
      </c>
      <c r="C82" t="n">
        <v>2</v>
      </c>
      <c r="D82" t="inlineStr">
        <is>
          <t>Luk %</t>
        </is>
      </c>
      <c r="E82" t="n">
        <v>3</v>
      </c>
      <c r="F82" t="n">
        <v>3.42</v>
      </c>
      <c r="G82" t="b">
        <v>0</v>
      </c>
      <c r="H82">
        <f>Sensitivity!H6</f>
        <v/>
      </c>
    </row>
    <row r="83">
      <c r="A83" t="inlineStr">
        <is>
          <t>ALL</t>
        </is>
      </c>
      <c r="B83" t="inlineStr">
        <is>
          <t>rare</t>
        </is>
      </c>
      <c r="C83" t="n">
        <v>2</v>
      </c>
      <c r="D83" t="inlineStr">
        <is>
          <t>Luk %</t>
        </is>
      </c>
      <c r="E83" t="n">
        <v>4.5</v>
      </c>
      <c r="F83" t="n">
        <v>1.08</v>
      </c>
      <c r="G83" t="b">
        <v>1</v>
      </c>
      <c r="H83">
        <f>Sensitivity!H6</f>
        <v/>
      </c>
    </row>
    <row r="84">
      <c r="A84" t="inlineStr">
        <is>
          <t>ALL</t>
        </is>
      </c>
      <c r="B84" t="inlineStr">
        <is>
          <t>rare</t>
        </is>
      </c>
      <c r="C84" t="n">
        <v>2</v>
      </c>
      <c r="D84" t="inlineStr">
        <is>
          <t>Defense %</t>
        </is>
      </c>
      <c r="E84" t="n">
        <v>3</v>
      </c>
      <c r="F84" t="n">
        <v>6.84</v>
      </c>
      <c r="G84" t="b">
        <v>0</v>
      </c>
      <c r="H84" t="inlineStr">
        <is>
          <t>0</t>
        </is>
      </c>
    </row>
    <row r="85">
      <c r="A85" t="inlineStr">
        <is>
          <t>ALL</t>
        </is>
      </c>
      <c r="B85" t="inlineStr">
        <is>
          <t>rare</t>
        </is>
      </c>
      <c r="C85" t="n">
        <v>2</v>
      </c>
      <c r="D85" t="inlineStr">
        <is>
          <t>Defense %</t>
        </is>
      </c>
      <c r="E85" t="n">
        <v>4.5</v>
      </c>
      <c r="F85" t="n">
        <v>2.16</v>
      </c>
      <c r="G85" t="b">
        <v>1</v>
      </c>
      <c r="H85" t="inlineStr">
        <is>
          <t>0</t>
        </is>
      </c>
    </row>
    <row r="86">
      <c r="A86" t="inlineStr">
        <is>
          <t>ALL</t>
        </is>
      </c>
      <c r="B86" t="inlineStr">
        <is>
          <t>rare</t>
        </is>
      </c>
      <c r="C86" t="n">
        <v>2</v>
      </c>
      <c r="D86" t="inlineStr">
        <is>
          <t>Max HP %</t>
        </is>
      </c>
      <c r="E86" t="n">
        <v>6</v>
      </c>
      <c r="F86" t="n">
        <v>6.84</v>
      </c>
      <c r="G86" t="b">
        <v>0</v>
      </c>
      <c r="H86" t="inlineStr">
        <is>
          <t>0</t>
        </is>
      </c>
    </row>
    <row r="87">
      <c r="A87" t="inlineStr">
        <is>
          <t>ALL</t>
        </is>
      </c>
      <c r="B87" t="inlineStr">
        <is>
          <t>rare</t>
        </is>
      </c>
      <c r="C87" t="n">
        <v>2</v>
      </c>
      <c r="D87" t="inlineStr">
        <is>
          <t>Max HP %</t>
        </is>
      </c>
      <c r="E87" t="n">
        <v>9</v>
      </c>
      <c r="F87" t="n">
        <v>2.16</v>
      </c>
      <c r="G87" t="b">
        <v>1</v>
      </c>
      <c r="H87" t="inlineStr">
        <is>
          <t>0</t>
        </is>
      </c>
    </row>
    <row r="88">
      <c r="A88" t="inlineStr">
        <is>
          <t>ALL</t>
        </is>
      </c>
      <c r="B88" t="inlineStr">
        <is>
          <t>rare</t>
        </is>
      </c>
      <c r="C88" t="n">
        <v>2</v>
      </c>
      <c r="D88" t="inlineStr">
        <is>
          <t>Max MP %</t>
        </is>
      </c>
      <c r="E88" t="n">
        <v>3</v>
      </c>
      <c r="F88" t="n">
        <v>6.84</v>
      </c>
      <c r="G88" t="b">
        <v>0</v>
      </c>
      <c r="H88" t="inlineStr">
        <is>
          <t>0</t>
        </is>
      </c>
    </row>
    <row r="89">
      <c r="A89" t="inlineStr">
        <is>
          <t>ALL</t>
        </is>
      </c>
      <c r="B89" t="inlineStr">
        <is>
          <t>rare</t>
        </is>
      </c>
      <c r="C89" t="n">
        <v>2</v>
      </c>
      <c r="D89" t="inlineStr">
        <is>
          <t>Max MP %</t>
        </is>
      </c>
      <c r="E89" t="n">
        <v>4.5</v>
      </c>
      <c r="F89" t="n">
        <v>2.16</v>
      </c>
      <c r="G89" t="b">
        <v>1</v>
      </c>
      <c r="H89" t="inlineStr">
        <is>
          <t>0</t>
        </is>
      </c>
    </row>
    <row r="90">
      <c r="A90" t="inlineStr">
        <is>
          <t>ALL</t>
        </is>
      </c>
      <c r="B90" t="inlineStr">
        <is>
          <t>rare</t>
        </is>
      </c>
      <c r="C90" t="n">
        <v>2</v>
      </c>
      <c r="D90" t="inlineStr">
        <is>
          <t>Str</t>
        </is>
      </c>
      <c r="E90" t="n">
        <v>50</v>
      </c>
      <c r="F90" t="n">
        <v>7.22</v>
      </c>
      <c r="G90" t="b">
        <v>0</v>
      </c>
      <c r="H90" t="inlineStr">
        <is>
          <t>0</t>
        </is>
      </c>
    </row>
    <row r="91">
      <c r="A91" t="inlineStr">
        <is>
          <t>ALL</t>
        </is>
      </c>
      <c r="B91" t="inlineStr">
        <is>
          <t>rare</t>
        </is>
      </c>
      <c r="C91" t="n">
        <v>2</v>
      </c>
      <c r="D91" t="inlineStr">
        <is>
          <t>Str</t>
        </is>
      </c>
      <c r="E91" t="n">
        <v>100</v>
      </c>
      <c r="F91" t="n">
        <v>2.28</v>
      </c>
      <c r="G91" t="b">
        <v>1</v>
      </c>
      <c r="H91" t="inlineStr">
        <is>
          <t>0</t>
        </is>
      </c>
    </row>
    <row r="92">
      <c r="A92" t="inlineStr">
        <is>
          <t>ALL</t>
        </is>
      </c>
      <c r="B92" t="inlineStr">
        <is>
          <t>rare</t>
        </is>
      </c>
      <c r="C92" t="n">
        <v>2</v>
      </c>
      <c r="D92" t="inlineStr">
        <is>
          <t>Dex</t>
        </is>
      </c>
      <c r="E92" t="n">
        <v>50</v>
      </c>
      <c r="F92" t="n">
        <v>7.22</v>
      </c>
      <c r="G92" t="b">
        <v>0</v>
      </c>
      <c r="H92" t="inlineStr">
        <is>
          <t>0</t>
        </is>
      </c>
    </row>
    <row r="93">
      <c r="A93" t="inlineStr">
        <is>
          <t>ALL</t>
        </is>
      </c>
      <c r="B93" t="inlineStr">
        <is>
          <t>rare</t>
        </is>
      </c>
      <c r="C93" t="n">
        <v>2</v>
      </c>
      <c r="D93" t="inlineStr">
        <is>
          <t>Dex</t>
        </is>
      </c>
      <c r="E93" t="n">
        <v>100</v>
      </c>
      <c r="F93" t="n">
        <v>2.28</v>
      </c>
      <c r="G93" t="b">
        <v>1</v>
      </c>
      <c r="H93" t="inlineStr">
        <is>
          <t>0</t>
        </is>
      </c>
    </row>
    <row r="94">
      <c r="A94" t="inlineStr">
        <is>
          <t>ALL</t>
        </is>
      </c>
      <c r="B94" t="inlineStr">
        <is>
          <t>rare</t>
        </is>
      </c>
      <c r="C94" t="n">
        <v>2</v>
      </c>
      <c r="D94" t="inlineStr">
        <is>
          <t>Int</t>
        </is>
      </c>
      <c r="E94" t="n">
        <v>50</v>
      </c>
      <c r="F94" t="n">
        <v>7.22</v>
      </c>
      <c r="G94" t="b">
        <v>0</v>
      </c>
      <c r="H94" t="inlineStr">
        <is>
          <t>0</t>
        </is>
      </c>
    </row>
    <row r="95">
      <c r="A95" t="inlineStr">
        <is>
          <t>ALL</t>
        </is>
      </c>
      <c r="B95" t="inlineStr">
        <is>
          <t>rare</t>
        </is>
      </c>
      <c r="C95" t="n">
        <v>2</v>
      </c>
      <c r="D95" t="inlineStr">
        <is>
          <t>Int</t>
        </is>
      </c>
      <c r="E95" t="n">
        <v>100</v>
      </c>
      <c r="F95" t="n">
        <v>2.28</v>
      </c>
      <c r="G95" t="b">
        <v>1</v>
      </c>
      <c r="H95" t="inlineStr">
        <is>
          <t>0</t>
        </is>
      </c>
    </row>
    <row r="96">
      <c r="A96" t="inlineStr">
        <is>
          <t>ALL</t>
        </is>
      </c>
      <c r="B96" t="inlineStr">
        <is>
          <t>rare</t>
        </is>
      </c>
      <c r="C96" t="n">
        <v>2</v>
      </c>
      <c r="D96" t="inlineStr">
        <is>
          <t>Luk</t>
        </is>
      </c>
      <c r="E96" t="n">
        <v>50</v>
      </c>
      <c r="F96" t="n">
        <v>7.22</v>
      </c>
      <c r="G96" t="b">
        <v>0</v>
      </c>
      <c r="H96">
        <f>Sensitivity!H5</f>
        <v/>
      </c>
    </row>
    <row r="97">
      <c r="A97" t="inlineStr">
        <is>
          <t>ALL</t>
        </is>
      </c>
      <c r="B97" t="inlineStr">
        <is>
          <t>rare</t>
        </is>
      </c>
      <c r="C97" t="n">
        <v>2</v>
      </c>
      <c r="D97" t="inlineStr">
        <is>
          <t>Luk</t>
        </is>
      </c>
      <c r="E97" t="n">
        <v>100</v>
      </c>
      <c r="F97" t="n">
        <v>2.28</v>
      </c>
      <c r="G97" t="b">
        <v>1</v>
      </c>
      <c r="H97">
        <f>Sensitivity!H5</f>
        <v/>
      </c>
    </row>
    <row r="98">
      <c r="A98" t="inlineStr">
        <is>
          <t>ALL</t>
        </is>
      </c>
      <c r="B98" t="inlineStr">
        <is>
          <t>rare</t>
        </is>
      </c>
      <c r="C98" t="n">
        <v>3</v>
      </c>
      <c r="D98" t="inlineStr">
        <is>
          <t>Critical Rate %</t>
        </is>
      </c>
      <c r="E98" t="n">
        <v>3</v>
      </c>
      <c r="F98" t="n">
        <v>2.3</v>
      </c>
      <c r="G98" t="b">
        <v>0</v>
      </c>
      <c r="H98">
        <f>IF(Inputs!$B$8&gt;=100,Sensitivity!H16,Sensitivity!H15)</f>
        <v/>
      </c>
    </row>
    <row r="99">
      <c r="A99" t="inlineStr">
        <is>
          <t>ALL</t>
        </is>
      </c>
      <c r="B99" t="inlineStr">
        <is>
          <t>rare</t>
        </is>
      </c>
      <c r="C99" t="n">
        <v>3</v>
      </c>
      <c r="D99" t="inlineStr">
        <is>
          <t>Critical Rate %</t>
        </is>
      </c>
      <c r="E99" t="n">
        <v>4.5</v>
      </c>
      <c r="F99" t="n">
        <v>0.2</v>
      </c>
      <c r="G99" t="b">
        <v>1</v>
      </c>
      <c r="H99">
        <f>IF(Inputs!$B$8&gt;=100,Sensitivity!H16,Sensitivity!H15)</f>
        <v/>
      </c>
    </row>
    <row r="100">
      <c r="A100" t="inlineStr">
        <is>
          <t>ALL</t>
        </is>
      </c>
      <c r="B100" t="inlineStr">
        <is>
          <t>rare</t>
        </is>
      </c>
      <c r="C100" t="n">
        <v>3</v>
      </c>
      <c r="D100" t="inlineStr">
        <is>
          <t>Attack Speed %</t>
        </is>
      </c>
      <c r="E100" t="n">
        <v>3</v>
      </c>
      <c r="F100" t="n">
        <v>2.3</v>
      </c>
      <c r="G100" t="b">
        <v>0</v>
      </c>
      <c r="H100">
        <f>Sensitivity!H17</f>
        <v/>
      </c>
    </row>
    <row r="101">
      <c r="A101" t="inlineStr">
        <is>
          <t>ALL</t>
        </is>
      </c>
      <c r="B101" t="inlineStr">
        <is>
          <t>rare</t>
        </is>
      </c>
      <c r="C101" t="n">
        <v>3</v>
      </c>
      <c r="D101" t="inlineStr">
        <is>
          <t>Attack Speed %</t>
        </is>
      </c>
      <c r="E101" t="n">
        <v>3.5</v>
      </c>
      <c r="F101" t="n">
        <v>0.2</v>
      </c>
      <c r="G101" t="b">
        <v>1</v>
      </c>
      <c r="H101">
        <f>Sensitivity!H17</f>
        <v/>
      </c>
    </row>
    <row r="102">
      <c r="A102" t="inlineStr">
        <is>
          <t>ALL</t>
        </is>
      </c>
      <c r="B102" t="inlineStr">
        <is>
          <t>rare</t>
        </is>
      </c>
      <c r="C102" t="n">
        <v>3</v>
      </c>
      <c r="D102" t="inlineStr">
        <is>
          <t>Damage %</t>
        </is>
      </c>
      <c r="E102" t="n">
        <v>5</v>
      </c>
      <c r="F102" t="n">
        <v>3.68</v>
      </c>
      <c r="G102" t="b">
        <v>0</v>
      </c>
      <c r="H102">
        <f>Sensitivity!H8</f>
        <v/>
      </c>
    </row>
    <row r="103">
      <c r="A103" t="inlineStr">
        <is>
          <t>ALL</t>
        </is>
      </c>
      <c r="B103" t="inlineStr">
        <is>
          <t>rare</t>
        </is>
      </c>
      <c r="C103" t="n">
        <v>3</v>
      </c>
      <c r="D103" t="inlineStr">
        <is>
          <t>Damage %</t>
        </is>
      </c>
      <c r="E103" t="n">
        <v>8</v>
      </c>
      <c r="F103" t="n">
        <v>0.32</v>
      </c>
      <c r="G103" t="b">
        <v>1</v>
      </c>
      <c r="H103">
        <f>Sensitivity!H8</f>
        <v/>
      </c>
    </row>
    <row r="104">
      <c r="A104" t="inlineStr">
        <is>
          <t>ALL</t>
        </is>
      </c>
      <c r="B104" t="inlineStr">
        <is>
          <t>rare</t>
        </is>
      </c>
      <c r="C104" t="n">
        <v>3</v>
      </c>
      <c r="D104" t="inlineStr">
        <is>
          <t>Min Damage Multiplier %</t>
        </is>
      </c>
      <c r="E104" t="n">
        <v>3</v>
      </c>
      <c r="F104" t="n">
        <v>3.68</v>
      </c>
      <c r="G104" t="b">
        <v>0</v>
      </c>
      <c r="H104">
        <f>Sensitivity!H13</f>
        <v/>
      </c>
    </row>
    <row r="105">
      <c r="A105" t="inlineStr">
        <is>
          <t>ALL</t>
        </is>
      </c>
      <c r="B105" t="inlineStr">
        <is>
          <t>rare</t>
        </is>
      </c>
      <c r="C105" t="n">
        <v>3</v>
      </c>
      <c r="D105" t="inlineStr">
        <is>
          <t>Min Damage Multiplier %</t>
        </is>
      </c>
      <c r="E105" t="n">
        <v>6</v>
      </c>
      <c r="F105" t="n">
        <v>0.32</v>
      </c>
      <c r="G105" t="b">
        <v>1</v>
      </c>
      <c r="H105">
        <f>Sensitivity!H13</f>
        <v/>
      </c>
    </row>
    <row r="106">
      <c r="A106" t="inlineStr">
        <is>
          <t>ALL</t>
        </is>
      </c>
      <c r="B106" t="inlineStr">
        <is>
          <t>rare</t>
        </is>
      </c>
      <c r="C106" t="n">
        <v>3</v>
      </c>
      <c r="D106" t="inlineStr">
        <is>
          <t>Max Damage Multiplier %</t>
        </is>
      </c>
      <c r="E106" t="n">
        <v>3</v>
      </c>
      <c r="F106" t="n">
        <v>3.68</v>
      </c>
      <c r="G106" t="b">
        <v>0</v>
      </c>
      <c r="H106">
        <f>Sensitivity!H14</f>
        <v/>
      </c>
    </row>
    <row r="107">
      <c r="A107" t="inlineStr">
        <is>
          <t>ALL</t>
        </is>
      </c>
      <c r="B107" t="inlineStr">
        <is>
          <t>rare</t>
        </is>
      </c>
      <c r="C107" t="n">
        <v>3</v>
      </c>
      <c r="D107" t="inlineStr">
        <is>
          <t>Max Damage Multiplier %</t>
        </is>
      </c>
      <c r="E107" t="n">
        <v>6</v>
      </c>
      <c r="F107" t="n">
        <v>0.32</v>
      </c>
      <c r="G107" t="b">
        <v>1</v>
      </c>
      <c r="H107">
        <f>Sensitivity!H14</f>
        <v/>
      </c>
    </row>
    <row r="108">
      <c r="A108" t="inlineStr">
        <is>
          <t>ALL</t>
        </is>
      </c>
      <c r="B108" t="inlineStr">
        <is>
          <t>rare</t>
        </is>
      </c>
      <c r="C108" t="n">
        <v>3</v>
      </c>
      <c r="D108" t="inlineStr">
        <is>
          <t>Str %</t>
        </is>
      </c>
      <c r="E108" t="n">
        <v>3</v>
      </c>
      <c r="F108" t="n">
        <v>4.14</v>
      </c>
      <c r="G108" t="b">
        <v>0</v>
      </c>
      <c r="H108" t="inlineStr">
        <is>
          <t>0</t>
        </is>
      </c>
    </row>
    <row r="109">
      <c r="A109" t="inlineStr">
        <is>
          <t>ALL</t>
        </is>
      </c>
      <c r="B109" t="inlineStr">
        <is>
          <t>rare</t>
        </is>
      </c>
      <c r="C109" t="n">
        <v>3</v>
      </c>
      <c r="D109" t="inlineStr">
        <is>
          <t>Str %</t>
        </is>
      </c>
      <c r="E109" t="n">
        <v>4.5</v>
      </c>
      <c r="F109" t="n">
        <v>0.36</v>
      </c>
      <c r="G109" t="b">
        <v>1</v>
      </c>
      <c r="H109" t="inlineStr">
        <is>
          <t>0</t>
        </is>
      </c>
    </row>
    <row r="110">
      <c r="A110" t="inlineStr">
        <is>
          <t>ALL</t>
        </is>
      </c>
      <c r="B110" t="inlineStr">
        <is>
          <t>rare</t>
        </is>
      </c>
      <c r="C110" t="n">
        <v>3</v>
      </c>
      <c r="D110" t="inlineStr">
        <is>
          <t>Dex %</t>
        </is>
      </c>
      <c r="E110" t="n">
        <v>3</v>
      </c>
      <c r="F110" t="n">
        <v>4.14</v>
      </c>
      <c r="G110" t="b">
        <v>0</v>
      </c>
      <c r="H110" t="inlineStr">
        <is>
          <t>0</t>
        </is>
      </c>
    </row>
    <row r="111">
      <c r="A111" t="inlineStr">
        <is>
          <t>ALL</t>
        </is>
      </c>
      <c r="B111" t="inlineStr">
        <is>
          <t>rare</t>
        </is>
      </c>
      <c r="C111" t="n">
        <v>3</v>
      </c>
      <c r="D111" t="inlineStr">
        <is>
          <t>Dex %</t>
        </is>
      </c>
      <c r="E111" t="n">
        <v>4.5</v>
      </c>
      <c r="F111" t="n">
        <v>0.36</v>
      </c>
      <c r="G111" t="b">
        <v>1</v>
      </c>
      <c r="H111" t="inlineStr">
        <is>
          <t>0</t>
        </is>
      </c>
    </row>
    <row r="112">
      <c r="A112" t="inlineStr">
        <is>
          <t>ALL</t>
        </is>
      </c>
      <c r="B112" t="inlineStr">
        <is>
          <t>rare</t>
        </is>
      </c>
      <c r="C112" t="n">
        <v>3</v>
      </c>
      <c r="D112" t="inlineStr">
        <is>
          <t>Int %</t>
        </is>
      </c>
      <c r="E112" t="n">
        <v>3</v>
      </c>
      <c r="F112" t="n">
        <v>4.14</v>
      </c>
      <c r="G112" t="b">
        <v>0</v>
      </c>
      <c r="H112" t="inlineStr">
        <is>
          <t>0</t>
        </is>
      </c>
    </row>
    <row r="113">
      <c r="A113" t="inlineStr">
        <is>
          <t>ALL</t>
        </is>
      </c>
      <c r="B113" t="inlineStr">
        <is>
          <t>rare</t>
        </is>
      </c>
      <c r="C113" t="n">
        <v>3</v>
      </c>
      <c r="D113" t="inlineStr">
        <is>
          <t>Int %</t>
        </is>
      </c>
      <c r="E113" t="n">
        <v>4.5</v>
      </c>
      <c r="F113" t="n">
        <v>0.36</v>
      </c>
      <c r="G113" t="b">
        <v>1</v>
      </c>
      <c r="H113" t="inlineStr">
        <is>
          <t>0</t>
        </is>
      </c>
    </row>
    <row r="114">
      <c r="A114" t="inlineStr">
        <is>
          <t>ALL</t>
        </is>
      </c>
      <c r="B114" t="inlineStr">
        <is>
          <t>rare</t>
        </is>
      </c>
      <c r="C114" t="n">
        <v>3</v>
      </c>
      <c r="D114" t="inlineStr">
        <is>
          <t>Luk %</t>
        </is>
      </c>
      <c r="E114" t="n">
        <v>3</v>
      </c>
      <c r="F114" t="n">
        <v>4.14</v>
      </c>
      <c r="G114" t="b">
        <v>0</v>
      </c>
      <c r="H114">
        <f>Sensitivity!H6</f>
        <v/>
      </c>
    </row>
    <row r="115">
      <c r="A115" t="inlineStr">
        <is>
          <t>ALL</t>
        </is>
      </c>
      <c r="B115" t="inlineStr">
        <is>
          <t>rare</t>
        </is>
      </c>
      <c r="C115" t="n">
        <v>3</v>
      </c>
      <c r="D115" t="inlineStr">
        <is>
          <t>Luk %</t>
        </is>
      </c>
      <c r="E115" t="n">
        <v>4.5</v>
      </c>
      <c r="F115" t="n">
        <v>0.36</v>
      </c>
      <c r="G115" t="b">
        <v>1</v>
      </c>
      <c r="H115">
        <f>Sensitivity!H6</f>
        <v/>
      </c>
    </row>
    <row r="116">
      <c r="A116" t="inlineStr">
        <is>
          <t>ALL</t>
        </is>
      </c>
      <c r="B116" t="inlineStr">
        <is>
          <t>rare</t>
        </is>
      </c>
      <c r="C116" t="n">
        <v>3</v>
      </c>
      <c r="D116" t="inlineStr">
        <is>
          <t>Defense %</t>
        </is>
      </c>
      <c r="E116" t="n">
        <v>3</v>
      </c>
      <c r="F116" t="n">
        <v>8.279999999999999</v>
      </c>
      <c r="G116" t="b">
        <v>0</v>
      </c>
      <c r="H116" t="inlineStr">
        <is>
          <t>0</t>
        </is>
      </c>
    </row>
    <row r="117">
      <c r="A117" t="inlineStr">
        <is>
          <t>ALL</t>
        </is>
      </c>
      <c r="B117" t="inlineStr">
        <is>
          <t>rare</t>
        </is>
      </c>
      <c r="C117" t="n">
        <v>3</v>
      </c>
      <c r="D117" t="inlineStr">
        <is>
          <t>Defense %</t>
        </is>
      </c>
      <c r="E117" t="n">
        <v>4.5</v>
      </c>
      <c r="F117" t="n">
        <v>0.72</v>
      </c>
      <c r="G117" t="b">
        <v>1</v>
      </c>
      <c r="H117" t="inlineStr">
        <is>
          <t>0</t>
        </is>
      </c>
    </row>
    <row r="118">
      <c r="A118" t="inlineStr">
        <is>
          <t>ALL</t>
        </is>
      </c>
      <c r="B118" t="inlineStr">
        <is>
          <t>rare</t>
        </is>
      </c>
      <c r="C118" t="n">
        <v>3</v>
      </c>
      <c r="D118" t="inlineStr">
        <is>
          <t>Max HP %</t>
        </is>
      </c>
      <c r="E118" t="n">
        <v>6</v>
      </c>
      <c r="F118" t="n">
        <v>8.279999999999999</v>
      </c>
      <c r="G118" t="b">
        <v>0</v>
      </c>
      <c r="H118" t="inlineStr">
        <is>
          <t>0</t>
        </is>
      </c>
    </row>
    <row r="119">
      <c r="A119" t="inlineStr">
        <is>
          <t>ALL</t>
        </is>
      </c>
      <c r="B119" t="inlineStr">
        <is>
          <t>rare</t>
        </is>
      </c>
      <c r="C119" t="n">
        <v>3</v>
      </c>
      <c r="D119" t="inlineStr">
        <is>
          <t>Max HP %</t>
        </is>
      </c>
      <c r="E119" t="n">
        <v>9</v>
      </c>
      <c r="F119" t="n">
        <v>0.72</v>
      </c>
      <c r="G119" t="b">
        <v>1</v>
      </c>
      <c r="H119" t="inlineStr">
        <is>
          <t>0</t>
        </is>
      </c>
    </row>
    <row r="120">
      <c r="A120" t="inlineStr">
        <is>
          <t>ALL</t>
        </is>
      </c>
      <c r="B120" t="inlineStr">
        <is>
          <t>rare</t>
        </is>
      </c>
      <c r="C120" t="n">
        <v>3</v>
      </c>
      <c r="D120" t="inlineStr">
        <is>
          <t>Max MP %</t>
        </is>
      </c>
      <c r="E120" t="n">
        <v>3</v>
      </c>
      <c r="F120" t="n">
        <v>8.279999999999999</v>
      </c>
      <c r="G120" t="b">
        <v>0</v>
      </c>
      <c r="H120" t="inlineStr">
        <is>
          <t>0</t>
        </is>
      </c>
    </row>
    <row r="121">
      <c r="A121" t="inlineStr">
        <is>
          <t>ALL</t>
        </is>
      </c>
      <c r="B121" t="inlineStr">
        <is>
          <t>rare</t>
        </is>
      </c>
      <c r="C121" t="n">
        <v>3</v>
      </c>
      <c r="D121" t="inlineStr">
        <is>
          <t>Max MP %</t>
        </is>
      </c>
      <c r="E121" t="n">
        <v>4.5</v>
      </c>
      <c r="F121" t="n">
        <v>0.72</v>
      </c>
      <c r="G121" t="b">
        <v>1</v>
      </c>
      <c r="H121" t="inlineStr">
        <is>
          <t>0</t>
        </is>
      </c>
    </row>
    <row r="122">
      <c r="A122" t="inlineStr">
        <is>
          <t>ALL</t>
        </is>
      </c>
      <c r="B122" t="inlineStr">
        <is>
          <t>rare</t>
        </is>
      </c>
      <c r="C122" t="n">
        <v>3</v>
      </c>
      <c r="D122" t="inlineStr">
        <is>
          <t>Str</t>
        </is>
      </c>
      <c r="E122" t="n">
        <v>50</v>
      </c>
      <c r="F122" t="n">
        <v>8.74</v>
      </c>
      <c r="G122" t="b">
        <v>0</v>
      </c>
      <c r="H122" t="inlineStr">
        <is>
          <t>0</t>
        </is>
      </c>
    </row>
    <row r="123">
      <c r="A123" t="inlineStr">
        <is>
          <t>ALL</t>
        </is>
      </c>
      <c r="B123" t="inlineStr">
        <is>
          <t>rare</t>
        </is>
      </c>
      <c r="C123" t="n">
        <v>3</v>
      </c>
      <c r="D123" t="inlineStr">
        <is>
          <t>Str</t>
        </is>
      </c>
      <c r="E123" t="n">
        <v>100</v>
      </c>
      <c r="F123" t="n">
        <v>0.76</v>
      </c>
      <c r="G123" t="b">
        <v>1</v>
      </c>
      <c r="H123" t="inlineStr">
        <is>
          <t>0</t>
        </is>
      </c>
    </row>
    <row r="124">
      <c r="A124" t="inlineStr">
        <is>
          <t>ALL</t>
        </is>
      </c>
      <c r="B124" t="inlineStr">
        <is>
          <t>rare</t>
        </is>
      </c>
      <c r="C124" t="n">
        <v>3</v>
      </c>
      <c r="D124" t="inlineStr">
        <is>
          <t>Dex</t>
        </is>
      </c>
      <c r="E124" t="n">
        <v>50</v>
      </c>
      <c r="F124" t="n">
        <v>8.74</v>
      </c>
      <c r="G124" t="b">
        <v>0</v>
      </c>
      <c r="H124" t="inlineStr">
        <is>
          <t>0</t>
        </is>
      </c>
    </row>
    <row r="125">
      <c r="A125" t="inlineStr">
        <is>
          <t>ALL</t>
        </is>
      </c>
      <c r="B125" t="inlineStr">
        <is>
          <t>rare</t>
        </is>
      </c>
      <c r="C125" t="n">
        <v>3</v>
      </c>
      <c r="D125" t="inlineStr">
        <is>
          <t>Dex</t>
        </is>
      </c>
      <c r="E125" t="n">
        <v>100</v>
      </c>
      <c r="F125" t="n">
        <v>0.76</v>
      </c>
      <c r="G125" t="b">
        <v>1</v>
      </c>
      <c r="H125" t="inlineStr">
        <is>
          <t>0</t>
        </is>
      </c>
    </row>
    <row r="126">
      <c r="A126" t="inlineStr">
        <is>
          <t>ALL</t>
        </is>
      </c>
      <c r="B126" t="inlineStr">
        <is>
          <t>rare</t>
        </is>
      </c>
      <c r="C126" t="n">
        <v>3</v>
      </c>
      <c r="D126" t="inlineStr">
        <is>
          <t>Int</t>
        </is>
      </c>
      <c r="E126" t="n">
        <v>50</v>
      </c>
      <c r="F126" t="n">
        <v>8.74</v>
      </c>
      <c r="G126" t="b">
        <v>0</v>
      </c>
      <c r="H126" t="inlineStr">
        <is>
          <t>0</t>
        </is>
      </c>
    </row>
    <row r="127">
      <c r="A127" t="inlineStr">
        <is>
          <t>ALL</t>
        </is>
      </c>
      <c r="B127" t="inlineStr">
        <is>
          <t>rare</t>
        </is>
      </c>
      <c r="C127" t="n">
        <v>3</v>
      </c>
      <c r="D127" t="inlineStr">
        <is>
          <t>Int</t>
        </is>
      </c>
      <c r="E127" t="n">
        <v>100</v>
      </c>
      <c r="F127" t="n">
        <v>0.76</v>
      </c>
      <c r="G127" t="b">
        <v>1</v>
      </c>
      <c r="H127" t="inlineStr">
        <is>
          <t>0</t>
        </is>
      </c>
    </row>
    <row r="128">
      <c r="A128" t="inlineStr">
        <is>
          <t>ALL</t>
        </is>
      </c>
      <c r="B128" t="inlineStr">
        <is>
          <t>rare</t>
        </is>
      </c>
      <c r="C128" t="n">
        <v>3</v>
      </c>
      <c r="D128" t="inlineStr">
        <is>
          <t>Luk</t>
        </is>
      </c>
      <c r="E128" t="n">
        <v>50</v>
      </c>
      <c r="F128" t="n">
        <v>8.74</v>
      </c>
      <c r="G128" t="b">
        <v>0</v>
      </c>
      <c r="H128">
        <f>Sensitivity!H5</f>
        <v/>
      </c>
    </row>
    <row r="129">
      <c r="A129" t="inlineStr">
        <is>
          <t>ALL</t>
        </is>
      </c>
      <c r="B129" t="inlineStr">
        <is>
          <t>rare</t>
        </is>
      </c>
      <c r="C129" t="n">
        <v>3</v>
      </c>
      <c r="D129" t="inlineStr">
        <is>
          <t>Luk</t>
        </is>
      </c>
      <c r="E129" t="n">
        <v>100</v>
      </c>
      <c r="F129" t="n">
        <v>0.76</v>
      </c>
      <c r="G129" t="b">
        <v>1</v>
      </c>
      <c r="H129">
        <f>Sensitivity!H5</f>
        <v/>
      </c>
    </row>
    <row r="130">
      <c r="A130" t="inlineStr">
        <is>
          <t>ALL</t>
        </is>
      </c>
      <c r="B130" t="inlineStr">
        <is>
          <t>epic</t>
        </is>
      </c>
      <c r="C130" t="n">
        <v>1</v>
      </c>
      <c r="D130" t="inlineStr">
        <is>
          <t>Critical Rate %</t>
        </is>
      </c>
      <c r="E130" t="n">
        <v>6</v>
      </c>
      <c r="F130" t="n">
        <v>2.5</v>
      </c>
      <c r="G130" t="b">
        <v>1</v>
      </c>
      <c r="H130">
        <f>IF(Inputs!$B$8&gt;=100,Sensitivity!H16,Sensitivity!H15)</f>
        <v/>
      </c>
    </row>
    <row r="131">
      <c r="A131" t="inlineStr">
        <is>
          <t>ALL</t>
        </is>
      </c>
      <c r="B131" t="inlineStr">
        <is>
          <t>epic</t>
        </is>
      </c>
      <c r="C131" t="n">
        <v>1</v>
      </c>
      <c r="D131" t="inlineStr">
        <is>
          <t>Attack Speed %</t>
        </is>
      </c>
      <c r="E131" t="n">
        <v>4</v>
      </c>
      <c r="F131" t="n">
        <v>2.5</v>
      </c>
      <c r="G131" t="b">
        <v>1</v>
      </c>
      <c r="H131">
        <f>Sensitivity!H17</f>
        <v/>
      </c>
    </row>
    <row r="132">
      <c r="A132" t="inlineStr">
        <is>
          <t>ALL</t>
        </is>
      </c>
      <c r="B132" t="inlineStr">
        <is>
          <t>epic</t>
        </is>
      </c>
      <c r="C132" t="n">
        <v>1</v>
      </c>
      <c r="D132" t="inlineStr">
        <is>
          <t>Damage %</t>
        </is>
      </c>
      <c r="E132" t="n">
        <v>12</v>
      </c>
      <c r="F132" t="n">
        <v>4</v>
      </c>
      <c r="G132" t="b">
        <v>1</v>
      </c>
      <c r="H132">
        <f>Sensitivity!H8</f>
        <v/>
      </c>
    </row>
    <row r="133">
      <c r="A133" t="inlineStr">
        <is>
          <t>ALL</t>
        </is>
      </c>
      <c r="B133" t="inlineStr">
        <is>
          <t>epic</t>
        </is>
      </c>
      <c r="C133" t="n">
        <v>1</v>
      </c>
      <c r="D133" t="inlineStr">
        <is>
          <t>Min Damage Multiplier %</t>
        </is>
      </c>
      <c r="E133" t="n">
        <v>8</v>
      </c>
      <c r="F133" t="n">
        <v>4</v>
      </c>
      <c r="G133" t="b">
        <v>1</v>
      </c>
      <c r="H133">
        <f>Sensitivity!H13</f>
        <v/>
      </c>
    </row>
    <row r="134">
      <c r="A134" t="inlineStr">
        <is>
          <t>ALL</t>
        </is>
      </c>
      <c r="B134" t="inlineStr">
        <is>
          <t>epic</t>
        </is>
      </c>
      <c r="C134" t="n">
        <v>1</v>
      </c>
      <c r="D134" t="inlineStr">
        <is>
          <t>Max Damage Multiplier %</t>
        </is>
      </c>
      <c r="E134" t="n">
        <v>8</v>
      </c>
      <c r="F134" t="n">
        <v>4</v>
      </c>
      <c r="G134" t="b">
        <v>1</v>
      </c>
      <c r="H134">
        <f>Sensitivity!H14</f>
        <v/>
      </c>
    </row>
    <row r="135">
      <c r="A135" t="inlineStr">
        <is>
          <t>ALL</t>
        </is>
      </c>
      <c r="B135" t="inlineStr">
        <is>
          <t>epic</t>
        </is>
      </c>
      <c r="C135" t="n">
        <v>1</v>
      </c>
      <c r="D135" t="inlineStr">
        <is>
          <t>Str %</t>
        </is>
      </c>
      <c r="E135" t="n">
        <v>6</v>
      </c>
      <c r="F135" t="n">
        <v>4.5</v>
      </c>
      <c r="G135" t="b">
        <v>1</v>
      </c>
      <c r="H135" t="inlineStr">
        <is>
          <t>0</t>
        </is>
      </c>
    </row>
    <row r="136">
      <c r="A136" t="inlineStr">
        <is>
          <t>ALL</t>
        </is>
      </c>
      <c r="B136" t="inlineStr">
        <is>
          <t>epic</t>
        </is>
      </c>
      <c r="C136" t="n">
        <v>1</v>
      </c>
      <c r="D136" t="inlineStr">
        <is>
          <t>Dex %</t>
        </is>
      </c>
      <c r="E136" t="n">
        <v>6</v>
      </c>
      <c r="F136" t="n">
        <v>4.5</v>
      </c>
      <c r="G136" t="b">
        <v>1</v>
      </c>
      <c r="H136" t="inlineStr">
        <is>
          <t>0</t>
        </is>
      </c>
    </row>
    <row r="137">
      <c r="A137" t="inlineStr">
        <is>
          <t>ALL</t>
        </is>
      </c>
      <c r="B137" t="inlineStr">
        <is>
          <t>epic</t>
        </is>
      </c>
      <c r="C137" t="n">
        <v>1</v>
      </c>
      <c r="D137" t="inlineStr">
        <is>
          <t>Int %</t>
        </is>
      </c>
      <c r="E137" t="n">
        <v>6</v>
      </c>
      <c r="F137" t="n">
        <v>4.5</v>
      </c>
      <c r="G137" t="b">
        <v>1</v>
      </c>
      <c r="H137" t="inlineStr">
        <is>
          <t>0</t>
        </is>
      </c>
    </row>
    <row r="138">
      <c r="A138" t="inlineStr">
        <is>
          <t>ALL</t>
        </is>
      </c>
      <c r="B138" t="inlineStr">
        <is>
          <t>epic</t>
        </is>
      </c>
      <c r="C138" t="n">
        <v>1</v>
      </c>
      <c r="D138" t="inlineStr">
        <is>
          <t>Luk %</t>
        </is>
      </c>
      <c r="E138" t="n">
        <v>6</v>
      </c>
      <c r="F138" t="n">
        <v>4.5</v>
      </c>
      <c r="G138" t="b">
        <v>1</v>
      </c>
      <c r="H138">
        <f>Sensitivity!H6</f>
        <v/>
      </c>
    </row>
    <row r="139">
      <c r="A139" t="inlineStr">
        <is>
          <t>ALL</t>
        </is>
      </c>
      <c r="B139" t="inlineStr">
        <is>
          <t>epic</t>
        </is>
      </c>
      <c r="C139" t="n">
        <v>1</v>
      </c>
      <c r="D139" t="inlineStr">
        <is>
          <t>Defense %</t>
        </is>
      </c>
      <c r="E139" t="n">
        <v>6</v>
      </c>
      <c r="F139" t="n">
        <v>9</v>
      </c>
      <c r="G139" t="b">
        <v>1</v>
      </c>
      <c r="H139" t="inlineStr">
        <is>
          <t>0</t>
        </is>
      </c>
    </row>
    <row r="140">
      <c r="A140" t="inlineStr">
        <is>
          <t>ALL</t>
        </is>
      </c>
      <c r="B140" t="inlineStr">
        <is>
          <t>epic</t>
        </is>
      </c>
      <c r="C140" t="n">
        <v>1</v>
      </c>
      <c r="D140" t="inlineStr">
        <is>
          <t>Max HP %</t>
        </is>
      </c>
      <c r="E140" t="n">
        <v>12</v>
      </c>
      <c r="F140" t="n">
        <v>9</v>
      </c>
      <c r="G140" t="b">
        <v>1</v>
      </c>
      <c r="H140" t="inlineStr">
        <is>
          <t>0</t>
        </is>
      </c>
    </row>
    <row r="141">
      <c r="A141" t="inlineStr">
        <is>
          <t>ALL</t>
        </is>
      </c>
      <c r="B141" t="inlineStr">
        <is>
          <t>epic</t>
        </is>
      </c>
      <c r="C141" t="n">
        <v>1</v>
      </c>
      <c r="D141" t="inlineStr">
        <is>
          <t>Max MP %</t>
        </is>
      </c>
      <c r="E141" t="n">
        <v>6</v>
      </c>
      <c r="F141" t="n">
        <v>9</v>
      </c>
      <c r="G141" t="b">
        <v>1</v>
      </c>
      <c r="H141" t="inlineStr">
        <is>
          <t>0</t>
        </is>
      </c>
    </row>
    <row r="142">
      <c r="A142" t="inlineStr">
        <is>
          <t>ALL</t>
        </is>
      </c>
      <c r="B142" t="inlineStr">
        <is>
          <t>epic</t>
        </is>
      </c>
      <c r="C142" t="n">
        <v>1</v>
      </c>
      <c r="D142" t="inlineStr">
        <is>
          <t>Str</t>
        </is>
      </c>
      <c r="E142" t="n">
        <v>200</v>
      </c>
      <c r="F142" t="n">
        <v>9.25</v>
      </c>
      <c r="G142" t="b">
        <v>1</v>
      </c>
      <c r="H142" t="inlineStr">
        <is>
          <t>0</t>
        </is>
      </c>
    </row>
    <row r="143">
      <c r="A143" t="inlineStr">
        <is>
          <t>ALL</t>
        </is>
      </c>
      <c r="B143" t="inlineStr">
        <is>
          <t>epic</t>
        </is>
      </c>
      <c r="C143" t="n">
        <v>1</v>
      </c>
      <c r="D143" t="inlineStr">
        <is>
          <t>Dex</t>
        </is>
      </c>
      <c r="E143" t="n">
        <v>200</v>
      </c>
      <c r="F143" t="n">
        <v>9.25</v>
      </c>
      <c r="G143" t="b">
        <v>1</v>
      </c>
      <c r="H143" t="inlineStr">
        <is>
          <t>0</t>
        </is>
      </c>
    </row>
    <row r="144">
      <c r="A144" t="inlineStr">
        <is>
          <t>ALL</t>
        </is>
      </c>
      <c r="B144" t="inlineStr">
        <is>
          <t>epic</t>
        </is>
      </c>
      <c r="C144" t="n">
        <v>1</v>
      </c>
      <c r="D144" t="inlineStr">
        <is>
          <t>Int</t>
        </is>
      </c>
      <c r="E144" t="n">
        <v>200</v>
      </c>
      <c r="F144" t="n">
        <v>9.25</v>
      </c>
      <c r="G144" t="b">
        <v>1</v>
      </c>
      <c r="H144" t="inlineStr">
        <is>
          <t>0</t>
        </is>
      </c>
    </row>
    <row r="145">
      <c r="A145" t="inlineStr">
        <is>
          <t>ALL</t>
        </is>
      </c>
      <c r="B145" t="inlineStr">
        <is>
          <t>epic</t>
        </is>
      </c>
      <c r="C145" t="n">
        <v>1</v>
      </c>
      <c r="D145" t="inlineStr">
        <is>
          <t>Luk</t>
        </is>
      </c>
      <c r="E145" t="n">
        <v>200</v>
      </c>
      <c r="F145" t="n">
        <v>9.25</v>
      </c>
      <c r="G145" t="b">
        <v>1</v>
      </c>
      <c r="H145">
        <f>Sensitivity!H5</f>
        <v/>
      </c>
    </row>
    <row r="146">
      <c r="A146" t="inlineStr">
        <is>
          <t>ALL</t>
        </is>
      </c>
      <c r="B146" t="inlineStr">
        <is>
          <t>epic</t>
        </is>
      </c>
      <c r="C146" t="n">
        <v>2</v>
      </c>
      <c r="D146" t="inlineStr">
        <is>
          <t>Critical Rate %</t>
        </is>
      </c>
      <c r="E146" t="n">
        <v>4.5</v>
      </c>
      <c r="F146" t="n">
        <v>1.9</v>
      </c>
      <c r="G146" t="b">
        <v>0</v>
      </c>
      <c r="H146">
        <f>IF(Inputs!$B$8&gt;=100,Sensitivity!H16,Sensitivity!H15)</f>
        <v/>
      </c>
    </row>
    <row r="147">
      <c r="A147" t="inlineStr">
        <is>
          <t>ALL</t>
        </is>
      </c>
      <c r="B147" t="inlineStr">
        <is>
          <t>epic</t>
        </is>
      </c>
      <c r="C147" t="n">
        <v>2</v>
      </c>
      <c r="D147" t="inlineStr">
        <is>
          <t>Critical Rate %</t>
        </is>
      </c>
      <c r="E147" t="n">
        <v>6</v>
      </c>
      <c r="F147" t="n">
        <v>0.6</v>
      </c>
      <c r="G147" t="b">
        <v>1</v>
      </c>
      <c r="H147">
        <f>IF(Inputs!$B$8&gt;=100,Sensitivity!H16,Sensitivity!H15)</f>
        <v/>
      </c>
    </row>
    <row r="148">
      <c r="A148" t="inlineStr">
        <is>
          <t>ALL</t>
        </is>
      </c>
      <c r="B148" t="inlineStr">
        <is>
          <t>epic</t>
        </is>
      </c>
      <c r="C148" t="n">
        <v>2</v>
      </c>
      <c r="D148" t="inlineStr">
        <is>
          <t>Attack Speed %</t>
        </is>
      </c>
      <c r="E148" t="n">
        <v>3.5</v>
      </c>
      <c r="F148" t="n">
        <v>1.9</v>
      </c>
      <c r="G148" t="b">
        <v>0</v>
      </c>
      <c r="H148">
        <f>Sensitivity!H17</f>
        <v/>
      </c>
    </row>
    <row r="149">
      <c r="A149" t="inlineStr">
        <is>
          <t>ALL</t>
        </is>
      </c>
      <c r="B149" t="inlineStr">
        <is>
          <t>epic</t>
        </is>
      </c>
      <c r="C149" t="n">
        <v>2</v>
      </c>
      <c r="D149" t="inlineStr">
        <is>
          <t>Attack Speed %</t>
        </is>
      </c>
      <c r="E149" t="n">
        <v>4</v>
      </c>
      <c r="F149" t="n">
        <v>0.6</v>
      </c>
      <c r="G149" t="b">
        <v>1</v>
      </c>
      <c r="H149">
        <f>Sensitivity!H17</f>
        <v/>
      </c>
    </row>
    <row r="150">
      <c r="A150" t="inlineStr">
        <is>
          <t>ALL</t>
        </is>
      </c>
      <c r="B150" t="inlineStr">
        <is>
          <t>epic</t>
        </is>
      </c>
      <c r="C150" t="n">
        <v>2</v>
      </c>
      <c r="D150" t="inlineStr">
        <is>
          <t>Damage %</t>
        </is>
      </c>
      <c r="E150" t="n">
        <v>8</v>
      </c>
      <c r="F150" t="n">
        <v>3.04</v>
      </c>
      <c r="G150" t="b">
        <v>0</v>
      </c>
      <c r="H150">
        <f>Sensitivity!H8</f>
        <v/>
      </c>
    </row>
    <row r="151">
      <c r="A151" t="inlineStr">
        <is>
          <t>ALL</t>
        </is>
      </c>
      <c r="B151" t="inlineStr">
        <is>
          <t>epic</t>
        </is>
      </c>
      <c r="C151" t="n">
        <v>2</v>
      </c>
      <c r="D151" t="inlineStr">
        <is>
          <t>Damage %</t>
        </is>
      </c>
      <c r="E151" t="n">
        <v>12</v>
      </c>
      <c r="F151" t="n">
        <v>0.96</v>
      </c>
      <c r="G151" t="b">
        <v>1</v>
      </c>
      <c r="H151">
        <f>Sensitivity!H8</f>
        <v/>
      </c>
    </row>
    <row r="152">
      <c r="A152" t="inlineStr">
        <is>
          <t>ALL</t>
        </is>
      </c>
      <c r="B152" t="inlineStr">
        <is>
          <t>epic</t>
        </is>
      </c>
      <c r="C152" t="n">
        <v>2</v>
      </c>
      <c r="D152" t="inlineStr">
        <is>
          <t>Min Damage Multiplier %</t>
        </is>
      </c>
      <c r="E152" t="n">
        <v>6</v>
      </c>
      <c r="F152" t="n">
        <v>3.04</v>
      </c>
      <c r="G152" t="b">
        <v>0</v>
      </c>
      <c r="H152">
        <f>Sensitivity!H13</f>
        <v/>
      </c>
    </row>
    <row r="153">
      <c r="A153" t="inlineStr">
        <is>
          <t>ALL</t>
        </is>
      </c>
      <c r="B153" t="inlineStr">
        <is>
          <t>epic</t>
        </is>
      </c>
      <c r="C153" t="n">
        <v>2</v>
      </c>
      <c r="D153" t="inlineStr">
        <is>
          <t>Min Damage Multiplier %</t>
        </is>
      </c>
      <c r="E153" t="n">
        <v>8</v>
      </c>
      <c r="F153" t="n">
        <v>0.96</v>
      </c>
      <c r="G153" t="b">
        <v>1</v>
      </c>
      <c r="H153">
        <f>Sensitivity!H13</f>
        <v/>
      </c>
    </row>
    <row r="154">
      <c r="A154" t="inlineStr">
        <is>
          <t>ALL</t>
        </is>
      </c>
      <c r="B154" t="inlineStr">
        <is>
          <t>epic</t>
        </is>
      </c>
      <c r="C154" t="n">
        <v>2</v>
      </c>
      <c r="D154" t="inlineStr">
        <is>
          <t>Max Damage Multiplier %</t>
        </is>
      </c>
      <c r="E154" t="n">
        <v>6</v>
      </c>
      <c r="F154" t="n">
        <v>3.04</v>
      </c>
      <c r="G154" t="b">
        <v>0</v>
      </c>
      <c r="H154">
        <f>Sensitivity!H14</f>
        <v/>
      </c>
    </row>
    <row r="155">
      <c r="A155" t="inlineStr">
        <is>
          <t>ALL</t>
        </is>
      </c>
      <c r="B155" t="inlineStr">
        <is>
          <t>epic</t>
        </is>
      </c>
      <c r="C155" t="n">
        <v>2</v>
      </c>
      <c r="D155" t="inlineStr">
        <is>
          <t>Max Damage Multiplier %</t>
        </is>
      </c>
      <c r="E155" t="n">
        <v>8</v>
      </c>
      <c r="F155" t="n">
        <v>0.96</v>
      </c>
      <c r="G155" t="b">
        <v>1</v>
      </c>
      <c r="H155">
        <f>Sensitivity!H14</f>
        <v/>
      </c>
    </row>
    <row r="156">
      <c r="A156" t="inlineStr">
        <is>
          <t>ALL</t>
        </is>
      </c>
      <c r="B156" t="inlineStr">
        <is>
          <t>epic</t>
        </is>
      </c>
      <c r="C156" t="n">
        <v>2</v>
      </c>
      <c r="D156" t="inlineStr">
        <is>
          <t>Str %</t>
        </is>
      </c>
      <c r="E156" t="n">
        <v>4.5</v>
      </c>
      <c r="F156" t="n">
        <v>3.42</v>
      </c>
      <c r="G156" t="b">
        <v>0</v>
      </c>
      <c r="H156" t="inlineStr">
        <is>
          <t>0</t>
        </is>
      </c>
    </row>
    <row r="157">
      <c r="A157" t="inlineStr">
        <is>
          <t>ALL</t>
        </is>
      </c>
      <c r="B157" t="inlineStr">
        <is>
          <t>epic</t>
        </is>
      </c>
      <c r="C157" t="n">
        <v>2</v>
      </c>
      <c r="D157" t="inlineStr">
        <is>
          <t>Str %</t>
        </is>
      </c>
      <c r="E157" t="n">
        <v>6</v>
      </c>
      <c r="F157" t="n">
        <v>1.08</v>
      </c>
      <c r="G157" t="b">
        <v>1</v>
      </c>
      <c r="H157" t="inlineStr">
        <is>
          <t>0</t>
        </is>
      </c>
    </row>
    <row r="158">
      <c r="A158" t="inlineStr">
        <is>
          <t>ALL</t>
        </is>
      </c>
      <c r="B158" t="inlineStr">
        <is>
          <t>epic</t>
        </is>
      </c>
      <c r="C158" t="n">
        <v>2</v>
      </c>
      <c r="D158" t="inlineStr">
        <is>
          <t>Dex %</t>
        </is>
      </c>
      <c r="E158" t="n">
        <v>4.5</v>
      </c>
      <c r="F158" t="n">
        <v>3.42</v>
      </c>
      <c r="G158" t="b">
        <v>0</v>
      </c>
      <c r="H158" t="inlineStr">
        <is>
          <t>0</t>
        </is>
      </c>
    </row>
    <row r="159">
      <c r="A159" t="inlineStr">
        <is>
          <t>ALL</t>
        </is>
      </c>
      <c r="B159" t="inlineStr">
        <is>
          <t>epic</t>
        </is>
      </c>
      <c r="C159" t="n">
        <v>2</v>
      </c>
      <c r="D159" t="inlineStr">
        <is>
          <t>Dex %</t>
        </is>
      </c>
      <c r="E159" t="n">
        <v>6</v>
      </c>
      <c r="F159" t="n">
        <v>1.08</v>
      </c>
      <c r="G159" t="b">
        <v>1</v>
      </c>
      <c r="H159" t="inlineStr">
        <is>
          <t>0</t>
        </is>
      </c>
    </row>
    <row r="160">
      <c r="A160" t="inlineStr">
        <is>
          <t>ALL</t>
        </is>
      </c>
      <c r="B160" t="inlineStr">
        <is>
          <t>epic</t>
        </is>
      </c>
      <c r="C160" t="n">
        <v>2</v>
      </c>
      <c r="D160" t="inlineStr">
        <is>
          <t>Int %</t>
        </is>
      </c>
      <c r="E160" t="n">
        <v>4.5</v>
      </c>
      <c r="F160" t="n">
        <v>3.42</v>
      </c>
      <c r="G160" t="b">
        <v>0</v>
      </c>
      <c r="H160" t="inlineStr">
        <is>
          <t>0</t>
        </is>
      </c>
    </row>
    <row r="161">
      <c r="A161" t="inlineStr">
        <is>
          <t>ALL</t>
        </is>
      </c>
      <c r="B161" t="inlineStr">
        <is>
          <t>epic</t>
        </is>
      </c>
      <c r="C161" t="n">
        <v>2</v>
      </c>
      <c r="D161" t="inlineStr">
        <is>
          <t>Int %</t>
        </is>
      </c>
      <c r="E161" t="n">
        <v>6</v>
      </c>
      <c r="F161" t="n">
        <v>1.08</v>
      </c>
      <c r="G161" t="b">
        <v>1</v>
      </c>
      <c r="H161" t="inlineStr">
        <is>
          <t>0</t>
        </is>
      </c>
    </row>
    <row r="162">
      <c r="A162" t="inlineStr">
        <is>
          <t>ALL</t>
        </is>
      </c>
      <c r="B162" t="inlineStr">
        <is>
          <t>epic</t>
        </is>
      </c>
      <c r="C162" t="n">
        <v>2</v>
      </c>
      <c r="D162" t="inlineStr">
        <is>
          <t>Luk %</t>
        </is>
      </c>
      <c r="E162" t="n">
        <v>4.5</v>
      </c>
      <c r="F162" t="n">
        <v>3.42</v>
      </c>
      <c r="G162" t="b">
        <v>0</v>
      </c>
      <c r="H162">
        <f>Sensitivity!H6</f>
        <v/>
      </c>
    </row>
    <row r="163">
      <c r="A163" t="inlineStr">
        <is>
          <t>ALL</t>
        </is>
      </c>
      <c r="B163" t="inlineStr">
        <is>
          <t>epic</t>
        </is>
      </c>
      <c r="C163" t="n">
        <v>2</v>
      </c>
      <c r="D163" t="inlineStr">
        <is>
          <t>Luk %</t>
        </is>
      </c>
      <c r="E163" t="n">
        <v>6</v>
      </c>
      <c r="F163" t="n">
        <v>1.08</v>
      </c>
      <c r="G163" t="b">
        <v>1</v>
      </c>
      <c r="H163">
        <f>Sensitivity!H6</f>
        <v/>
      </c>
    </row>
    <row r="164">
      <c r="A164" t="inlineStr">
        <is>
          <t>ALL</t>
        </is>
      </c>
      <c r="B164" t="inlineStr">
        <is>
          <t>epic</t>
        </is>
      </c>
      <c r="C164" t="n">
        <v>2</v>
      </c>
      <c r="D164" t="inlineStr">
        <is>
          <t>Defense %</t>
        </is>
      </c>
      <c r="E164" t="n">
        <v>4.5</v>
      </c>
      <c r="F164" t="n">
        <v>6.84</v>
      </c>
      <c r="G164" t="b">
        <v>0</v>
      </c>
      <c r="H164" t="inlineStr">
        <is>
          <t>0</t>
        </is>
      </c>
    </row>
    <row r="165">
      <c r="A165" t="inlineStr">
        <is>
          <t>ALL</t>
        </is>
      </c>
      <c r="B165" t="inlineStr">
        <is>
          <t>epic</t>
        </is>
      </c>
      <c r="C165" t="n">
        <v>2</v>
      </c>
      <c r="D165" t="inlineStr">
        <is>
          <t>Defense %</t>
        </is>
      </c>
      <c r="E165" t="n">
        <v>6</v>
      </c>
      <c r="F165" t="n">
        <v>2.16</v>
      </c>
      <c r="G165" t="b">
        <v>1</v>
      </c>
      <c r="H165" t="inlineStr">
        <is>
          <t>0</t>
        </is>
      </c>
    </row>
    <row r="166">
      <c r="A166" t="inlineStr">
        <is>
          <t>ALL</t>
        </is>
      </c>
      <c r="B166" t="inlineStr">
        <is>
          <t>epic</t>
        </is>
      </c>
      <c r="C166" t="n">
        <v>2</v>
      </c>
      <c r="D166" t="inlineStr">
        <is>
          <t>Max HP %</t>
        </is>
      </c>
      <c r="E166" t="n">
        <v>9</v>
      </c>
      <c r="F166" t="n">
        <v>6.84</v>
      </c>
      <c r="G166" t="b">
        <v>0</v>
      </c>
      <c r="H166" t="inlineStr">
        <is>
          <t>0</t>
        </is>
      </c>
    </row>
    <row r="167">
      <c r="A167" t="inlineStr">
        <is>
          <t>ALL</t>
        </is>
      </c>
      <c r="B167" t="inlineStr">
        <is>
          <t>epic</t>
        </is>
      </c>
      <c r="C167" t="n">
        <v>2</v>
      </c>
      <c r="D167" t="inlineStr">
        <is>
          <t>Max HP %</t>
        </is>
      </c>
      <c r="E167" t="n">
        <v>12</v>
      </c>
      <c r="F167" t="n">
        <v>2.16</v>
      </c>
      <c r="G167" t="b">
        <v>1</v>
      </c>
      <c r="H167" t="inlineStr">
        <is>
          <t>0</t>
        </is>
      </c>
    </row>
    <row r="168">
      <c r="A168" t="inlineStr">
        <is>
          <t>ALL</t>
        </is>
      </c>
      <c r="B168" t="inlineStr">
        <is>
          <t>epic</t>
        </is>
      </c>
      <c r="C168" t="n">
        <v>2</v>
      </c>
      <c r="D168" t="inlineStr">
        <is>
          <t>Max MP %</t>
        </is>
      </c>
      <c r="E168" t="n">
        <v>4.5</v>
      </c>
      <c r="F168" t="n">
        <v>6.84</v>
      </c>
      <c r="G168" t="b">
        <v>0</v>
      </c>
      <c r="H168" t="inlineStr">
        <is>
          <t>0</t>
        </is>
      </c>
    </row>
    <row r="169">
      <c r="A169" t="inlineStr">
        <is>
          <t>ALL</t>
        </is>
      </c>
      <c r="B169" t="inlineStr">
        <is>
          <t>epic</t>
        </is>
      </c>
      <c r="C169" t="n">
        <v>2</v>
      </c>
      <c r="D169" t="inlineStr">
        <is>
          <t>Max MP %</t>
        </is>
      </c>
      <c r="E169" t="n">
        <v>6</v>
      </c>
      <c r="F169" t="n">
        <v>2.16</v>
      </c>
      <c r="G169" t="b">
        <v>1</v>
      </c>
      <c r="H169" t="inlineStr">
        <is>
          <t>0</t>
        </is>
      </c>
    </row>
    <row r="170">
      <c r="A170" t="inlineStr">
        <is>
          <t>ALL</t>
        </is>
      </c>
      <c r="B170" t="inlineStr">
        <is>
          <t>epic</t>
        </is>
      </c>
      <c r="C170" t="n">
        <v>2</v>
      </c>
      <c r="D170" t="inlineStr">
        <is>
          <t>Str</t>
        </is>
      </c>
      <c r="E170" t="n">
        <v>100</v>
      </c>
      <c r="F170" t="n">
        <v>7.22</v>
      </c>
      <c r="G170" t="b">
        <v>0</v>
      </c>
      <c r="H170" t="inlineStr">
        <is>
          <t>0</t>
        </is>
      </c>
    </row>
    <row r="171">
      <c r="A171" t="inlineStr">
        <is>
          <t>ALL</t>
        </is>
      </c>
      <c r="B171" t="inlineStr">
        <is>
          <t>epic</t>
        </is>
      </c>
      <c r="C171" t="n">
        <v>2</v>
      </c>
      <c r="D171" t="inlineStr">
        <is>
          <t>Str</t>
        </is>
      </c>
      <c r="E171" t="n">
        <v>200</v>
      </c>
      <c r="F171" t="n">
        <v>2.22</v>
      </c>
      <c r="G171" t="b">
        <v>1</v>
      </c>
      <c r="H171" t="inlineStr">
        <is>
          <t>0</t>
        </is>
      </c>
    </row>
    <row r="172">
      <c r="A172" t="inlineStr">
        <is>
          <t>ALL</t>
        </is>
      </c>
      <c r="B172" t="inlineStr">
        <is>
          <t>epic</t>
        </is>
      </c>
      <c r="C172" t="n">
        <v>2</v>
      </c>
      <c r="D172" t="inlineStr">
        <is>
          <t>Dex</t>
        </is>
      </c>
      <c r="E172" t="n">
        <v>100</v>
      </c>
      <c r="F172" t="n">
        <v>7.22</v>
      </c>
      <c r="G172" t="b">
        <v>0</v>
      </c>
      <c r="H172" t="inlineStr">
        <is>
          <t>0</t>
        </is>
      </c>
    </row>
    <row r="173">
      <c r="A173" t="inlineStr">
        <is>
          <t>ALL</t>
        </is>
      </c>
      <c r="B173" t="inlineStr">
        <is>
          <t>epic</t>
        </is>
      </c>
      <c r="C173" t="n">
        <v>2</v>
      </c>
      <c r="D173" t="inlineStr">
        <is>
          <t>Dex</t>
        </is>
      </c>
      <c r="E173" t="n">
        <v>200</v>
      </c>
      <c r="F173" t="n">
        <v>2.22</v>
      </c>
      <c r="G173" t="b">
        <v>1</v>
      </c>
      <c r="H173" t="inlineStr">
        <is>
          <t>0</t>
        </is>
      </c>
    </row>
    <row r="174">
      <c r="A174" t="inlineStr">
        <is>
          <t>ALL</t>
        </is>
      </c>
      <c r="B174" t="inlineStr">
        <is>
          <t>epic</t>
        </is>
      </c>
      <c r="C174" t="n">
        <v>2</v>
      </c>
      <c r="D174" t="inlineStr">
        <is>
          <t>Int</t>
        </is>
      </c>
      <c r="E174" t="n">
        <v>100</v>
      </c>
      <c r="F174" t="n">
        <v>7.22</v>
      </c>
      <c r="G174" t="b">
        <v>0</v>
      </c>
      <c r="H174" t="inlineStr">
        <is>
          <t>0</t>
        </is>
      </c>
    </row>
    <row r="175">
      <c r="A175" t="inlineStr">
        <is>
          <t>ALL</t>
        </is>
      </c>
      <c r="B175" t="inlineStr">
        <is>
          <t>epic</t>
        </is>
      </c>
      <c r="C175" t="n">
        <v>2</v>
      </c>
      <c r="D175" t="inlineStr">
        <is>
          <t>Int</t>
        </is>
      </c>
      <c r="E175" t="n">
        <v>200</v>
      </c>
      <c r="F175" t="n">
        <v>2.22</v>
      </c>
      <c r="G175" t="b">
        <v>1</v>
      </c>
      <c r="H175" t="inlineStr">
        <is>
          <t>0</t>
        </is>
      </c>
    </row>
    <row r="176">
      <c r="A176" t="inlineStr">
        <is>
          <t>ALL</t>
        </is>
      </c>
      <c r="B176" t="inlineStr">
        <is>
          <t>epic</t>
        </is>
      </c>
      <c r="C176" t="n">
        <v>2</v>
      </c>
      <c r="D176" t="inlineStr">
        <is>
          <t>Luk</t>
        </is>
      </c>
      <c r="E176" t="n">
        <v>100</v>
      </c>
      <c r="F176" t="n">
        <v>7.22</v>
      </c>
      <c r="G176" t="b">
        <v>0</v>
      </c>
      <c r="H176">
        <f>Sensitivity!H5</f>
        <v/>
      </c>
    </row>
    <row r="177">
      <c r="A177" t="inlineStr">
        <is>
          <t>ALL</t>
        </is>
      </c>
      <c r="B177" t="inlineStr">
        <is>
          <t>epic</t>
        </is>
      </c>
      <c r="C177" t="n">
        <v>2</v>
      </c>
      <c r="D177" t="inlineStr">
        <is>
          <t>Luk</t>
        </is>
      </c>
      <c r="E177" t="n">
        <v>200</v>
      </c>
      <c r="F177" t="n">
        <v>2.22</v>
      </c>
      <c r="G177" t="b">
        <v>1</v>
      </c>
      <c r="H177">
        <f>Sensitivity!H5</f>
        <v/>
      </c>
    </row>
    <row r="178">
      <c r="A178" t="inlineStr">
        <is>
          <t>ALL</t>
        </is>
      </c>
      <c r="B178" t="inlineStr">
        <is>
          <t>epic</t>
        </is>
      </c>
      <c r="C178" t="n">
        <v>3</v>
      </c>
      <c r="D178" t="inlineStr">
        <is>
          <t>Critical Rate %</t>
        </is>
      </c>
      <c r="E178" t="n">
        <v>4.5</v>
      </c>
      <c r="F178" t="n">
        <v>2.3</v>
      </c>
      <c r="G178" t="b">
        <v>0</v>
      </c>
      <c r="H178">
        <f>IF(Inputs!$B$8&gt;=100,Sensitivity!H16,Sensitivity!H15)</f>
        <v/>
      </c>
    </row>
    <row r="179">
      <c r="A179" t="inlineStr">
        <is>
          <t>ALL</t>
        </is>
      </c>
      <c r="B179" t="inlineStr">
        <is>
          <t>epic</t>
        </is>
      </c>
      <c r="C179" t="n">
        <v>3</v>
      </c>
      <c r="D179" t="inlineStr">
        <is>
          <t>Critical Rate %</t>
        </is>
      </c>
      <c r="E179" t="n">
        <v>6</v>
      </c>
      <c r="F179" t="n">
        <v>0.2</v>
      </c>
      <c r="G179" t="b">
        <v>1</v>
      </c>
      <c r="H179">
        <f>IF(Inputs!$B$8&gt;=100,Sensitivity!H16,Sensitivity!H15)</f>
        <v/>
      </c>
    </row>
    <row r="180">
      <c r="A180" t="inlineStr">
        <is>
          <t>ALL</t>
        </is>
      </c>
      <c r="B180" t="inlineStr">
        <is>
          <t>epic</t>
        </is>
      </c>
      <c r="C180" t="n">
        <v>3</v>
      </c>
      <c r="D180" t="inlineStr">
        <is>
          <t>Attack Speed %</t>
        </is>
      </c>
      <c r="E180" t="n">
        <v>3.5</v>
      </c>
      <c r="F180" t="n">
        <v>2.3</v>
      </c>
      <c r="G180" t="b">
        <v>0</v>
      </c>
      <c r="H180">
        <f>Sensitivity!H17</f>
        <v/>
      </c>
    </row>
    <row r="181">
      <c r="A181" t="inlineStr">
        <is>
          <t>ALL</t>
        </is>
      </c>
      <c r="B181" t="inlineStr">
        <is>
          <t>epic</t>
        </is>
      </c>
      <c r="C181" t="n">
        <v>3</v>
      </c>
      <c r="D181" t="inlineStr">
        <is>
          <t>Attack Speed %</t>
        </is>
      </c>
      <c r="E181" t="n">
        <v>4</v>
      </c>
      <c r="F181" t="n">
        <v>0.2</v>
      </c>
      <c r="G181" t="b">
        <v>1</v>
      </c>
      <c r="H181">
        <f>Sensitivity!H17</f>
        <v/>
      </c>
    </row>
    <row r="182">
      <c r="A182" t="inlineStr">
        <is>
          <t>ALL</t>
        </is>
      </c>
      <c r="B182" t="inlineStr">
        <is>
          <t>epic</t>
        </is>
      </c>
      <c r="C182" t="n">
        <v>3</v>
      </c>
      <c r="D182" t="inlineStr">
        <is>
          <t>Damage %</t>
        </is>
      </c>
      <c r="E182" t="n">
        <v>8</v>
      </c>
      <c r="F182" t="n">
        <v>3.68</v>
      </c>
      <c r="G182" t="b">
        <v>0</v>
      </c>
      <c r="H182">
        <f>Sensitivity!H8</f>
        <v/>
      </c>
    </row>
    <row r="183">
      <c r="A183" t="inlineStr">
        <is>
          <t>ALL</t>
        </is>
      </c>
      <c r="B183" t="inlineStr">
        <is>
          <t>epic</t>
        </is>
      </c>
      <c r="C183" t="n">
        <v>3</v>
      </c>
      <c r="D183" t="inlineStr">
        <is>
          <t>Damage %</t>
        </is>
      </c>
      <c r="E183" t="n">
        <v>12</v>
      </c>
      <c r="F183" t="n">
        <v>0.32</v>
      </c>
      <c r="G183" t="b">
        <v>1</v>
      </c>
      <c r="H183">
        <f>Sensitivity!H8</f>
        <v/>
      </c>
    </row>
    <row r="184">
      <c r="A184" t="inlineStr">
        <is>
          <t>ALL</t>
        </is>
      </c>
      <c r="B184" t="inlineStr">
        <is>
          <t>epic</t>
        </is>
      </c>
      <c r="C184" t="n">
        <v>3</v>
      </c>
      <c r="D184" t="inlineStr">
        <is>
          <t>Min Damage Multiplier %</t>
        </is>
      </c>
      <c r="E184" t="n">
        <v>6</v>
      </c>
      <c r="F184" t="n">
        <v>3.68</v>
      </c>
      <c r="G184" t="b">
        <v>0</v>
      </c>
      <c r="H184">
        <f>Sensitivity!H13</f>
        <v/>
      </c>
    </row>
    <row r="185">
      <c r="A185" t="inlineStr">
        <is>
          <t>ALL</t>
        </is>
      </c>
      <c r="B185" t="inlineStr">
        <is>
          <t>epic</t>
        </is>
      </c>
      <c r="C185" t="n">
        <v>3</v>
      </c>
      <c r="D185" t="inlineStr">
        <is>
          <t>Min Damage Multiplier %</t>
        </is>
      </c>
      <c r="E185" t="n">
        <v>8</v>
      </c>
      <c r="F185" t="n">
        <v>0.32</v>
      </c>
      <c r="G185" t="b">
        <v>1</v>
      </c>
      <c r="H185">
        <f>Sensitivity!H13</f>
        <v/>
      </c>
    </row>
    <row r="186">
      <c r="A186" t="inlineStr">
        <is>
          <t>ALL</t>
        </is>
      </c>
      <c r="B186" t="inlineStr">
        <is>
          <t>epic</t>
        </is>
      </c>
      <c r="C186" t="n">
        <v>3</v>
      </c>
      <c r="D186" t="inlineStr">
        <is>
          <t>Max Damage Multiplier %</t>
        </is>
      </c>
      <c r="E186" t="n">
        <v>6</v>
      </c>
      <c r="F186" t="n">
        <v>3.68</v>
      </c>
      <c r="G186" t="b">
        <v>0</v>
      </c>
      <c r="H186">
        <f>Sensitivity!H14</f>
        <v/>
      </c>
    </row>
    <row r="187">
      <c r="A187" t="inlineStr">
        <is>
          <t>ALL</t>
        </is>
      </c>
      <c r="B187" t="inlineStr">
        <is>
          <t>epic</t>
        </is>
      </c>
      <c r="C187" t="n">
        <v>3</v>
      </c>
      <c r="D187" t="inlineStr">
        <is>
          <t>Max Damage Multiplier %</t>
        </is>
      </c>
      <c r="E187" t="n">
        <v>8</v>
      </c>
      <c r="F187" t="n">
        <v>0.32</v>
      </c>
      <c r="G187" t="b">
        <v>1</v>
      </c>
      <c r="H187">
        <f>Sensitivity!H14</f>
        <v/>
      </c>
    </row>
    <row r="188">
      <c r="A188" t="inlineStr">
        <is>
          <t>ALL</t>
        </is>
      </c>
      <c r="B188" t="inlineStr">
        <is>
          <t>epic</t>
        </is>
      </c>
      <c r="C188" t="n">
        <v>3</v>
      </c>
      <c r="D188" t="inlineStr">
        <is>
          <t>Str %</t>
        </is>
      </c>
      <c r="E188" t="n">
        <v>4.5</v>
      </c>
      <c r="F188" t="n">
        <v>4.14</v>
      </c>
      <c r="G188" t="b">
        <v>0</v>
      </c>
      <c r="H188" t="inlineStr">
        <is>
          <t>0</t>
        </is>
      </c>
    </row>
    <row r="189">
      <c r="A189" t="inlineStr">
        <is>
          <t>ALL</t>
        </is>
      </c>
      <c r="B189" t="inlineStr">
        <is>
          <t>epic</t>
        </is>
      </c>
      <c r="C189" t="n">
        <v>3</v>
      </c>
      <c r="D189" t="inlineStr">
        <is>
          <t>Str %</t>
        </is>
      </c>
      <c r="E189" t="n">
        <v>6</v>
      </c>
      <c r="F189" t="n">
        <v>0.36</v>
      </c>
      <c r="G189" t="b">
        <v>1</v>
      </c>
      <c r="H189" t="inlineStr">
        <is>
          <t>0</t>
        </is>
      </c>
    </row>
    <row r="190">
      <c r="A190" t="inlineStr">
        <is>
          <t>ALL</t>
        </is>
      </c>
      <c r="B190" t="inlineStr">
        <is>
          <t>epic</t>
        </is>
      </c>
      <c r="C190" t="n">
        <v>3</v>
      </c>
      <c r="D190" t="inlineStr">
        <is>
          <t>Dex %</t>
        </is>
      </c>
      <c r="E190" t="n">
        <v>4.5</v>
      </c>
      <c r="F190" t="n">
        <v>4.14</v>
      </c>
      <c r="G190" t="b">
        <v>0</v>
      </c>
      <c r="H190" t="inlineStr">
        <is>
          <t>0</t>
        </is>
      </c>
    </row>
    <row r="191">
      <c r="A191" t="inlineStr">
        <is>
          <t>ALL</t>
        </is>
      </c>
      <c r="B191" t="inlineStr">
        <is>
          <t>epic</t>
        </is>
      </c>
      <c r="C191" t="n">
        <v>3</v>
      </c>
      <c r="D191" t="inlineStr">
        <is>
          <t>Dex %</t>
        </is>
      </c>
      <c r="E191" t="n">
        <v>6</v>
      </c>
      <c r="F191" t="n">
        <v>0.36</v>
      </c>
      <c r="G191" t="b">
        <v>1</v>
      </c>
      <c r="H191" t="inlineStr">
        <is>
          <t>0</t>
        </is>
      </c>
    </row>
    <row r="192">
      <c r="A192" t="inlineStr">
        <is>
          <t>ALL</t>
        </is>
      </c>
      <c r="B192" t="inlineStr">
        <is>
          <t>epic</t>
        </is>
      </c>
      <c r="C192" t="n">
        <v>3</v>
      </c>
      <c r="D192" t="inlineStr">
        <is>
          <t>Int %</t>
        </is>
      </c>
      <c r="E192" t="n">
        <v>4.5</v>
      </c>
      <c r="F192" t="n">
        <v>4.14</v>
      </c>
      <c r="G192" t="b">
        <v>0</v>
      </c>
      <c r="H192" t="inlineStr">
        <is>
          <t>0</t>
        </is>
      </c>
    </row>
    <row r="193">
      <c r="A193" t="inlineStr">
        <is>
          <t>ALL</t>
        </is>
      </c>
      <c r="B193" t="inlineStr">
        <is>
          <t>epic</t>
        </is>
      </c>
      <c r="C193" t="n">
        <v>3</v>
      </c>
      <c r="D193" t="inlineStr">
        <is>
          <t>Int %</t>
        </is>
      </c>
      <c r="E193" t="n">
        <v>6</v>
      </c>
      <c r="F193" t="n">
        <v>0.36</v>
      </c>
      <c r="G193" t="b">
        <v>1</v>
      </c>
      <c r="H193" t="inlineStr">
        <is>
          <t>0</t>
        </is>
      </c>
    </row>
    <row r="194">
      <c r="A194" t="inlineStr">
        <is>
          <t>ALL</t>
        </is>
      </c>
      <c r="B194" t="inlineStr">
        <is>
          <t>epic</t>
        </is>
      </c>
      <c r="C194" t="n">
        <v>3</v>
      </c>
      <c r="D194" t="inlineStr">
        <is>
          <t>Luk %</t>
        </is>
      </c>
      <c r="E194" t="n">
        <v>4.5</v>
      </c>
      <c r="F194" t="n">
        <v>4.14</v>
      </c>
      <c r="G194" t="b">
        <v>0</v>
      </c>
      <c r="H194">
        <f>Sensitivity!H6</f>
        <v/>
      </c>
    </row>
    <row r="195">
      <c r="A195" t="inlineStr">
        <is>
          <t>ALL</t>
        </is>
      </c>
      <c r="B195" t="inlineStr">
        <is>
          <t>epic</t>
        </is>
      </c>
      <c r="C195" t="n">
        <v>3</v>
      </c>
      <c r="D195" t="inlineStr">
        <is>
          <t>Luk %</t>
        </is>
      </c>
      <c r="E195" t="n">
        <v>6</v>
      </c>
      <c r="F195" t="n">
        <v>0.36</v>
      </c>
      <c r="G195" t="b">
        <v>1</v>
      </c>
      <c r="H195">
        <f>Sensitivity!H6</f>
        <v/>
      </c>
    </row>
    <row r="196">
      <c r="A196" t="inlineStr">
        <is>
          <t>ALL</t>
        </is>
      </c>
      <c r="B196" t="inlineStr">
        <is>
          <t>epic</t>
        </is>
      </c>
      <c r="C196" t="n">
        <v>3</v>
      </c>
      <c r="D196" t="inlineStr">
        <is>
          <t>Defense %</t>
        </is>
      </c>
      <c r="E196" t="n">
        <v>4.5</v>
      </c>
      <c r="F196" t="n">
        <v>8.279999999999999</v>
      </c>
      <c r="G196" t="b">
        <v>0</v>
      </c>
      <c r="H196" t="inlineStr">
        <is>
          <t>0</t>
        </is>
      </c>
    </row>
    <row r="197">
      <c r="A197" t="inlineStr">
        <is>
          <t>ALL</t>
        </is>
      </c>
      <c r="B197" t="inlineStr">
        <is>
          <t>epic</t>
        </is>
      </c>
      <c r="C197" t="n">
        <v>3</v>
      </c>
      <c r="D197" t="inlineStr">
        <is>
          <t>Defense %</t>
        </is>
      </c>
      <c r="E197" t="n">
        <v>6</v>
      </c>
      <c r="F197" t="n">
        <v>0.72</v>
      </c>
      <c r="G197" t="b">
        <v>1</v>
      </c>
      <c r="H197" t="inlineStr">
        <is>
          <t>0</t>
        </is>
      </c>
    </row>
    <row r="198">
      <c r="A198" t="inlineStr">
        <is>
          <t>ALL</t>
        </is>
      </c>
      <c r="B198" t="inlineStr">
        <is>
          <t>epic</t>
        </is>
      </c>
      <c r="C198" t="n">
        <v>3</v>
      </c>
      <c r="D198" t="inlineStr">
        <is>
          <t>Max HP %</t>
        </is>
      </c>
      <c r="E198" t="n">
        <v>9</v>
      </c>
      <c r="F198" t="n">
        <v>8.279999999999999</v>
      </c>
      <c r="G198" t="b">
        <v>0</v>
      </c>
      <c r="H198" t="inlineStr">
        <is>
          <t>0</t>
        </is>
      </c>
    </row>
    <row r="199">
      <c r="A199" t="inlineStr">
        <is>
          <t>ALL</t>
        </is>
      </c>
      <c r="B199" t="inlineStr">
        <is>
          <t>epic</t>
        </is>
      </c>
      <c r="C199" t="n">
        <v>3</v>
      </c>
      <c r="D199" t="inlineStr">
        <is>
          <t>Max HP %</t>
        </is>
      </c>
      <c r="E199" t="n">
        <v>12</v>
      </c>
      <c r="F199" t="n">
        <v>0.72</v>
      </c>
      <c r="G199" t="b">
        <v>1</v>
      </c>
      <c r="H199" t="inlineStr">
        <is>
          <t>0</t>
        </is>
      </c>
    </row>
    <row r="200">
      <c r="A200" t="inlineStr">
        <is>
          <t>ALL</t>
        </is>
      </c>
      <c r="B200" t="inlineStr">
        <is>
          <t>epic</t>
        </is>
      </c>
      <c r="C200" t="n">
        <v>3</v>
      </c>
      <c r="D200" t="inlineStr">
        <is>
          <t>Max MP %</t>
        </is>
      </c>
      <c r="E200" t="n">
        <v>4.5</v>
      </c>
      <c r="F200" t="n">
        <v>8.279999999999999</v>
      </c>
      <c r="G200" t="b">
        <v>0</v>
      </c>
      <c r="H200" t="inlineStr">
        <is>
          <t>0</t>
        </is>
      </c>
    </row>
    <row r="201">
      <c r="A201" t="inlineStr">
        <is>
          <t>ALL</t>
        </is>
      </c>
      <c r="B201" t="inlineStr">
        <is>
          <t>epic</t>
        </is>
      </c>
      <c r="C201" t="n">
        <v>3</v>
      </c>
      <c r="D201" t="inlineStr">
        <is>
          <t>Max MP %</t>
        </is>
      </c>
      <c r="E201" t="n">
        <v>6</v>
      </c>
      <c r="F201" t="n">
        <v>0.72</v>
      </c>
      <c r="G201" t="b">
        <v>1</v>
      </c>
      <c r="H201" t="inlineStr">
        <is>
          <t>0</t>
        </is>
      </c>
    </row>
    <row r="202">
      <c r="A202" t="inlineStr">
        <is>
          <t>ALL</t>
        </is>
      </c>
      <c r="B202" t="inlineStr">
        <is>
          <t>epic</t>
        </is>
      </c>
      <c r="C202" t="n">
        <v>3</v>
      </c>
      <c r="D202" t="inlineStr">
        <is>
          <t>Str</t>
        </is>
      </c>
      <c r="E202" t="n">
        <v>100</v>
      </c>
      <c r="F202" t="n">
        <v>8.74</v>
      </c>
      <c r="G202" t="b">
        <v>0</v>
      </c>
      <c r="H202" t="inlineStr">
        <is>
          <t>0</t>
        </is>
      </c>
    </row>
    <row r="203">
      <c r="A203" t="inlineStr">
        <is>
          <t>ALL</t>
        </is>
      </c>
      <c r="B203" t="inlineStr">
        <is>
          <t>epic</t>
        </is>
      </c>
      <c r="C203" t="n">
        <v>3</v>
      </c>
      <c r="D203" t="inlineStr">
        <is>
          <t>Str</t>
        </is>
      </c>
      <c r="E203" t="n">
        <v>200</v>
      </c>
      <c r="F203" t="n">
        <v>0.74</v>
      </c>
      <c r="G203" t="b">
        <v>1</v>
      </c>
      <c r="H203" t="inlineStr">
        <is>
          <t>0</t>
        </is>
      </c>
    </row>
    <row r="204">
      <c r="A204" t="inlineStr">
        <is>
          <t>ALL</t>
        </is>
      </c>
      <c r="B204" t="inlineStr">
        <is>
          <t>epic</t>
        </is>
      </c>
      <c r="C204" t="n">
        <v>3</v>
      </c>
      <c r="D204" t="inlineStr">
        <is>
          <t>Dex</t>
        </is>
      </c>
      <c r="E204" t="n">
        <v>100</v>
      </c>
      <c r="F204" t="n">
        <v>8.74</v>
      </c>
      <c r="G204" t="b">
        <v>0</v>
      </c>
      <c r="H204" t="inlineStr">
        <is>
          <t>0</t>
        </is>
      </c>
    </row>
    <row r="205">
      <c r="A205" t="inlineStr">
        <is>
          <t>ALL</t>
        </is>
      </c>
      <c r="B205" t="inlineStr">
        <is>
          <t>epic</t>
        </is>
      </c>
      <c r="C205" t="n">
        <v>3</v>
      </c>
      <c r="D205" t="inlineStr">
        <is>
          <t>Dex</t>
        </is>
      </c>
      <c r="E205" t="n">
        <v>200</v>
      </c>
      <c r="F205" t="n">
        <v>0.74</v>
      </c>
      <c r="G205" t="b">
        <v>1</v>
      </c>
      <c r="H205" t="inlineStr">
        <is>
          <t>0</t>
        </is>
      </c>
    </row>
    <row r="206">
      <c r="A206" t="inlineStr">
        <is>
          <t>ALL</t>
        </is>
      </c>
      <c r="B206" t="inlineStr">
        <is>
          <t>epic</t>
        </is>
      </c>
      <c r="C206" t="n">
        <v>3</v>
      </c>
      <c r="D206" t="inlineStr">
        <is>
          <t>Int</t>
        </is>
      </c>
      <c r="E206" t="n">
        <v>100</v>
      </c>
      <c r="F206" t="n">
        <v>8.74</v>
      </c>
      <c r="G206" t="b">
        <v>0</v>
      </c>
      <c r="H206" t="inlineStr">
        <is>
          <t>0</t>
        </is>
      </c>
    </row>
    <row r="207">
      <c r="A207" t="inlineStr">
        <is>
          <t>ALL</t>
        </is>
      </c>
      <c r="B207" t="inlineStr">
        <is>
          <t>epic</t>
        </is>
      </c>
      <c r="C207" t="n">
        <v>3</v>
      </c>
      <c r="D207" t="inlineStr">
        <is>
          <t>Int</t>
        </is>
      </c>
      <c r="E207" t="n">
        <v>200</v>
      </c>
      <c r="F207" t="n">
        <v>0.74</v>
      </c>
      <c r="G207" t="b">
        <v>1</v>
      </c>
      <c r="H207" t="inlineStr">
        <is>
          <t>0</t>
        </is>
      </c>
    </row>
    <row r="208">
      <c r="A208" t="inlineStr">
        <is>
          <t>ALL</t>
        </is>
      </c>
      <c r="B208" t="inlineStr">
        <is>
          <t>epic</t>
        </is>
      </c>
      <c r="C208" t="n">
        <v>3</v>
      </c>
      <c r="D208" t="inlineStr">
        <is>
          <t>Luk</t>
        </is>
      </c>
      <c r="E208" t="n">
        <v>100</v>
      </c>
      <c r="F208" t="n">
        <v>8.74</v>
      </c>
      <c r="G208" t="b">
        <v>0</v>
      </c>
      <c r="H208">
        <f>Sensitivity!H5</f>
        <v/>
      </c>
    </row>
    <row r="209">
      <c r="A209" t="inlineStr">
        <is>
          <t>ALL</t>
        </is>
      </c>
      <c r="B209" t="inlineStr">
        <is>
          <t>epic</t>
        </is>
      </c>
      <c r="C209" t="n">
        <v>3</v>
      </c>
      <c r="D209" t="inlineStr">
        <is>
          <t>Luk</t>
        </is>
      </c>
      <c r="E209" t="n">
        <v>200</v>
      </c>
      <c r="F209" t="n">
        <v>0.74</v>
      </c>
      <c r="G209" t="b">
        <v>1</v>
      </c>
      <c r="H209">
        <f>Sensitivity!H5</f>
        <v/>
      </c>
    </row>
    <row r="210">
      <c r="A210" t="inlineStr">
        <is>
          <t>ALL</t>
        </is>
      </c>
      <c r="B210" t="inlineStr">
        <is>
          <t>unique</t>
        </is>
      </c>
      <c r="C210" t="n">
        <v>1</v>
      </c>
      <c r="D210" t="inlineStr">
        <is>
          <t>Critical Rate %</t>
        </is>
      </c>
      <c r="E210" t="n">
        <v>9</v>
      </c>
      <c r="F210" t="n">
        <v>2.5</v>
      </c>
      <c r="G210" t="b">
        <v>1</v>
      </c>
      <c r="H210">
        <f>IF(Inputs!$B$8&gt;=100,Sensitivity!H16,Sensitivity!H15)</f>
        <v/>
      </c>
    </row>
    <row r="211">
      <c r="A211" t="inlineStr">
        <is>
          <t>ALL</t>
        </is>
      </c>
      <c r="B211" t="inlineStr">
        <is>
          <t>unique</t>
        </is>
      </c>
      <c r="C211" t="n">
        <v>1</v>
      </c>
      <c r="D211" t="inlineStr">
        <is>
          <t>Attack Speed %</t>
        </is>
      </c>
      <c r="E211" t="n">
        <v>5</v>
      </c>
      <c r="F211" t="n">
        <v>2.5</v>
      </c>
      <c r="G211" t="b">
        <v>1</v>
      </c>
      <c r="H211">
        <f>Sensitivity!H17</f>
        <v/>
      </c>
    </row>
    <row r="212">
      <c r="A212" t="inlineStr">
        <is>
          <t>ALL</t>
        </is>
      </c>
      <c r="B212" t="inlineStr">
        <is>
          <t>unique</t>
        </is>
      </c>
      <c r="C212" t="n">
        <v>1</v>
      </c>
      <c r="D212" t="inlineStr">
        <is>
          <t>Damage %</t>
        </is>
      </c>
      <c r="E212" t="n">
        <v>18</v>
      </c>
      <c r="F212" t="n">
        <v>4</v>
      </c>
      <c r="G212" t="b">
        <v>1</v>
      </c>
      <c r="H212">
        <f>Sensitivity!H8</f>
        <v/>
      </c>
    </row>
    <row r="213">
      <c r="A213" t="inlineStr">
        <is>
          <t>ALL</t>
        </is>
      </c>
      <c r="B213" t="inlineStr">
        <is>
          <t>unique</t>
        </is>
      </c>
      <c r="C213" t="n">
        <v>1</v>
      </c>
      <c r="D213" t="inlineStr">
        <is>
          <t>Min Damage Multiplier %</t>
        </is>
      </c>
      <c r="E213" t="n">
        <v>10</v>
      </c>
      <c r="F213" t="n">
        <v>4</v>
      </c>
      <c r="G213" t="b">
        <v>1</v>
      </c>
      <c r="H213">
        <f>Sensitivity!H13</f>
        <v/>
      </c>
    </row>
    <row r="214">
      <c r="A214" t="inlineStr">
        <is>
          <t>ALL</t>
        </is>
      </c>
      <c r="B214" t="inlineStr">
        <is>
          <t>unique</t>
        </is>
      </c>
      <c r="C214" t="n">
        <v>1</v>
      </c>
      <c r="D214" t="inlineStr">
        <is>
          <t>Max Damage Multiplier %</t>
        </is>
      </c>
      <c r="E214" t="n">
        <v>10</v>
      </c>
      <c r="F214" t="n">
        <v>4</v>
      </c>
      <c r="G214" t="b">
        <v>1</v>
      </c>
      <c r="H214">
        <f>Sensitivity!H14</f>
        <v/>
      </c>
    </row>
    <row r="215">
      <c r="A215" t="inlineStr">
        <is>
          <t>ALL</t>
        </is>
      </c>
      <c r="B215" t="inlineStr">
        <is>
          <t>unique</t>
        </is>
      </c>
      <c r="C215" t="n">
        <v>1</v>
      </c>
      <c r="D215" t="inlineStr">
        <is>
          <t>Str %</t>
        </is>
      </c>
      <c r="E215" t="n">
        <v>9</v>
      </c>
      <c r="F215" t="n">
        <v>4.5</v>
      </c>
      <c r="G215" t="b">
        <v>1</v>
      </c>
      <c r="H215" t="inlineStr">
        <is>
          <t>0</t>
        </is>
      </c>
    </row>
    <row r="216">
      <c r="A216" t="inlineStr">
        <is>
          <t>ALL</t>
        </is>
      </c>
      <c r="B216" t="inlineStr">
        <is>
          <t>unique</t>
        </is>
      </c>
      <c r="C216" t="n">
        <v>1</v>
      </c>
      <c r="D216" t="inlineStr">
        <is>
          <t>Dex %</t>
        </is>
      </c>
      <c r="E216" t="n">
        <v>9</v>
      </c>
      <c r="F216" t="n">
        <v>4.5</v>
      </c>
      <c r="G216" t="b">
        <v>1</v>
      </c>
      <c r="H216" t="inlineStr">
        <is>
          <t>0</t>
        </is>
      </c>
    </row>
    <row r="217">
      <c r="A217" t="inlineStr">
        <is>
          <t>ALL</t>
        </is>
      </c>
      <c r="B217" t="inlineStr">
        <is>
          <t>unique</t>
        </is>
      </c>
      <c r="C217" t="n">
        <v>1</v>
      </c>
      <c r="D217" t="inlineStr">
        <is>
          <t>Int %</t>
        </is>
      </c>
      <c r="E217" t="n">
        <v>9</v>
      </c>
      <c r="F217" t="n">
        <v>4.5</v>
      </c>
      <c r="G217" t="b">
        <v>1</v>
      </c>
      <c r="H217" t="inlineStr">
        <is>
          <t>0</t>
        </is>
      </c>
    </row>
    <row r="218">
      <c r="A218" t="inlineStr">
        <is>
          <t>ALL</t>
        </is>
      </c>
      <c r="B218" t="inlineStr">
        <is>
          <t>unique</t>
        </is>
      </c>
      <c r="C218" t="n">
        <v>1</v>
      </c>
      <c r="D218" t="inlineStr">
        <is>
          <t>Luk %</t>
        </is>
      </c>
      <c r="E218" t="n">
        <v>9</v>
      </c>
      <c r="F218" t="n">
        <v>4.5</v>
      </c>
      <c r="G218" t="b">
        <v>1</v>
      </c>
      <c r="H218">
        <f>Sensitivity!H6</f>
        <v/>
      </c>
    </row>
    <row r="219">
      <c r="A219" t="inlineStr">
        <is>
          <t>ALL</t>
        </is>
      </c>
      <c r="B219" t="inlineStr">
        <is>
          <t>unique</t>
        </is>
      </c>
      <c r="C219" t="n">
        <v>1</v>
      </c>
      <c r="D219" t="inlineStr">
        <is>
          <t>Defense %</t>
        </is>
      </c>
      <c r="E219" t="n">
        <v>9</v>
      </c>
      <c r="F219" t="n">
        <v>9</v>
      </c>
      <c r="G219" t="b">
        <v>1</v>
      </c>
      <c r="H219" t="inlineStr">
        <is>
          <t>0</t>
        </is>
      </c>
    </row>
    <row r="220">
      <c r="A220" t="inlineStr">
        <is>
          <t>ALL</t>
        </is>
      </c>
      <c r="B220" t="inlineStr">
        <is>
          <t>unique</t>
        </is>
      </c>
      <c r="C220" t="n">
        <v>1</v>
      </c>
      <c r="D220" t="inlineStr">
        <is>
          <t>Max HP %</t>
        </is>
      </c>
      <c r="E220" t="n">
        <v>15</v>
      </c>
      <c r="F220" t="n">
        <v>9</v>
      </c>
      <c r="G220" t="b">
        <v>1</v>
      </c>
      <c r="H220" t="inlineStr">
        <is>
          <t>0</t>
        </is>
      </c>
    </row>
    <row r="221">
      <c r="A221" t="inlineStr">
        <is>
          <t>ALL</t>
        </is>
      </c>
      <c r="B221" t="inlineStr">
        <is>
          <t>unique</t>
        </is>
      </c>
      <c r="C221" t="n">
        <v>1</v>
      </c>
      <c r="D221" t="inlineStr">
        <is>
          <t>Max MP %</t>
        </is>
      </c>
      <c r="E221" t="n">
        <v>9</v>
      </c>
      <c r="F221" t="n">
        <v>9</v>
      </c>
      <c r="G221" t="b">
        <v>1</v>
      </c>
      <c r="H221" t="inlineStr">
        <is>
          <t>0</t>
        </is>
      </c>
    </row>
    <row r="222">
      <c r="A222" t="inlineStr">
        <is>
          <t>ALL</t>
        </is>
      </c>
      <c r="B222" t="inlineStr">
        <is>
          <t>unique</t>
        </is>
      </c>
      <c r="C222" t="n">
        <v>1</v>
      </c>
      <c r="D222" t="inlineStr">
        <is>
          <t>Str</t>
        </is>
      </c>
      <c r="E222" t="n">
        <v>400</v>
      </c>
      <c r="F222" t="n">
        <v>9.25</v>
      </c>
      <c r="G222" t="b">
        <v>1</v>
      </c>
      <c r="H222" t="inlineStr">
        <is>
          <t>0</t>
        </is>
      </c>
    </row>
    <row r="223">
      <c r="A223" t="inlineStr">
        <is>
          <t>ALL</t>
        </is>
      </c>
      <c r="B223" t="inlineStr">
        <is>
          <t>unique</t>
        </is>
      </c>
      <c r="C223" t="n">
        <v>1</v>
      </c>
      <c r="D223" t="inlineStr">
        <is>
          <t>Dex</t>
        </is>
      </c>
      <c r="E223" t="n">
        <v>400</v>
      </c>
      <c r="F223" t="n">
        <v>9.25</v>
      </c>
      <c r="G223" t="b">
        <v>1</v>
      </c>
      <c r="H223" t="inlineStr">
        <is>
          <t>0</t>
        </is>
      </c>
    </row>
    <row r="224">
      <c r="A224" t="inlineStr">
        <is>
          <t>ALL</t>
        </is>
      </c>
      <c r="B224" t="inlineStr">
        <is>
          <t>unique</t>
        </is>
      </c>
      <c r="C224" t="n">
        <v>1</v>
      </c>
      <c r="D224" t="inlineStr">
        <is>
          <t>Int</t>
        </is>
      </c>
      <c r="E224" t="n">
        <v>400</v>
      </c>
      <c r="F224" t="n">
        <v>9.25</v>
      </c>
      <c r="G224" t="b">
        <v>1</v>
      </c>
      <c r="H224" t="inlineStr">
        <is>
          <t>0</t>
        </is>
      </c>
    </row>
    <row r="225">
      <c r="A225" t="inlineStr">
        <is>
          <t>ALL</t>
        </is>
      </c>
      <c r="B225" t="inlineStr">
        <is>
          <t>unique</t>
        </is>
      </c>
      <c r="C225" t="n">
        <v>1</v>
      </c>
      <c r="D225" t="inlineStr">
        <is>
          <t>Luk</t>
        </is>
      </c>
      <c r="E225" t="n">
        <v>400</v>
      </c>
      <c r="F225" t="n">
        <v>9.25</v>
      </c>
      <c r="G225" t="b">
        <v>1</v>
      </c>
      <c r="H225">
        <f>Sensitivity!H5</f>
        <v/>
      </c>
    </row>
    <row r="226">
      <c r="A226" t="inlineStr">
        <is>
          <t>ALL</t>
        </is>
      </c>
      <c r="B226" t="inlineStr">
        <is>
          <t>unique</t>
        </is>
      </c>
      <c r="C226" t="n">
        <v>2</v>
      </c>
      <c r="D226" t="inlineStr">
        <is>
          <t>Critical Rate %</t>
        </is>
      </c>
      <c r="E226" t="n">
        <v>6</v>
      </c>
      <c r="F226" t="n">
        <v>1.9</v>
      </c>
      <c r="G226" t="b">
        <v>0</v>
      </c>
      <c r="H226">
        <f>IF(Inputs!$B$8&gt;=100,Sensitivity!H16,Sensitivity!H15)</f>
        <v/>
      </c>
    </row>
    <row r="227">
      <c r="A227" t="inlineStr">
        <is>
          <t>ALL</t>
        </is>
      </c>
      <c r="B227" t="inlineStr">
        <is>
          <t>unique</t>
        </is>
      </c>
      <c r="C227" t="n">
        <v>2</v>
      </c>
      <c r="D227" t="inlineStr">
        <is>
          <t>Critical Rate %</t>
        </is>
      </c>
      <c r="E227" t="n">
        <v>9</v>
      </c>
      <c r="F227" t="n">
        <v>0.6</v>
      </c>
      <c r="G227" t="b">
        <v>1</v>
      </c>
      <c r="H227">
        <f>IF(Inputs!$B$8&gt;=100,Sensitivity!H16,Sensitivity!H15)</f>
        <v/>
      </c>
    </row>
    <row r="228">
      <c r="A228" t="inlineStr">
        <is>
          <t>ALL</t>
        </is>
      </c>
      <c r="B228" t="inlineStr">
        <is>
          <t>unique</t>
        </is>
      </c>
      <c r="C228" t="n">
        <v>2</v>
      </c>
      <c r="D228" t="inlineStr">
        <is>
          <t>Attack Speed %</t>
        </is>
      </c>
      <c r="E228" t="n">
        <v>4</v>
      </c>
      <c r="F228" t="n">
        <v>1.9</v>
      </c>
      <c r="G228" t="b">
        <v>0</v>
      </c>
      <c r="H228">
        <f>Sensitivity!H17</f>
        <v/>
      </c>
    </row>
    <row r="229">
      <c r="A229" t="inlineStr">
        <is>
          <t>ALL</t>
        </is>
      </c>
      <c r="B229" t="inlineStr">
        <is>
          <t>unique</t>
        </is>
      </c>
      <c r="C229" t="n">
        <v>2</v>
      </c>
      <c r="D229" t="inlineStr">
        <is>
          <t>Attack Speed %</t>
        </is>
      </c>
      <c r="E229" t="n">
        <v>5</v>
      </c>
      <c r="F229" t="n">
        <v>0.6</v>
      </c>
      <c r="G229" t="b">
        <v>1</v>
      </c>
      <c r="H229">
        <f>Sensitivity!H17</f>
        <v/>
      </c>
    </row>
    <row r="230">
      <c r="A230" t="inlineStr">
        <is>
          <t>ALL</t>
        </is>
      </c>
      <c r="B230" t="inlineStr">
        <is>
          <t>unique</t>
        </is>
      </c>
      <c r="C230" t="n">
        <v>2</v>
      </c>
      <c r="D230" t="inlineStr">
        <is>
          <t>Damage %</t>
        </is>
      </c>
      <c r="E230" t="n">
        <v>12</v>
      </c>
      <c r="F230" t="n">
        <v>3.04</v>
      </c>
      <c r="G230" t="b">
        <v>0</v>
      </c>
      <c r="H230">
        <f>Sensitivity!H8</f>
        <v/>
      </c>
    </row>
    <row r="231">
      <c r="A231" t="inlineStr">
        <is>
          <t>ALL</t>
        </is>
      </c>
      <c r="B231" t="inlineStr">
        <is>
          <t>unique</t>
        </is>
      </c>
      <c r="C231" t="n">
        <v>2</v>
      </c>
      <c r="D231" t="inlineStr">
        <is>
          <t>Damage %</t>
        </is>
      </c>
      <c r="E231" t="n">
        <v>18</v>
      </c>
      <c r="F231" t="n">
        <v>0.96</v>
      </c>
      <c r="G231" t="b">
        <v>1</v>
      </c>
      <c r="H231">
        <f>Sensitivity!H8</f>
        <v/>
      </c>
    </row>
    <row r="232">
      <c r="A232" t="inlineStr">
        <is>
          <t>ALL</t>
        </is>
      </c>
      <c r="B232" t="inlineStr">
        <is>
          <t>unique</t>
        </is>
      </c>
      <c r="C232" t="n">
        <v>2</v>
      </c>
      <c r="D232" t="inlineStr">
        <is>
          <t>Min Damage Multiplier %</t>
        </is>
      </c>
      <c r="E232" t="n">
        <v>8</v>
      </c>
      <c r="F232" t="n">
        <v>3.04</v>
      </c>
      <c r="G232" t="b">
        <v>0</v>
      </c>
      <c r="H232">
        <f>Sensitivity!H13</f>
        <v/>
      </c>
    </row>
    <row r="233">
      <c r="A233" t="inlineStr">
        <is>
          <t>ALL</t>
        </is>
      </c>
      <c r="B233" t="inlineStr">
        <is>
          <t>unique</t>
        </is>
      </c>
      <c r="C233" t="n">
        <v>2</v>
      </c>
      <c r="D233" t="inlineStr">
        <is>
          <t>Min Damage Multiplier %</t>
        </is>
      </c>
      <c r="E233" t="n">
        <v>10</v>
      </c>
      <c r="F233" t="n">
        <v>0.96</v>
      </c>
      <c r="G233" t="b">
        <v>1</v>
      </c>
      <c r="H233">
        <f>Sensitivity!H13</f>
        <v/>
      </c>
    </row>
    <row r="234">
      <c r="A234" t="inlineStr">
        <is>
          <t>ALL</t>
        </is>
      </c>
      <c r="B234" t="inlineStr">
        <is>
          <t>unique</t>
        </is>
      </c>
      <c r="C234" t="n">
        <v>2</v>
      </c>
      <c r="D234" t="inlineStr">
        <is>
          <t>Max Damage Multiplier %</t>
        </is>
      </c>
      <c r="E234" t="n">
        <v>8</v>
      </c>
      <c r="F234" t="n">
        <v>3.04</v>
      </c>
      <c r="G234" t="b">
        <v>0</v>
      </c>
      <c r="H234">
        <f>Sensitivity!H14</f>
        <v/>
      </c>
    </row>
    <row r="235">
      <c r="A235" t="inlineStr">
        <is>
          <t>ALL</t>
        </is>
      </c>
      <c r="B235" t="inlineStr">
        <is>
          <t>unique</t>
        </is>
      </c>
      <c r="C235" t="n">
        <v>2</v>
      </c>
      <c r="D235" t="inlineStr">
        <is>
          <t>Max Damage Multiplier %</t>
        </is>
      </c>
      <c r="E235" t="n">
        <v>10</v>
      </c>
      <c r="F235" t="n">
        <v>0.96</v>
      </c>
      <c r="G235" t="b">
        <v>1</v>
      </c>
      <c r="H235">
        <f>Sensitivity!H14</f>
        <v/>
      </c>
    </row>
    <row r="236">
      <c r="A236" t="inlineStr">
        <is>
          <t>ALL</t>
        </is>
      </c>
      <c r="B236" t="inlineStr">
        <is>
          <t>unique</t>
        </is>
      </c>
      <c r="C236" t="n">
        <v>2</v>
      </c>
      <c r="D236" t="inlineStr">
        <is>
          <t>Str %</t>
        </is>
      </c>
      <c r="E236" t="n">
        <v>6</v>
      </c>
      <c r="F236" t="n">
        <v>3.42</v>
      </c>
      <c r="G236" t="b">
        <v>0</v>
      </c>
      <c r="H236" t="inlineStr">
        <is>
          <t>0</t>
        </is>
      </c>
    </row>
    <row r="237">
      <c r="A237" t="inlineStr">
        <is>
          <t>ALL</t>
        </is>
      </c>
      <c r="B237" t="inlineStr">
        <is>
          <t>unique</t>
        </is>
      </c>
      <c r="C237" t="n">
        <v>2</v>
      </c>
      <c r="D237" t="inlineStr">
        <is>
          <t>Str %</t>
        </is>
      </c>
      <c r="E237" t="n">
        <v>9</v>
      </c>
      <c r="F237" t="n">
        <v>1.08</v>
      </c>
      <c r="G237" t="b">
        <v>1</v>
      </c>
      <c r="H237" t="inlineStr">
        <is>
          <t>0</t>
        </is>
      </c>
    </row>
    <row r="238">
      <c r="A238" t="inlineStr">
        <is>
          <t>ALL</t>
        </is>
      </c>
      <c r="B238" t="inlineStr">
        <is>
          <t>unique</t>
        </is>
      </c>
      <c r="C238" t="n">
        <v>2</v>
      </c>
      <c r="D238" t="inlineStr">
        <is>
          <t>Dex %</t>
        </is>
      </c>
      <c r="E238" t="n">
        <v>6</v>
      </c>
      <c r="F238" t="n">
        <v>3.42</v>
      </c>
      <c r="G238" t="b">
        <v>0</v>
      </c>
      <c r="H238" t="inlineStr">
        <is>
          <t>0</t>
        </is>
      </c>
    </row>
    <row r="239">
      <c r="A239" t="inlineStr">
        <is>
          <t>ALL</t>
        </is>
      </c>
      <c r="B239" t="inlineStr">
        <is>
          <t>unique</t>
        </is>
      </c>
      <c r="C239" t="n">
        <v>2</v>
      </c>
      <c r="D239" t="inlineStr">
        <is>
          <t>Dex %</t>
        </is>
      </c>
      <c r="E239" t="n">
        <v>9</v>
      </c>
      <c r="F239" t="n">
        <v>1.08</v>
      </c>
      <c r="G239" t="b">
        <v>1</v>
      </c>
      <c r="H239" t="inlineStr">
        <is>
          <t>0</t>
        </is>
      </c>
    </row>
    <row r="240">
      <c r="A240" t="inlineStr">
        <is>
          <t>ALL</t>
        </is>
      </c>
      <c r="B240" t="inlineStr">
        <is>
          <t>unique</t>
        </is>
      </c>
      <c r="C240" t="n">
        <v>2</v>
      </c>
      <c r="D240" t="inlineStr">
        <is>
          <t>Int %</t>
        </is>
      </c>
      <c r="E240" t="n">
        <v>6</v>
      </c>
      <c r="F240" t="n">
        <v>3.42</v>
      </c>
      <c r="G240" t="b">
        <v>0</v>
      </c>
      <c r="H240" t="inlineStr">
        <is>
          <t>0</t>
        </is>
      </c>
    </row>
    <row r="241">
      <c r="A241" t="inlineStr">
        <is>
          <t>ALL</t>
        </is>
      </c>
      <c r="B241" t="inlineStr">
        <is>
          <t>unique</t>
        </is>
      </c>
      <c r="C241" t="n">
        <v>2</v>
      </c>
      <c r="D241" t="inlineStr">
        <is>
          <t>Int %</t>
        </is>
      </c>
      <c r="E241" t="n">
        <v>9</v>
      </c>
      <c r="F241" t="n">
        <v>1.08</v>
      </c>
      <c r="G241" t="b">
        <v>1</v>
      </c>
      <c r="H241" t="inlineStr">
        <is>
          <t>0</t>
        </is>
      </c>
    </row>
    <row r="242">
      <c r="A242" t="inlineStr">
        <is>
          <t>ALL</t>
        </is>
      </c>
      <c r="B242" t="inlineStr">
        <is>
          <t>unique</t>
        </is>
      </c>
      <c r="C242" t="n">
        <v>2</v>
      </c>
      <c r="D242" t="inlineStr">
        <is>
          <t>Luk %</t>
        </is>
      </c>
      <c r="E242" t="n">
        <v>6</v>
      </c>
      <c r="F242" t="n">
        <v>3.42</v>
      </c>
      <c r="G242" t="b">
        <v>0</v>
      </c>
      <c r="H242">
        <f>Sensitivity!H6</f>
        <v/>
      </c>
    </row>
    <row r="243">
      <c r="A243" t="inlineStr">
        <is>
          <t>ALL</t>
        </is>
      </c>
      <c r="B243" t="inlineStr">
        <is>
          <t>unique</t>
        </is>
      </c>
      <c r="C243" t="n">
        <v>2</v>
      </c>
      <c r="D243" t="inlineStr">
        <is>
          <t>Luk %</t>
        </is>
      </c>
      <c r="E243" t="n">
        <v>9</v>
      </c>
      <c r="F243" t="n">
        <v>1.08</v>
      </c>
      <c r="G243" t="b">
        <v>1</v>
      </c>
      <c r="H243">
        <f>Sensitivity!H6</f>
        <v/>
      </c>
    </row>
    <row r="244">
      <c r="A244" t="inlineStr">
        <is>
          <t>ALL</t>
        </is>
      </c>
      <c r="B244" t="inlineStr">
        <is>
          <t>unique</t>
        </is>
      </c>
      <c r="C244" t="n">
        <v>2</v>
      </c>
      <c r="D244" t="inlineStr">
        <is>
          <t>Defense %</t>
        </is>
      </c>
      <c r="E244" t="n">
        <v>6</v>
      </c>
      <c r="F244" t="n">
        <v>6.84</v>
      </c>
      <c r="G244" t="b">
        <v>0</v>
      </c>
      <c r="H244" t="inlineStr">
        <is>
          <t>0</t>
        </is>
      </c>
    </row>
    <row r="245">
      <c r="A245" t="inlineStr">
        <is>
          <t>ALL</t>
        </is>
      </c>
      <c r="B245" t="inlineStr">
        <is>
          <t>unique</t>
        </is>
      </c>
      <c r="C245" t="n">
        <v>2</v>
      </c>
      <c r="D245" t="inlineStr">
        <is>
          <t>Defense %</t>
        </is>
      </c>
      <c r="E245" t="n">
        <v>9</v>
      </c>
      <c r="F245" t="n">
        <v>2.16</v>
      </c>
      <c r="G245" t="b">
        <v>1</v>
      </c>
      <c r="H245" t="inlineStr">
        <is>
          <t>0</t>
        </is>
      </c>
    </row>
    <row r="246">
      <c r="A246" t="inlineStr">
        <is>
          <t>ALL</t>
        </is>
      </c>
      <c r="B246" t="inlineStr">
        <is>
          <t>unique</t>
        </is>
      </c>
      <c r="C246" t="n">
        <v>2</v>
      </c>
      <c r="D246" t="inlineStr">
        <is>
          <t>Max HP %</t>
        </is>
      </c>
      <c r="E246" t="n">
        <v>12</v>
      </c>
      <c r="F246" t="n">
        <v>6.84</v>
      </c>
      <c r="G246" t="b">
        <v>0</v>
      </c>
      <c r="H246" t="inlineStr">
        <is>
          <t>0</t>
        </is>
      </c>
    </row>
    <row r="247">
      <c r="A247" t="inlineStr">
        <is>
          <t>ALL</t>
        </is>
      </c>
      <c r="B247" t="inlineStr">
        <is>
          <t>unique</t>
        </is>
      </c>
      <c r="C247" t="n">
        <v>2</v>
      </c>
      <c r="D247" t="inlineStr">
        <is>
          <t>Max HP %</t>
        </is>
      </c>
      <c r="E247" t="n">
        <v>15</v>
      </c>
      <c r="F247" t="n">
        <v>2.16</v>
      </c>
      <c r="G247" t="b">
        <v>1</v>
      </c>
      <c r="H247" t="inlineStr">
        <is>
          <t>0</t>
        </is>
      </c>
    </row>
    <row r="248">
      <c r="A248" t="inlineStr">
        <is>
          <t>ALL</t>
        </is>
      </c>
      <c r="B248" t="inlineStr">
        <is>
          <t>unique</t>
        </is>
      </c>
      <c r="C248" t="n">
        <v>2</v>
      </c>
      <c r="D248" t="inlineStr">
        <is>
          <t>Max MP %</t>
        </is>
      </c>
      <c r="E248" t="n">
        <v>6</v>
      </c>
      <c r="F248" t="n">
        <v>6.84</v>
      </c>
      <c r="G248" t="b">
        <v>0</v>
      </c>
      <c r="H248" t="inlineStr">
        <is>
          <t>0</t>
        </is>
      </c>
    </row>
    <row r="249">
      <c r="A249" t="inlineStr">
        <is>
          <t>ALL</t>
        </is>
      </c>
      <c r="B249" t="inlineStr">
        <is>
          <t>unique</t>
        </is>
      </c>
      <c r="C249" t="n">
        <v>2</v>
      </c>
      <c r="D249" t="inlineStr">
        <is>
          <t>Max MP %</t>
        </is>
      </c>
      <c r="E249" t="n">
        <v>9</v>
      </c>
      <c r="F249" t="n">
        <v>2.16</v>
      </c>
      <c r="G249" t="b">
        <v>1</v>
      </c>
      <c r="H249" t="inlineStr">
        <is>
          <t>0</t>
        </is>
      </c>
    </row>
    <row r="250">
      <c r="A250" t="inlineStr">
        <is>
          <t>ALL</t>
        </is>
      </c>
      <c r="B250" t="inlineStr">
        <is>
          <t>unique</t>
        </is>
      </c>
      <c r="C250" t="n">
        <v>2</v>
      </c>
      <c r="D250" t="inlineStr">
        <is>
          <t>Str</t>
        </is>
      </c>
      <c r="E250" t="n">
        <v>200</v>
      </c>
      <c r="F250" t="n">
        <v>7.03</v>
      </c>
      <c r="G250" t="b">
        <v>0</v>
      </c>
      <c r="H250" t="inlineStr">
        <is>
          <t>0</t>
        </is>
      </c>
    </row>
    <row r="251">
      <c r="A251" t="inlineStr">
        <is>
          <t>ALL</t>
        </is>
      </c>
      <c r="B251" t="inlineStr">
        <is>
          <t>unique</t>
        </is>
      </c>
      <c r="C251" t="n">
        <v>2</v>
      </c>
      <c r="D251" t="inlineStr">
        <is>
          <t>Str</t>
        </is>
      </c>
      <c r="E251" t="n">
        <v>400</v>
      </c>
      <c r="F251" t="n">
        <v>2.22</v>
      </c>
      <c r="G251" t="b">
        <v>1</v>
      </c>
      <c r="H251" t="inlineStr">
        <is>
          <t>0</t>
        </is>
      </c>
    </row>
    <row r="252">
      <c r="A252" t="inlineStr">
        <is>
          <t>ALL</t>
        </is>
      </c>
      <c r="B252" t="inlineStr">
        <is>
          <t>unique</t>
        </is>
      </c>
      <c r="C252" t="n">
        <v>2</v>
      </c>
      <c r="D252" t="inlineStr">
        <is>
          <t>Dex</t>
        </is>
      </c>
      <c r="E252" t="n">
        <v>200</v>
      </c>
      <c r="F252" t="n">
        <v>7.03</v>
      </c>
      <c r="G252" t="b">
        <v>0</v>
      </c>
      <c r="H252" t="inlineStr">
        <is>
          <t>0</t>
        </is>
      </c>
    </row>
    <row r="253">
      <c r="A253" t="inlineStr">
        <is>
          <t>ALL</t>
        </is>
      </c>
      <c r="B253" t="inlineStr">
        <is>
          <t>unique</t>
        </is>
      </c>
      <c r="C253" t="n">
        <v>2</v>
      </c>
      <c r="D253" t="inlineStr">
        <is>
          <t>Dex</t>
        </is>
      </c>
      <c r="E253" t="n">
        <v>400</v>
      </c>
      <c r="F253" t="n">
        <v>2.22</v>
      </c>
      <c r="G253" t="b">
        <v>1</v>
      </c>
      <c r="H253" t="inlineStr">
        <is>
          <t>0</t>
        </is>
      </c>
    </row>
    <row r="254">
      <c r="A254" t="inlineStr">
        <is>
          <t>ALL</t>
        </is>
      </c>
      <c r="B254" t="inlineStr">
        <is>
          <t>unique</t>
        </is>
      </c>
      <c r="C254" t="n">
        <v>2</v>
      </c>
      <c r="D254" t="inlineStr">
        <is>
          <t>Int</t>
        </is>
      </c>
      <c r="E254" t="n">
        <v>200</v>
      </c>
      <c r="F254" t="n">
        <v>7.03</v>
      </c>
      <c r="G254" t="b">
        <v>0</v>
      </c>
      <c r="H254" t="inlineStr">
        <is>
          <t>0</t>
        </is>
      </c>
    </row>
    <row r="255">
      <c r="A255" t="inlineStr">
        <is>
          <t>ALL</t>
        </is>
      </c>
      <c r="B255" t="inlineStr">
        <is>
          <t>unique</t>
        </is>
      </c>
      <c r="C255" t="n">
        <v>2</v>
      </c>
      <c r="D255" t="inlineStr">
        <is>
          <t>Int</t>
        </is>
      </c>
      <c r="E255" t="n">
        <v>400</v>
      </c>
      <c r="F255" t="n">
        <v>2.22</v>
      </c>
      <c r="G255" t="b">
        <v>1</v>
      </c>
      <c r="H255" t="inlineStr">
        <is>
          <t>0</t>
        </is>
      </c>
    </row>
    <row r="256">
      <c r="A256" t="inlineStr">
        <is>
          <t>ALL</t>
        </is>
      </c>
      <c r="B256" t="inlineStr">
        <is>
          <t>unique</t>
        </is>
      </c>
      <c r="C256" t="n">
        <v>2</v>
      </c>
      <c r="D256" t="inlineStr">
        <is>
          <t>Luk</t>
        </is>
      </c>
      <c r="E256" t="n">
        <v>200</v>
      </c>
      <c r="F256" t="n">
        <v>7.03</v>
      </c>
      <c r="G256" t="b">
        <v>0</v>
      </c>
      <c r="H256">
        <f>Sensitivity!H5</f>
        <v/>
      </c>
    </row>
    <row r="257">
      <c r="A257" t="inlineStr">
        <is>
          <t>ALL</t>
        </is>
      </c>
      <c r="B257" t="inlineStr">
        <is>
          <t>unique</t>
        </is>
      </c>
      <c r="C257" t="n">
        <v>2</v>
      </c>
      <c r="D257" t="inlineStr">
        <is>
          <t>Luk</t>
        </is>
      </c>
      <c r="E257" t="n">
        <v>400</v>
      </c>
      <c r="F257" t="n">
        <v>2.22</v>
      </c>
      <c r="G257" t="b">
        <v>1</v>
      </c>
      <c r="H257">
        <f>Sensitivity!H5</f>
        <v/>
      </c>
    </row>
    <row r="258">
      <c r="A258" t="inlineStr">
        <is>
          <t>ALL</t>
        </is>
      </c>
      <c r="B258" t="inlineStr">
        <is>
          <t>unique</t>
        </is>
      </c>
      <c r="C258" t="n">
        <v>3</v>
      </c>
      <c r="D258" t="inlineStr">
        <is>
          <t>Critical Rate %</t>
        </is>
      </c>
      <c r="E258" t="n">
        <v>6</v>
      </c>
      <c r="F258" t="n">
        <v>2.3</v>
      </c>
      <c r="G258" t="b">
        <v>0</v>
      </c>
      <c r="H258">
        <f>IF(Inputs!$B$8&gt;=100,Sensitivity!H16,Sensitivity!H15)</f>
        <v/>
      </c>
    </row>
    <row r="259">
      <c r="A259" t="inlineStr">
        <is>
          <t>ALL</t>
        </is>
      </c>
      <c r="B259" t="inlineStr">
        <is>
          <t>unique</t>
        </is>
      </c>
      <c r="C259" t="n">
        <v>3</v>
      </c>
      <c r="D259" t="inlineStr">
        <is>
          <t>Critical Rate %</t>
        </is>
      </c>
      <c r="E259" t="n">
        <v>9</v>
      </c>
      <c r="F259" t="n">
        <v>0.2</v>
      </c>
      <c r="G259" t="b">
        <v>1</v>
      </c>
      <c r="H259">
        <f>IF(Inputs!$B$8&gt;=100,Sensitivity!H16,Sensitivity!H15)</f>
        <v/>
      </c>
    </row>
    <row r="260">
      <c r="A260" t="inlineStr">
        <is>
          <t>ALL</t>
        </is>
      </c>
      <c r="B260" t="inlineStr">
        <is>
          <t>unique</t>
        </is>
      </c>
      <c r="C260" t="n">
        <v>3</v>
      </c>
      <c r="D260" t="inlineStr">
        <is>
          <t>Attack Speed %</t>
        </is>
      </c>
      <c r="E260" t="n">
        <v>4</v>
      </c>
      <c r="F260" t="n">
        <v>2.3</v>
      </c>
      <c r="G260" t="b">
        <v>0</v>
      </c>
      <c r="H260">
        <f>Sensitivity!H17</f>
        <v/>
      </c>
    </row>
    <row r="261">
      <c r="A261" t="inlineStr">
        <is>
          <t>ALL</t>
        </is>
      </c>
      <c r="B261" t="inlineStr">
        <is>
          <t>unique</t>
        </is>
      </c>
      <c r="C261" t="n">
        <v>3</v>
      </c>
      <c r="D261" t="inlineStr">
        <is>
          <t>Attack Speed %</t>
        </is>
      </c>
      <c r="E261" t="n">
        <v>5</v>
      </c>
      <c r="F261" t="n">
        <v>0.2</v>
      </c>
      <c r="G261" t="b">
        <v>1</v>
      </c>
      <c r="H261">
        <f>Sensitivity!H17</f>
        <v/>
      </c>
    </row>
    <row r="262">
      <c r="A262" t="inlineStr">
        <is>
          <t>ALL</t>
        </is>
      </c>
      <c r="B262" t="inlineStr">
        <is>
          <t>unique</t>
        </is>
      </c>
      <c r="C262" t="n">
        <v>3</v>
      </c>
      <c r="D262" t="inlineStr">
        <is>
          <t>Damage %</t>
        </is>
      </c>
      <c r="E262" t="n">
        <v>12</v>
      </c>
      <c r="F262" t="n">
        <v>3.68</v>
      </c>
      <c r="G262" t="b">
        <v>0</v>
      </c>
      <c r="H262">
        <f>Sensitivity!H8</f>
        <v/>
      </c>
    </row>
    <row r="263">
      <c r="A263" t="inlineStr">
        <is>
          <t>ALL</t>
        </is>
      </c>
      <c r="B263" t="inlineStr">
        <is>
          <t>unique</t>
        </is>
      </c>
      <c r="C263" t="n">
        <v>3</v>
      </c>
      <c r="D263" t="inlineStr">
        <is>
          <t>Damage %</t>
        </is>
      </c>
      <c r="E263" t="n">
        <v>18</v>
      </c>
      <c r="F263" t="n">
        <v>0.32</v>
      </c>
      <c r="G263" t="b">
        <v>1</v>
      </c>
      <c r="H263">
        <f>Sensitivity!H8</f>
        <v/>
      </c>
    </row>
    <row r="264">
      <c r="A264" t="inlineStr">
        <is>
          <t>ALL</t>
        </is>
      </c>
      <c r="B264" t="inlineStr">
        <is>
          <t>unique</t>
        </is>
      </c>
      <c r="C264" t="n">
        <v>3</v>
      </c>
      <c r="D264" t="inlineStr">
        <is>
          <t>Min Damage Multiplier %</t>
        </is>
      </c>
      <c r="E264" t="n">
        <v>8</v>
      </c>
      <c r="F264" t="n">
        <v>3.68</v>
      </c>
      <c r="G264" t="b">
        <v>0</v>
      </c>
      <c r="H264">
        <f>Sensitivity!H13</f>
        <v/>
      </c>
    </row>
    <row r="265">
      <c r="A265" t="inlineStr">
        <is>
          <t>ALL</t>
        </is>
      </c>
      <c r="B265" t="inlineStr">
        <is>
          <t>unique</t>
        </is>
      </c>
      <c r="C265" t="n">
        <v>3</v>
      </c>
      <c r="D265" t="inlineStr">
        <is>
          <t>Min Damage Multiplier %</t>
        </is>
      </c>
      <c r="E265" t="n">
        <v>10</v>
      </c>
      <c r="F265" t="n">
        <v>0.32</v>
      </c>
      <c r="G265" t="b">
        <v>1</v>
      </c>
      <c r="H265">
        <f>Sensitivity!H13</f>
        <v/>
      </c>
    </row>
    <row r="266">
      <c r="A266" t="inlineStr">
        <is>
          <t>ALL</t>
        </is>
      </c>
      <c r="B266" t="inlineStr">
        <is>
          <t>unique</t>
        </is>
      </c>
      <c r="C266" t="n">
        <v>3</v>
      </c>
      <c r="D266" t="inlineStr">
        <is>
          <t>Max Damage Multiplier %</t>
        </is>
      </c>
      <c r="E266" t="n">
        <v>8</v>
      </c>
      <c r="F266" t="n">
        <v>3.68</v>
      </c>
      <c r="G266" t="b">
        <v>0</v>
      </c>
      <c r="H266">
        <f>Sensitivity!H14</f>
        <v/>
      </c>
    </row>
    <row r="267">
      <c r="A267" t="inlineStr">
        <is>
          <t>ALL</t>
        </is>
      </c>
      <c r="B267" t="inlineStr">
        <is>
          <t>unique</t>
        </is>
      </c>
      <c r="C267" t="n">
        <v>3</v>
      </c>
      <c r="D267" t="inlineStr">
        <is>
          <t>Max Damage Multiplier %</t>
        </is>
      </c>
      <c r="E267" t="n">
        <v>10</v>
      </c>
      <c r="F267" t="n">
        <v>0.32</v>
      </c>
      <c r="G267" t="b">
        <v>1</v>
      </c>
      <c r="H267">
        <f>Sensitivity!H14</f>
        <v/>
      </c>
    </row>
    <row r="268">
      <c r="A268" t="inlineStr">
        <is>
          <t>ALL</t>
        </is>
      </c>
      <c r="B268" t="inlineStr">
        <is>
          <t>unique</t>
        </is>
      </c>
      <c r="C268" t="n">
        <v>3</v>
      </c>
      <c r="D268" t="inlineStr">
        <is>
          <t>Str %</t>
        </is>
      </c>
      <c r="E268" t="n">
        <v>6</v>
      </c>
      <c r="F268" t="n">
        <v>4.14</v>
      </c>
      <c r="G268" t="b">
        <v>0</v>
      </c>
      <c r="H268" t="inlineStr">
        <is>
          <t>0</t>
        </is>
      </c>
    </row>
    <row r="269">
      <c r="A269" t="inlineStr">
        <is>
          <t>ALL</t>
        </is>
      </c>
      <c r="B269" t="inlineStr">
        <is>
          <t>unique</t>
        </is>
      </c>
      <c r="C269" t="n">
        <v>3</v>
      </c>
      <c r="D269" t="inlineStr">
        <is>
          <t>Str %</t>
        </is>
      </c>
      <c r="E269" t="n">
        <v>9</v>
      </c>
      <c r="F269" t="n">
        <v>0.36</v>
      </c>
      <c r="G269" t="b">
        <v>1</v>
      </c>
      <c r="H269" t="inlineStr">
        <is>
          <t>0</t>
        </is>
      </c>
    </row>
    <row r="270">
      <c r="A270" t="inlineStr">
        <is>
          <t>ALL</t>
        </is>
      </c>
      <c r="B270" t="inlineStr">
        <is>
          <t>unique</t>
        </is>
      </c>
      <c r="C270" t="n">
        <v>3</v>
      </c>
      <c r="D270" t="inlineStr">
        <is>
          <t>Dex %</t>
        </is>
      </c>
      <c r="E270" t="n">
        <v>6</v>
      </c>
      <c r="F270" t="n">
        <v>4.14</v>
      </c>
      <c r="G270" t="b">
        <v>0</v>
      </c>
      <c r="H270" t="inlineStr">
        <is>
          <t>0</t>
        </is>
      </c>
    </row>
    <row r="271">
      <c r="A271" t="inlineStr">
        <is>
          <t>ALL</t>
        </is>
      </c>
      <c r="B271" t="inlineStr">
        <is>
          <t>unique</t>
        </is>
      </c>
      <c r="C271" t="n">
        <v>3</v>
      </c>
      <c r="D271" t="inlineStr">
        <is>
          <t>Dex %</t>
        </is>
      </c>
      <c r="E271" t="n">
        <v>9</v>
      </c>
      <c r="F271" t="n">
        <v>0.36</v>
      </c>
      <c r="G271" t="b">
        <v>1</v>
      </c>
      <c r="H271" t="inlineStr">
        <is>
          <t>0</t>
        </is>
      </c>
    </row>
    <row r="272">
      <c r="A272" t="inlineStr">
        <is>
          <t>ALL</t>
        </is>
      </c>
      <c r="B272" t="inlineStr">
        <is>
          <t>unique</t>
        </is>
      </c>
      <c r="C272" t="n">
        <v>3</v>
      </c>
      <c r="D272" t="inlineStr">
        <is>
          <t>Int %</t>
        </is>
      </c>
      <c r="E272" t="n">
        <v>6</v>
      </c>
      <c r="F272" t="n">
        <v>4.14</v>
      </c>
      <c r="G272" t="b">
        <v>0</v>
      </c>
      <c r="H272" t="inlineStr">
        <is>
          <t>0</t>
        </is>
      </c>
    </row>
    <row r="273">
      <c r="A273" t="inlineStr">
        <is>
          <t>ALL</t>
        </is>
      </c>
      <c r="B273" t="inlineStr">
        <is>
          <t>unique</t>
        </is>
      </c>
      <c r="C273" t="n">
        <v>3</v>
      </c>
      <c r="D273" t="inlineStr">
        <is>
          <t>Int %</t>
        </is>
      </c>
      <c r="E273" t="n">
        <v>9</v>
      </c>
      <c r="F273" t="n">
        <v>0.36</v>
      </c>
      <c r="G273" t="b">
        <v>1</v>
      </c>
      <c r="H273" t="inlineStr">
        <is>
          <t>0</t>
        </is>
      </c>
    </row>
    <row r="274">
      <c r="A274" t="inlineStr">
        <is>
          <t>ALL</t>
        </is>
      </c>
      <c r="B274" t="inlineStr">
        <is>
          <t>unique</t>
        </is>
      </c>
      <c r="C274" t="n">
        <v>3</v>
      </c>
      <c r="D274" t="inlineStr">
        <is>
          <t>Luk %</t>
        </is>
      </c>
      <c r="E274" t="n">
        <v>6</v>
      </c>
      <c r="F274" t="n">
        <v>4.14</v>
      </c>
      <c r="G274" t="b">
        <v>0</v>
      </c>
      <c r="H274">
        <f>Sensitivity!H6</f>
        <v/>
      </c>
    </row>
    <row r="275">
      <c r="A275" t="inlineStr">
        <is>
          <t>ALL</t>
        </is>
      </c>
      <c r="B275" t="inlineStr">
        <is>
          <t>unique</t>
        </is>
      </c>
      <c r="C275" t="n">
        <v>3</v>
      </c>
      <c r="D275" t="inlineStr">
        <is>
          <t>Luk %</t>
        </is>
      </c>
      <c r="E275" t="n">
        <v>9</v>
      </c>
      <c r="F275" t="n">
        <v>0.36</v>
      </c>
      <c r="G275" t="b">
        <v>1</v>
      </c>
      <c r="H275">
        <f>Sensitivity!H6</f>
        <v/>
      </c>
    </row>
    <row r="276">
      <c r="A276" t="inlineStr">
        <is>
          <t>ALL</t>
        </is>
      </c>
      <c r="B276" t="inlineStr">
        <is>
          <t>unique</t>
        </is>
      </c>
      <c r="C276" t="n">
        <v>3</v>
      </c>
      <c r="D276" t="inlineStr">
        <is>
          <t>Defense %</t>
        </is>
      </c>
      <c r="E276" t="n">
        <v>6</v>
      </c>
      <c r="F276" t="n">
        <v>8.279999999999999</v>
      </c>
      <c r="G276" t="b">
        <v>0</v>
      </c>
      <c r="H276" t="inlineStr">
        <is>
          <t>0</t>
        </is>
      </c>
    </row>
    <row r="277">
      <c r="A277" t="inlineStr">
        <is>
          <t>ALL</t>
        </is>
      </c>
      <c r="B277" t="inlineStr">
        <is>
          <t>unique</t>
        </is>
      </c>
      <c r="C277" t="n">
        <v>3</v>
      </c>
      <c r="D277" t="inlineStr">
        <is>
          <t>Defense %</t>
        </is>
      </c>
      <c r="E277" t="n">
        <v>9</v>
      </c>
      <c r="F277" t="n">
        <v>0.72</v>
      </c>
      <c r="G277" t="b">
        <v>1</v>
      </c>
      <c r="H277" t="inlineStr">
        <is>
          <t>0</t>
        </is>
      </c>
    </row>
    <row r="278">
      <c r="A278" t="inlineStr">
        <is>
          <t>ALL</t>
        </is>
      </c>
      <c r="B278" t="inlineStr">
        <is>
          <t>unique</t>
        </is>
      </c>
      <c r="C278" t="n">
        <v>3</v>
      </c>
      <c r="D278" t="inlineStr">
        <is>
          <t>Max HP %</t>
        </is>
      </c>
      <c r="E278" t="n">
        <v>12</v>
      </c>
      <c r="F278" t="n">
        <v>8.279999999999999</v>
      </c>
      <c r="G278" t="b">
        <v>0</v>
      </c>
      <c r="H278" t="inlineStr">
        <is>
          <t>0</t>
        </is>
      </c>
    </row>
    <row r="279">
      <c r="A279" t="inlineStr">
        <is>
          <t>ALL</t>
        </is>
      </c>
      <c r="B279" t="inlineStr">
        <is>
          <t>unique</t>
        </is>
      </c>
      <c r="C279" t="n">
        <v>3</v>
      </c>
      <c r="D279" t="inlineStr">
        <is>
          <t>Max HP %</t>
        </is>
      </c>
      <c r="E279" t="n">
        <v>15</v>
      </c>
      <c r="F279" t="n">
        <v>0.72</v>
      </c>
      <c r="G279" t="b">
        <v>1</v>
      </c>
      <c r="H279" t="inlineStr">
        <is>
          <t>0</t>
        </is>
      </c>
    </row>
    <row r="280">
      <c r="A280" t="inlineStr">
        <is>
          <t>ALL</t>
        </is>
      </c>
      <c r="B280" t="inlineStr">
        <is>
          <t>unique</t>
        </is>
      </c>
      <c r="C280" t="n">
        <v>3</v>
      </c>
      <c r="D280" t="inlineStr">
        <is>
          <t>Max MP %</t>
        </is>
      </c>
      <c r="E280" t="n">
        <v>6</v>
      </c>
      <c r="F280" t="n">
        <v>8.279999999999999</v>
      </c>
      <c r="G280" t="b">
        <v>0</v>
      </c>
      <c r="H280" t="inlineStr">
        <is>
          <t>0</t>
        </is>
      </c>
    </row>
    <row r="281">
      <c r="A281" t="inlineStr">
        <is>
          <t>ALL</t>
        </is>
      </c>
      <c r="B281" t="inlineStr">
        <is>
          <t>unique</t>
        </is>
      </c>
      <c r="C281" t="n">
        <v>3</v>
      </c>
      <c r="D281" t="inlineStr">
        <is>
          <t>Max MP %</t>
        </is>
      </c>
      <c r="E281" t="n">
        <v>9</v>
      </c>
      <c r="F281" t="n">
        <v>0.72</v>
      </c>
      <c r="G281" t="b">
        <v>1</v>
      </c>
      <c r="H281" t="inlineStr">
        <is>
          <t>0</t>
        </is>
      </c>
    </row>
    <row r="282">
      <c r="A282" t="inlineStr">
        <is>
          <t>ALL</t>
        </is>
      </c>
      <c r="B282" t="inlineStr">
        <is>
          <t>unique</t>
        </is>
      </c>
      <c r="C282" t="n">
        <v>3</v>
      </c>
      <c r="D282" t="inlineStr">
        <is>
          <t>Str</t>
        </is>
      </c>
      <c r="E282" t="n">
        <v>200</v>
      </c>
      <c r="F282" t="n">
        <v>8.51</v>
      </c>
      <c r="G282" t="b">
        <v>0</v>
      </c>
      <c r="H282" t="inlineStr">
        <is>
          <t>0</t>
        </is>
      </c>
    </row>
    <row r="283">
      <c r="A283" t="inlineStr">
        <is>
          <t>ALL</t>
        </is>
      </c>
      <c r="B283" t="inlineStr">
        <is>
          <t>unique</t>
        </is>
      </c>
      <c r="C283" t="n">
        <v>3</v>
      </c>
      <c r="D283" t="inlineStr">
        <is>
          <t>Str</t>
        </is>
      </c>
      <c r="E283" t="n">
        <v>400</v>
      </c>
      <c r="F283" t="n">
        <v>0.74</v>
      </c>
      <c r="G283" t="b">
        <v>1</v>
      </c>
      <c r="H283" t="inlineStr">
        <is>
          <t>0</t>
        </is>
      </c>
    </row>
    <row r="284">
      <c r="A284" t="inlineStr">
        <is>
          <t>ALL</t>
        </is>
      </c>
      <c r="B284" t="inlineStr">
        <is>
          <t>unique</t>
        </is>
      </c>
      <c r="C284" t="n">
        <v>3</v>
      </c>
      <c r="D284" t="inlineStr">
        <is>
          <t>Dex</t>
        </is>
      </c>
      <c r="E284" t="n">
        <v>200</v>
      </c>
      <c r="F284" t="n">
        <v>8.51</v>
      </c>
      <c r="G284" t="b">
        <v>0</v>
      </c>
      <c r="H284" t="inlineStr">
        <is>
          <t>0</t>
        </is>
      </c>
    </row>
    <row r="285">
      <c r="A285" t="inlineStr">
        <is>
          <t>ALL</t>
        </is>
      </c>
      <c r="B285" t="inlineStr">
        <is>
          <t>unique</t>
        </is>
      </c>
      <c r="C285" t="n">
        <v>3</v>
      </c>
      <c r="D285" t="inlineStr">
        <is>
          <t>Dex</t>
        </is>
      </c>
      <c r="E285" t="n">
        <v>400</v>
      </c>
      <c r="F285" t="n">
        <v>0.74</v>
      </c>
      <c r="G285" t="b">
        <v>1</v>
      </c>
      <c r="H285" t="inlineStr">
        <is>
          <t>0</t>
        </is>
      </c>
    </row>
    <row r="286">
      <c r="A286" t="inlineStr">
        <is>
          <t>ALL</t>
        </is>
      </c>
      <c r="B286" t="inlineStr">
        <is>
          <t>unique</t>
        </is>
      </c>
      <c r="C286" t="n">
        <v>3</v>
      </c>
      <c r="D286" t="inlineStr">
        <is>
          <t>Int</t>
        </is>
      </c>
      <c r="E286" t="n">
        <v>200</v>
      </c>
      <c r="F286" t="n">
        <v>8.51</v>
      </c>
      <c r="G286" t="b">
        <v>0</v>
      </c>
      <c r="H286" t="inlineStr">
        <is>
          <t>0</t>
        </is>
      </c>
    </row>
    <row r="287">
      <c r="A287" t="inlineStr">
        <is>
          <t>ALL</t>
        </is>
      </c>
      <c r="B287" t="inlineStr">
        <is>
          <t>unique</t>
        </is>
      </c>
      <c r="C287" t="n">
        <v>3</v>
      </c>
      <c r="D287" t="inlineStr">
        <is>
          <t>Int</t>
        </is>
      </c>
      <c r="E287" t="n">
        <v>400</v>
      </c>
      <c r="F287" t="n">
        <v>0.74</v>
      </c>
      <c r="G287" t="b">
        <v>1</v>
      </c>
      <c r="H287" t="inlineStr">
        <is>
          <t>0</t>
        </is>
      </c>
    </row>
    <row r="288">
      <c r="A288" t="inlineStr">
        <is>
          <t>ALL</t>
        </is>
      </c>
      <c r="B288" t="inlineStr">
        <is>
          <t>unique</t>
        </is>
      </c>
      <c r="C288" t="n">
        <v>3</v>
      </c>
      <c r="D288" t="inlineStr">
        <is>
          <t>Luk</t>
        </is>
      </c>
      <c r="E288" t="n">
        <v>200</v>
      </c>
      <c r="F288" t="n">
        <v>8.51</v>
      </c>
      <c r="G288" t="b">
        <v>0</v>
      </c>
      <c r="H288">
        <f>Sensitivity!H5</f>
        <v/>
      </c>
    </row>
    <row r="289">
      <c r="A289" t="inlineStr">
        <is>
          <t>ALL</t>
        </is>
      </c>
      <c r="B289" t="inlineStr">
        <is>
          <t>unique</t>
        </is>
      </c>
      <c r="C289" t="n">
        <v>3</v>
      </c>
      <c r="D289" t="inlineStr">
        <is>
          <t>Luk</t>
        </is>
      </c>
      <c r="E289" t="n">
        <v>400</v>
      </c>
      <c r="F289" t="n">
        <v>0.74</v>
      </c>
      <c r="G289" t="b">
        <v>1</v>
      </c>
      <c r="H289">
        <f>Sensitivity!H5</f>
        <v/>
      </c>
    </row>
    <row r="290">
      <c r="A290" t="inlineStr">
        <is>
          <t>ALL</t>
        </is>
      </c>
      <c r="B290" t="inlineStr">
        <is>
          <t>legendary</t>
        </is>
      </c>
      <c r="C290" t="n">
        <v>1</v>
      </c>
      <c r="D290" t="inlineStr">
        <is>
          <t>Critical Rate %</t>
        </is>
      </c>
      <c r="E290" t="n">
        <v>12</v>
      </c>
      <c r="F290" t="n">
        <v>2.5</v>
      </c>
      <c r="G290" t="b">
        <v>0</v>
      </c>
      <c r="H290">
        <f>IF(Inputs!$B$8&gt;=100,Sensitivity!H16,Sensitivity!H15)</f>
        <v/>
      </c>
    </row>
    <row r="291">
      <c r="A291" t="inlineStr">
        <is>
          <t>ALL</t>
        </is>
      </c>
      <c r="B291" t="inlineStr">
        <is>
          <t>legendary</t>
        </is>
      </c>
      <c r="C291" t="n">
        <v>1</v>
      </c>
      <c r="D291" t="inlineStr">
        <is>
          <t>Attack Speed %</t>
        </is>
      </c>
      <c r="E291" t="n">
        <v>7</v>
      </c>
      <c r="F291" t="n">
        <v>2.5</v>
      </c>
      <c r="G291" t="b">
        <v>0</v>
      </c>
      <c r="H291">
        <f>Sensitivity!H17</f>
        <v/>
      </c>
    </row>
    <row r="292">
      <c r="A292" t="inlineStr">
        <is>
          <t>ALL</t>
        </is>
      </c>
      <c r="B292" t="inlineStr">
        <is>
          <t>legendary</t>
        </is>
      </c>
      <c r="C292" t="n">
        <v>1</v>
      </c>
      <c r="D292" t="inlineStr">
        <is>
          <t>Damage %</t>
        </is>
      </c>
      <c r="E292" t="n">
        <v>25</v>
      </c>
      <c r="F292" t="n">
        <v>4</v>
      </c>
      <c r="G292" t="b">
        <v>0</v>
      </c>
      <c r="H292">
        <f>Sensitivity!H8</f>
        <v/>
      </c>
    </row>
    <row r="293">
      <c r="A293" t="inlineStr">
        <is>
          <t>ALL</t>
        </is>
      </c>
      <c r="B293" t="inlineStr">
        <is>
          <t>legendary</t>
        </is>
      </c>
      <c r="C293" t="n">
        <v>1</v>
      </c>
      <c r="D293" t="inlineStr">
        <is>
          <t>Min Damage Multiplier %</t>
        </is>
      </c>
      <c r="E293" t="n">
        <v>15</v>
      </c>
      <c r="F293" t="n">
        <v>4</v>
      </c>
      <c r="G293" t="b">
        <v>0</v>
      </c>
      <c r="H293">
        <f>Sensitivity!H13</f>
        <v/>
      </c>
    </row>
    <row r="294">
      <c r="A294" t="inlineStr">
        <is>
          <t>ALL</t>
        </is>
      </c>
      <c r="B294" t="inlineStr">
        <is>
          <t>legendary</t>
        </is>
      </c>
      <c r="C294" t="n">
        <v>1</v>
      </c>
      <c r="D294" t="inlineStr">
        <is>
          <t>Max Damage Multiplier %</t>
        </is>
      </c>
      <c r="E294" t="n">
        <v>15</v>
      </c>
      <c r="F294" t="n">
        <v>4</v>
      </c>
      <c r="G294" t="b">
        <v>0</v>
      </c>
      <c r="H294">
        <f>Sensitivity!H14</f>
        <v/>
      </c>
    </row>
    <row r="295">
      <c r="A295" t="inlineStr">
        <is>
          <t>ALL</t>
        </is>
      </c>
      <c r="B295" t="inlineStr">
        <is>
          <t>legendary</t>
        </is>
      </c>
      <c r="C295" t="n">
        <v>1</v>
      </c>
      <c r="D295" t="inlineStr">
        <is>
          <t>Str %</t>
        </is>
      </c>
      <c r="E295" t="n">
        <v>12</v>
      </c>
      <c r="F295" t="n">
        <v>4.5</v>
      </c>
      <c r="G295" t="b">
        <v>0</v>
      </c>
      <c r="H295" t="inlineStr">
        <is>
          <t>0</t>
        </is>
      </c>
    </row>
    <row r="296">
      <c r="A296" t="inlineStr">
        <is>
          <t>ALL</t>
        </is>
      </c>
      <c r="B296" t="inlineStr">
        <is>
          <t>legendary</t>
        </is>
      </c>
      <c r="C296" t="n">
        <v>1</v>
      </c>
      <c r="D296" t="inlineStr">
        <is>
          <t>Dex %</t>
        </is>
      </c>
      <c r="E296" t="n">
        <v>12</v>
      </c>
      <c r="F296" t="n">
        <v>4.5</v>
      </c>
      <c r="G296" t="b">
        <v>0</v>
      </c>
      <c r="H296" t="inlineStr">
        <is>
          <t>0</t>
        </is>
      </c>
    </row>
    <row r="297">
      <c r="A297" t="inlineStr">
        <is>
          <t>ALL</t>
        </is>
      </c>
      <c r="B297" t="inlineStr">
        <is>
          <t>legendary</t>
        </is>
      </c>
      <c r="C297" t="n">
        <v>1</v>
      </c>
      <c r="D297" t="inlineStr">
        <is>
          <t>Int %</t>
        </is>
      </c>
      <c r="E297" t="n">
        <v>12</v>
      </c>
      <c r="F297" t="n">
        <v>4.5</v>
      </c>
      <c r="G297" t="b">
        <v>0</v>
      </c>
      <c r="H297" t="inlineStr">
        <is>
          <t>0</t>
        </is>
      </c>
    </row>
    <row r="298">
      <c r="A298" t="inlineStr">
        <is>
          <t>ALL</t>
        </is>
      </c>
      <c r="B298" t="inlineStr">
        <is>
          <t>legendary</t>
        </is>
      </c>
      <c r="C298" t="n">
        <v>1</v>
      </c>
      <c r="D298" t="inlineStr">
        <is>
          <t>Luk %</t>
        </is>
      </c>
      <c r="E298" t="n">
        <v>12</v>
      </c>
      <c r="F298" t="n">
        <v>4.5</v>
      </c>
      <c r="G298" t="b">
        <v>0</v>
      </c>
      <c r="H298">
        <f>Sensitivity!H6</f>
        <v/>
      </c>
    </row>
    <row r="299">
      <c r="A299" t="inlineStr">
        <is>
          <t>ALL</t>
        </is>
      </c>
      <c r="B299" t="inlineStr">
        <is>
          <t>legendary</t>
        </is>
      </c>
      <c r="C299" t="n">
        <v>1</v>
      </c>
      <c r="D299" t="inlineStr">
        <is>
          <t>Defense %</t>
        </is>
      </c>
      <c r="E299" t="n">
        <v>12</v>
      </c>
      <c r="F299" t="n">
        <v>9</v>
      </c>
      <c r="G299" t="b">
        <v>0</v>
      </c>
      <c r="H299" t="inlineStr">
        <is>
          <t>0</t>
        </is>
      </c>
    </row>
    <row r="300">
      <c r="A300" t="inlineStr">
        <is>
          <t>ALL</t>
        </is>
      </c>
      <c r="B300" t="inlineStr">
        <is>
          <t>legendary</t>
        </is>
      </c>
      <c r="C300" t="n">
        <v>1</v>
      </c>
      <c r="D300" t="inlineStr">
        <is>
          <t>Max HP %</t>
        </is>
      </c>
      <c r="E300" t="n">
        <v>20</v>
      </c>
      <c r="F300" t="n">
        <v>9</v>
      </c>
      <c r="G300" t="b">
        <v>0</v>
      </c>
      <c r="H300" t="inlineStr">
        <is>
          <t>0</t>
        </is>
      </c>
    </row>
    <row r="301">
      <c r="A301" t="inlineStr">
        <is>
          <t>ALL</t>
        </is>
      </c>
      <c r="B301" t="inlineStr">
        <is>
          <t>legendary</t>
        </is>
      </c>
      <c r="C301" t="n">
        <v>1</v>
      </c>
      <c r="D301" t="inlineStr">
        <is>
          <t>Max MP %</t>
        </is>
      </c>
      <c r="E301" t="n">
        <v>12</v>
      </c>
      <c r="F301" t="n">
        <v>9</v>
      </c>
      <c r="G301" t="b">
        <v>0</v>
      </c>
      <c r="H301" t="inlineStr">
        <is>
          <t>0</t>
        </is>
      </c>
    </row>
    <row r="302">
      <c r="A302" t="inlineStr">
        <is>
          <t>ALL</t>
        </is>
      </c>
      <c r="B302" t="inlineStr">
        <is>
          <t>legendary</t>
        </is>
      </c>
      <c r="C302" t="n">
        <v>1</v>
      </c>
      <c r="D302" t="inlineStr">
        <is>
          <t>Str</t>
        </is>
      </c>
      <c r="E302" t="n">
        <v>600</v>
      </c>
      <c r="F302" t="n">
        <v>9.25</v>
      </c>
      <c r="G302" t="b">
        <v>0</v>
      </c>
      <c r="H302" t="inlineStr">
        <is>
          <t>0</t>
        </is>
      </c>
    </row>
    <row r="303">
      <c r="A303" t="inlineStr">
        <is>
          <t>ALL</t>
        </is>
      </c>
      <c r="B303" t="inlineStr">
        <is>
          <t>legendary</t>
        </is>
      </c>
      <c r="C303" t="n">
        <v>1</v>
      </c>
      <c r="D303" t="inlineStr">
        <is>
          <t>Dex</t>
        </is>
      </c>
      <c r="E303" t="n">
        <v>600</v>
      </c>
      <c r="F303" t="n">
        <v>9.25</v>
      </c>
      <c r="G303" t="b">
        <v>0</v>
      </c>
      <c r="H303" t="inlineStr">
        <is>
          <t>0</t>
        </is>
      </c>
    </row>
    <row r="304">
      <c r="A304" t="inlineStr">
        <is>
          <t>ALL</t>
        </is>
      </c>
      <c r="B304" t="inlineStr">
        <is>
          <t>legendary</t>
        </is>
      </c>
      <c r="C304" t="n">
        <v>1</v>
      </c>
      <c r="D304" t="inlineStr">
        <is>
          <t>Int</t>
        </is>
      </c>
      <c r="E304" t="n">
        <v>600</v>
      </c>
      <c r="F304" t="n">
        <v>9.25</v>
      </c>
      <c r="G304" t="b">
        <v>0</v>
      </c>
      <c r="H304" t="inlineStr">
        <is>
          <t>0</t>
        </is>
      </c>
    </row>
    <row r="305">
      <c r="A305" t="inlineStr">
        <is>
          <t>ALL</t>
        </is>
      </c>
      <c r="B305" t="inlineStr">
        <is>
          <t>legendary</t>
        </is>
      </c>
      <c r="C305" t="n">
        <v>1</v>
      </c>
      <c r="D305" t="inlineStr">
        <is>
          <t>Luk</t>
        </is>
      </c>
      <c r="E305" t="n">
        <v>600</v>
      </c>
      <c r="F305" t="n">
        <v>9.25</v>
      </c>
      <c r="G305" t="b">
        <v>0</v>
      </c>
      <c r="H305">
        <f>Sensitivity!H5</f>
        <v/>
      </c>
    </row>
    <row r="306">
      <c r="A306" t="inlineStr">
        <is>
          <t>ALL</t>
        </is>
      </c>
      <c r="B306" t="inlineStr">
        <is>
          <t>legendary</t>
        </is>
      </c>
      <c r="C306" t="n">
        <v>2</v>
      </c>
      <c r="D306" t="inlineStr">
        <is>
          <t>Critical Rate %</t>
        </is>
      </c>
      <c r="E306" t="n">
        <v>9</v>
      </c>
      <c r="F306" t="n">
        <v>1.9</v>
      </c>
      <c r="G306" t="b">
        <v>0</v>
      </c>
      <c r="H306">
        <f>IF(Inputs!$B$8&gt;=100,Sensitivity!H16,Sensitivity!H15)</f>
        <v/>
      </c>
    </row>
    <row r="307">
      <c r="A307" t="inlineStr">
        <is>
          <t>ALL</t>
        </is>
      </c>
      <c r="B307" t="inlineStr">
        <is>
          <t>legendary</t>
        </is>
      </c>
      <c r="C307" t="n">
        <v>2</v>
      </c>
      <c r="D307" t="inlineStr">
        <is>
          <t>Critical Rate %</t>
        </is>
      </c>
      <c r="E307" t="n">
        <v>12</v>
      </c>
      <c r="F307" t="n">
        <v>0.6</v>
      </c>
      <c r="G307" t="b">
        <v>1</v>
      </c>
      <c r="H307">
        <f>IF(Inputs!$B$8&gt;=100,Sensitivity!H16,Sensitivity!H15)</f>
        <v/>
      </c>
    </row>
    <row r="308">
      <c r="A308" t="inlineStr">
        <is>
          <t>ALL</t>
        </is>
      </c>
      <c r="B308" t="inlineStr">
        <is>
          <t>legendary</t>
        </is>
      </c>
      <c r="C308" t="n">
        <v>2</v>
      </c>
      <c r="D308" t="inlineStr">
        <is>
          <t>Attack Speed %</t>
        </is>
      </c>
      <c r="E308" t="n">
        <v>5</v>
      </c>
      <c r="F308" t="n">
        <v>1.9</v>
      </c>
      <c r="G308" t="b">
        <v>0</v>
      </c>
      <c r="H308">
        <f>Sensitivity!H17</f>
        <v/>
      </c>
    </row>
    <row r="309">
      <c r="A309" t="inlineStr">
        <is>
          <t>ALL</t>
        </is>
      </c>
      <c r="B309" t="inlineStr">
        <is>
          <t>legendary</t>
        </is>
      </c>
      <c r="C309" t="n">
        <v>2</v>
      </c>
      <c r="D309" t="inlineStr">
        <is>
          <t>Attack Speed %</t>
        </is>
      </c>
      <c r="E309" t="n">
        <v>7</v>
      </c>
      <c r="F309" t="n">
        <v>0.6</v>
      </c>
      <c r="G309" t="b">
        <v>1</v>
      </c>
      <c r="H309">
        <f>Sensitivity!H17</f>
        <v/>
      </c>
    </row>
    <row r="310">
      <c r="A310" t="inlineStr">
        <is>
          <t>ALL</t>
        </is>
      </c>
      <c r="B310" t="inlineStr">
        <is>
          <t>legendary</t>
        </is>
      </c>
      <c r="C310" t="n">
        <v>2</v>
      </c>
      <c r="D310" t="inlineStr">
        <is>
          <t>Damage %</t>
        </is>
      </c>
      <c r="E310" t="n">
        <v>18</v>
      </c>
      <c r="F310" t="n">
        <v>3.04</v>
      </c>
      <c r="G310" t="b">
        <v>0</v>
      </c>
      <c r="H310">
        <f>Sensitivity!H8</f>
        <v/>
      </c>
    </row>
    <row r="311">
      <c r="A311" t="inlineStr">
        <is>
          <t>ALL</t>
        </is>
      </c>
      <c r="B311" t="inlineStr">
        <is>
          <t>legendary</t>
        </is>
      </c>
      <c r="C311" t="n">
        <v>2</v>
      </c>
      <c r="D311" t="inlineStr">
        <is>
          <t>Damage %</t>
        </is>
      </c>
      <c r="E311" t="n">
        <v>25</v>
      </c>
      <c r="F311" t="n">
        <v>0.96</v>
      </c>
      <c r="G311" t="b">
        <v>1</v>
      </c>
      <c r="H311">
        <f>Sensitivity!H8</f>
        <v/>
      </c>
    </row>
    <row r="312">
      <c r="A312" t="inlineStr">
        <is>
          <t>ALL</t>
        </is>
      </c>
      <c r="B312" t="inlineStr">
        <is>
          <t>legendary</t>
        </is>
      </c>
      <c r="C312" t="n">
        <v>2</v>
      </c>
      <c r="D312" t="inlineStr">
        <is>
          <t>Min Damage Multiplier %</t>
        </is>
      </c>
      <c r="E312" t="n">
        <v>10</v>
      </c>
      <c r="F312" t="n">
        <v>3.04</v>
      </c>
      <c r="G312" t="b">
        <v>0</v>
      </c>
      <c r="H312">
        <f>Sensitivity!H13</f>
        <v/>
      </c>
    </row>
    <row r="313">
      <c r="A313" t="inlineStr">
        <is>
          <t>ALL</t>
        </is>
      </c>
      <c r="B313" t="inlineStr">
        <is>
          <t>legendary</t>
        </is>
      </c>
      <c r="C313" t="n">
        <v>2</v>
      </c>
      <c r="D313" t="inlineStr">
        <is>
          <t>Min Damage Multiplier %</t>
        </is>
      </c>
      <c r="E313" t="n">
        <v>15</v>
      </c>
      <c r="F313" t="n">
        <v>0.96</v>
      </c>
      <c r="G313" t="b">
        <v>1</v>
      </c>
      <c r="H313">
        <f>Sensitivity!H13</f>
        <v/>
      </c>
    </row>
    <row r="314">
      <c r="A314" t="inlineStr">
        <is>
          <t>ALL</t>
        </is>
      </c>
      <c r="B314" t="inlineStr">
        <is>
          <t>legendary</t>
        </is>
      </c>
      <c r="C314" t="n">
        <v>2</v>
      </c>
      <c r="D314" t="inlineStr">
        <is>
          <t>Max Damage Multiplier %</t>
        </is>
      </c>
      <c r="E314" t="n">
        <v>10</v>
      </c>
      <c r="F314" t="n">
        <v>3.04</v>
      </c>
      <c r="G314" t="b">
        <v>0</v>
      </c>
      <c r="H314">
        <f>Sensitivity!H14</f>
        <v/>
      </c>
    </row>
    <row r="315">
      <c r="A315" t="inlineStr">
        <is>
          <t>ALL</t>
        </is>
      </c>
      <c r="B315" t="inlineStr">
        <is>
          <t>legendary</t>
        </is>
      </c>
      <c r="C315" t="n">
        <v>2</v>
      </c>
      <c r="D315" t="inlineStr">
        <is>
          <t>Max Damage Multiplier %</t>
        </is>
      </c>
      <c r="E315" t="n">
        <v>15</v>
      </c>
      <c r="F315" t="n">
        <v>0.96</v>
      </c>
      <c r="G315" t="b">
        <v>1</v>
      </c>
      <c r="H315">
        <f>Sensitivity!H14</f>
        <v/>
      </c>
    </row>
    <row r="316">
      <c r="A316" t="inlineStr">
        <is>
          <t>ALL</t>
        </is>
      </c>
      <c r="B316" t="inlineStr">
        <is>
          <t>legendary</t>
        </is>
      </c>
      <c r="C316" t="n">
        <v>2</v>
      </c>
      <c r="D316" t="inlineStr">
        <is>
          <t>Str %</t>
        </is>
      </c>
      <c r="E316" t="n">
        <v>9</v>
      </c>
      <c r="F316" t="n">
        <v>3.42</v>
      </c>
      <c r="G316" t="b">
        <v>0</v>
      </c>
      <c r="H316" t="inlineStr">
        <is>
          <t>0</t>
        </is>
      </c>
    </row>
    <row r="317">
      <c r="A317" t="inlineStr">
        <is>
          <t>ALL</t>
        </is>
      </c>
      <c r="B317" t="inlineStr">
        <is>
          <t>legendary</t>
        </is>
      </c>
      <c r="C317" t="n">
        <v>2</v>
      </c>
      <c r="D317" t="inlineStr">
        <is>
          <t>Str %</t>
        </is>
      </c>
      <c r="E317" t="n">
        <v>12</v>
      </c>
      <c r="F317" t="n">
        <v>1.08</v>
      </c>
      <c r="G317" t="b">
        <v>1</v>
      </c>
      <c r="H317" t="inlineStr">
        <is>
          <t>0</t>
        </is>
      </c>
    </row>
    <row r="318">
      <c r="A318" t="inlineStr">
        <is>
          <t>ALL</t>
        </is>
      </c>
      <c r="B318" t="inlineStr">
        <is>
          <t>legendary</t>
        </is>
      </c>
      <c r="C318" t="n">
        <v>2</v>
      </c>
      <c r="D318" t="inlineStr">
        <is>
          <t>Dex %</t>
        </is>
      </c>
      <c r="E318" t="n">
        <v>9</v>
      </c>
      <c r="F318" t="n">
        <v>3.42</v>
      </c>
      <c r="G318" t="b">
        <v>0</v>
      </c>
      <c r="H318" t="inlineStr">
        <is>
          <t>0</t>
        </is>
      </c>
    </row>
    <row r="319">
      <c r="A319" t="inlineStr">
        <is>
          <t>ALL</t>
        </is>
      </c>
      <c r="B319" t="inlineStr">
        <is>
          <t>legendary</t>
        </is>
      </c>
      <c r="C319" t="n">
        <v>2</v>
      </c>
      <c r="D319" t="inlineStr">
        <is>
          <t>Dex %</t>
        </is>
      </c>
      <c r="E319" t="n">
        <v>12</v>
      </c>
      <c r="F319" t="n">
        <v>1.08</v>
      </c>
      <c r="G319" t="b">
        <v>1</v>
      </c>
      <c r="H319" t="inlineStr">
        <is>
          <t>0</t>
        </is>
      </c>
    </row>
    <row r="320">
      <c r="A320" t="inlineStr">
        <is>
          <t>ALL</t>
        </is>
      </c>
      <c r="B320" t="inlineStr">
        <is>
          <t>legendary</t>
        </is>
      </c>
      <c r="C320" t="n">
        <v>2</v>
      </c>
      <c r="D320" t="inlineStr">
        <is>
          <t>Int %</t>
        </is>
      </c>
      <c r="E320" t="n">
        <v>9</v>
      </c>
      <c r="F320" t="n">
        <v>3.42</v>
      </c>
      <c r="G320" t="b">
        <v>0</v>
      </c>
      <c r="H320" t="inlineStr">
        <is>
          <t>0</t>
        </is>
      </c>
    </row>
    <row r="321">
      <c r="A321" t="inlineStr">
        <is>
          <t>ALL</t>
        </is>
      </c>
      <c r="B321" t="inlineStr">
        <is>
          <t>legendary</t>
        </is>
      </c>
      <c r="C321" t="n">
        <v>2</v>
      </c>
      <c r="D321" t="inlineStr">
        <is>
          <t>Int %</t>
        </is>
      </c>
      <c r="E321" t="n">
        <v>12</v>
      </c>
      <c r="F321" t="n">
        <v>1.08</v>
      </c>
      <c r="G321" t="b">
        <v>1</v>
      </c>
      <c r="H321" t="inlineStr">
        <is>
          <t>0</t>
        </is>
      </c>
    </row>
    <row r="322">
      <c r="A322" t="inlineStr">
        <is>
          <t>ALL</t>
        </is>
      </c>
      <c r="B322" t="inlineStr">
        <is>
          <t>legendary</t>
        </is>
      </c>
      <c r="C322" t="n">
        <v>2</v>
      </c>
      <c r="D322" t="inlineStr">
        <is>
          <t>Luk %</t>
        </is>
      </c>
      <c r="E322" t="n">
        <v>9</v>
      </c>
      <c r="F322" t="n">
        <v>3.42</v>
      </c>
      <c r="G322" t="b">
        <v>0</v>
      </c>
      <c r="H322">
        <f>Sensitivity!H6</f>
        <v/>
      </c>
    </row>
    <row r="323">
      <c r="A323" t="inlineStr">
        <is>
          <t>ALL</t>
        </is>
      </c>
      <c r="B323" t="inlineStr">
        <is>
          <t>legendary</t>
        </is>
      </c>
      <c r="C323" t="n">
        <v>2</v>
      </c>
      <c r="D323" t="inlineStr">
        <is>
          <t>Luk %</t>
        </is>
      </c>
      <c r="E323" t="n">
        <v>12</v>
      </c>
      <c r="F323" t="n">
        <v>1.08</v>
      </c>
      <c r="G323" t="b">
        <v>1</v>
      </c>
      <c r="H323">
        <f>Sensitivity!H6</f>
        <v/>
      </c>
    </row>
    <row r="324">
      <c r="A324" t="inlineStr">
        <is>
          <t>ALL</t>
        </is>
      </c>
      <c r="B324" t="inlineStr">
        <is>
          <t>legendary</t>
        </is>
      </c>
      <c r="C324" t="n">
        <v>2</v>
      </c>
      <c r="D324" t="inlineStr">
        <is>
          <t>Defense %</t>
        </is>
      </c>
      <c r="E324" t="n">
        <v>9</v>
      </c>
      <c r="F324" t="n">
        <v>6.84</v>
      </c>
      <c r="G324" t="b">
        <v>0</v>
      </c>
      <c r="H324" t="inlineStr">
        <is>
          <t>0</t>
        </is>
      </c>
    </row>
    <row r="325">
      <c r="A325" t="inlineStr">
        <is>
          <t>ALL</t>
        </is>
      </c>
      <c r="B325" t="inlineStr">
        <is>
          <t>legendary</t>
        </is>
      </c>
      <c r="C325" t="n">
        <v>2</v>
      </c>
      <c r="D325" t="inlineStr">
        <is>
          <t>Defense %</t>
        </is>
      </c>
      <c r="E325" t="n">
        <v>12</v>
      </c>
      <c r="F325" t="n">
        <v>2.16</v>
      </c>
      <c r="G325" t="b">
        <v>1</v>
      </c>
      <c r="H325" t="inlineStr">
        <is>
          <t>0</t>
        </is>
      </c>
    </row>
    <row r="326">
      <c r="A326" t="inlineStr">
        <is>
          <t>ALL</t>
        </is>
      </c>
      <c r="B326" t="inlineStr">
        <is>
          <t>legendary</t>
        </is>
      </c>
      <c r="C326" t="n">
        <v>2</v>
      </c>
      <c r="D326" t="inlineStr">
        <is>
          <t>Max HP %</t>
        </is>
      </c>
      <c r="E326" t="n">
        <v>15</v>
      </c>
      <c r="F326" t="n">
        <v>6.84</v>
      </c>
      <c r="G326" t="b">
        <v>0</v>
      </c>
      <c r="H326" t="inlineStr">
        <is>
          <t>0</t>
        </is>
      </c>
    </row>
    <row r="327">
      <c r="A327" t="inlineStr">
        <is>
          <t>ALL</t>
        </is>
      </c>
      <c r="B327" t="inlineStr">
        <is>
          <t>legendary</t>
        </is>
      </c>
      <c r="C327" t="n">
        <v>2</v>
      </c>
      <c r="D327" t="inlineStr">
        <is>
          <t>Max HP %</t>
        </is>
      </c>
      <c r="E327" t="n">
        <v>20</v>
      </c>
      <c r="F327" t="n">
        <v>2.16</v>
      </c>
      <c r="G327" t="b">
        <v>1</v>
      </c>
      <c r="H327" t="inlineStr">
        <is>
          <t>0</t>
        </is>
      </c>
    </row>
    <row r="328">
      <c r="A328" t="inlineStr">
        <is>
          <t>ALL</t>
        </is>
      </c>
      <c r="B328" t="inlineStr">
        <is>
          <t>legendary</t>
        </is>
      </c>
      <c r="C328" t="n">
        <v>2</v>
      </c>
      <c r="D328" t="inlineStr">
        <is>
          <t>Max MP %</t>
        </is>
      </c>
      <c r="E328" t="n">
        <v>9</v>
      </c>
      <c r="F328" t="n">
        <v>6.84</v>
      </c>
      <c r="G328" t="b">
        <v>0</v>
      </c>
      <c r="H328" t="inlineStr">
        <is>
          <t>0</t>
        </is>
      </c>
    </row>
    <row r="329">
      <c r="A329" t="inlineStr">
        <is>
          <t>ALL</t>
        </is>
      </c>
      <c r="B329" t="inlineStr">
        <is>
          <t>legendary</t>
        </is>
      </c>
      <c r="C329" t="n">
        <v>2</v>
      </c>
      <c r="D329" t="inlineStr">
        <is>
          <t>Max MP %</t>
        </is>
      </c>
      <c r="E329" t="n">
        <v>12</v>
      </c>
      <c r="F329" t="n">
        <v>2.16</v>
      </c>
      <c r="G329" t="b">
        <v>1</v>
      </c>
      <c r="H329" t="inlineStr">
        <is>
          <t>0</t>
        </is>
      </c>
    </row>
    <row r="330">
      <c r="A330" t="inlineStr">
        <is>
          <t>ALL</t>
        </is>
      </c>
      <c r="B330" t="inlineStr">
        <is>
          <t>legendary</t>
        </is>
      </c>
      <c r="C330" t="n">
        <v>2</v>
      </c>
      <c r="D330" t="inlineStr">
        <is>
          <t>Str</t>
        </is>
      </c>
      <c r="E330" t="n">
        <v>400</v>
      </c>
      <c r="F330" t="n">
        <v>7.03</v>
      </c>
      <c r="G330" t="b">
        <v>0</v>
      </c>
      <c r="H330" t="inlineStr">
        <is>
          <t>0</t>
        </is>
      </c>
    </row>
    <row r="331">
      <c r="A331" t="inlineStr">
        <is>
          <t>ALL</t>
        </is>
      </c>
      <c r="B331" t="inlineStr">
        <is>
          <t>legendary</t>
        </is>
      </c>
      <c r="C331" t="n">
        <v>2</v>
      </c>
      <c r="D331" t="inlineStr">
        <is>
          <t>Str</t>
        </is>
      </c>
      <c r="E331" t="n">
        <v>600</v>
      </c>
      <c r="F331" t="n">
        <v>2.22</v>
      </c>
      <c r="G331" t="b">
        <v>1</v>
      </c>
      <c r="H331" t="inlineStr">
        <is>
          <t>0</t>
        </is>
      </c>
    </row>
    <row r="332">
      <c r="A332" t="inlineStr">
        <is>
          <t>ALL</t>
        </is>
      </c>
      <c r="B332" t="inlineStr">
        <is>
          <t>legendary</t>
        </is>
      </c>
      <c r="C332" t="n">
        <v>2</v>
      </c>
      <c r="D332" t="inlineStr">
        <is>
          <t>Dex</t>
        </is>
      </c>
      <c r="E332" t="n">
        <v>400</v>
      </c>
      <c r="F332" t="n">
        <v>7.03</v>
      </c>
      <c r="G332" t="b">
        <v>0</v>
      </c>
      <c r="H332" t="inlineStr">
        <is>
          <t>0</t>
        </is>
      </c>
    </row>
    <row r="333">
      <c r="A333" t="inlineStr">
        <is>
          <t>ALL</t>
        </is>
      </c>
      <c r="B333" t="inlineStr">
        <is>
          <t>legendary</t>
        </is>
      </c>
      <c r="C333" t="n">
        <v>2</v>
      </c>
      <c r="D333" t="inlineStr">
        <is>
          <t>Dex</t>
        </is>
      </c>
      <c r="E333" t="n">
        <v>600</v>
      </c>
      <c r="F333" t="n">
        <v>2.22</v>
      </c>
      <c r="G333" t="b">
        <v>1</v>
      </c>
      <c r="H333" t="inlineStr">
        <is>
          <t>0</t>
        </is>
      </c>
    </row>
    <row r="334">
      <c r="A334" t="inlineStr">
        <is>
          <t>ALL</t>
        </is>
      </c>
      <c r="B334" t="inlineStr">
        <is>
          <t>legendary</t>
        </is>
      </c>
      <c r="C334" t="n">
        <v>2</v>
      </c>
      <c r="D334" t="inlineStr">
        <is>
          <t>Int</t>
        </is>
      </c>
      <c r="E334" t="n">
        <v>400</v>
      </c>
      <c r="F334" t="n">
        <v>7.03</v>
      </c>
      <c r="G334" t="b">
        <v>0</v>
      </c>
      <c r="H334" t="inlineStr">
        <is>
          <t>0</t>
        </is>
      </c>
    </row>
    <row r="335">
      <c r="A335" t="inlineStr">
        <is>
          <t>ALL</t>
        </is>
      </c>
      <c r="B335" t="inlineStr">
        <is>
          <t>legendary</t>
        </is>
      </c>
      <c r="C335" t="n">
        <v>2</v>
      </c>
      <c r="D335" t="inlineStr">
        <is>
          <t>Int</t>
        </is>
      </c>
      <c r="E335" t="n">
        <v>600</v>
      </c>
      <c r="F335" t="n">
        <v>2.22</v>
      </c>
      <c r="G335" t="b">
        <v>1</v>
      </c>
      <c r="H335" t="inlineStr">
        <is>
          <t>0</t>
        </is>
      </c>
    </row>
    <row r="336">
      <c r="A336" t="inlineStr">
        <is>
          <t>ALL</t>
        </is>
      </c>
      <c r="B336" t="inlineStr">
        <is>
          <t>legendary</t>
        </is>
      </c>
      <c r="C336" t="n">
        <v>2</v>
      </c>
      <c r="D336" t="inlineStr">
        <is>
          <t>Luk</t>
        </is>
      </c>
      <c r="E336" t="n">
        <v>400</v>
      </c>
      <c r="F336" t="n">
        <v>7.03</v>
      </c>
      <c r="G336" t="b">
        <v>0</v>
      </c>
      <c r="H336">
        <f>Sensitivity!H5</f>
        <v/>
      </c>
    </row>
    <row r="337">
      <c r="A337" t="inlineStr">
        <is>
          <t>ALL</t>
        </is>
      </c>
      <c r="B337" t="inlineStr">
        <is>
          <t>legendary</t>
        </is>
      </c>
      <c r="C337" t="n">
        <v>2</v>
      </c>
      <c r="D337" t="inlineStr">
        <is>
          <t>Luk</t>
        </is>
      </c>
      <c r="E337" t="n">
        <v>600</v>
      </c>
      <c r="F337" t="n">
        <v>2.22</v>
      </c>
      <c r="G337" t="b">
        <v>1</v>
      </c>
      <c r="H337">
        <f>Sensitivity!H5</f>
        <v/>
      </c>
    </row>
    <row r="338">
      <c r="A338" t="inlineStr">
        <is>
          <t>ALL</t>
        </is>
      </c>
      <c r="B338" t="inlineStr">
        <is>
          <t>legendary</t>
        </is>
      </c>
      <c r="C338" t="n">
        <v>3</v>
      </c>
      <c r="D338" t="inlineStr">
        <is>
          <t>Critical Rate %</t>
        </is>
      </c>
      <c r="E338" t="n">
        <v>9</v>
      </c>
      <c r="F338" t="n">
        <v>2.3</v>
      </c>
      <c r="G338" t="b">
        <v>0</v>
      </c>
      <c r="H338">
        <f>IF(Inputs!$B$8&gt;=100,Sensitivity!H16,Sensitivity!H15)</f>
        <v/>
      </c>
    </row>
    <row r="339">
      <c r="A339" t="inlineStr">
        <is>
          <t>ALL</t>
        </is>
      </c>
      <c r="B339" t="inlineStr">
        <is>
          <t>legendary</t>
        </is>
      </c>
      <c r="C339" t="n">
        <v>3</v>
      </c>
      <c r="D339" t="inlineStr">
        <is>
          <t>Critical Rate %</t>
        </is>
      </c>
      <c r="E339" t="n">
        <v>12</v>
      </c>
      <c r="F339" t="n">
        <v>0.2</v>
      </c>
      <c r="G339" t="b">
        <v>1</v>
      </c>
      <c r="H339">
        <f>IF(Inputs!$B$8&gt;=100,Sensitivity!H16,Sensitivity!H15)</f>
        <v/>
      </c>
    </row>
    <row r="340">
      <c r="A340" t="inlineStr">
        <is>
          <t>ALL</t>
        </is>
      </c>
      <c r="B340" t="inlineStr">
        <is>
          <t>legendary</t>
        </is>
      </c>
      <c r="C340" t="n">
        <v>3</v>
      </c>
      <c r="D340" t="inlineStr">
        <is>
          <t>Attack Speed %</t>
        </is>
      </c>
      <c r="E340" t="n">
        <v>5</v>
      </c>
      <c r="F340" t="n">
        <v>2.3</v>
      </c>
      <c r="G340" t="b">
        <v>0</v>
      </c>
      <c r="H340">
        <f>Sensitivity!H17</f>
        <v/>
      </c>
    </row>
    <row r="341">
      <c r="A341" t="inlineStr">
        <is>
          <t>ALL</t>
        </is>
      </c>
      <c r="B341" t="inlineStr">
        <is>
          <t>legendary</t>
        </is>
      </c>
      <c r="C341" t="n">
        <v>3</v>
      </c>
      <c r="D341" t="inlineStr">
        <is>
          <t>Attack Speed %</t>
        </is>
      </c>
      <c r="E341" t="n">
        <v>7</v>
      </c>
      <c r="F341" t="n">
        <v>0.2</v>
      </c>
      <c r="G341" t="b">
        <v>1</v>
      </c>
      <c r="H341">
        <f>Sensitivity!H17</f>
        <v/>
      </c>
    </row>
    <row r="342">
      <c r="A342" t="inlineStr">
        <is>
          <t>ALL</t>
        </is>
      </c>
      <c r="B342" t="inlineStr">
        <is>
          <t>legendary</t>
        </is>
      </c>
      <c r="C342" t="n">
        <v>3</v>
      </c>
      <c r="D342" t="inlineStr">
        <is>
          <t>Damage %</t>
        </is>
      </c>
      <c r="E342" t="n">
        <v>18</v>
      </c>
      <c r="F342" t="n">
        <v>3.68</v>
      </c>
      <c r="G342" t="b">
        <v>0</v>
      </c>
      <c r="H342">
        <f>Sensitivity!H8</f>
        <v/>
      </c>
    </row>
    <row r="343">
      <c r="A343" t="inlineStr">
        <is>
          <t>ALL</t>
        </is>
      </c>
      <c r="B343" t="inlineStr">
        <is>
          <t>legendary</t>
        </is>
      </c>
      <c r="C343" t="n">
        <v>3</v>
      </c>
      <c r="D343" t="inlineStr">
        <is>
          <t>Damage %</t>
        </is>
      </c>
      <c r="E343" t="n">
        <v>25</v>
      </c>
      <c r="F343" t="n">
        <v>0.32</v>
      </c>
      <c r="G343" t="b">
        <v>1</v>
      </c>
      <c r="H343">
        <f>Sensitivity!H8</f>
        <v/>
      </c>
    </row>
    <row r="344">
      <c r="A344" t="inlineStr">
        <is>
          <t>ALL</t>
        </is>
      </c>
      <c r="B344" t="inlineStr">
        <is>
          <t>legendary</t>
        </is>
      </c>
      <c r="C344" t="n">
        <v>3</v>
      </c>
      <c r="D344" t="inlineStr">
        <is>
          <t>Min Damage Multiplier %</t>
        </is>
      </c>
      <c r="E344" t="n">
        <v>10</v>
      </c>
      <c r="F344" t="n">
        <v>3.68</v>
      </c>
      <c r="G344" t="b">
        <v>0</v>
      </c>
      <c r="H344">
        <f>Sensitivity!H13</f>
        <v/>
      </c>
    </row>
    <row r="345">
      <c r="A345" t="inlineStr">
        <is>
          <t>ALL</t>
        </is>
      </c>
      <c r="B345" t="inlineStr">
        <is>
          <t>legendary</t>
        </is>
      </c>
      <c r="C345" t="n">
        <v>3</v>
      </c>
      <c r="D345" t="inlineStr">
        <is>
          <t>Min Damage Multiplier %</t>
        </is>
      </c>
      <c r="E345" t="n">
        <v>15</v>
      </c>
      <c r="F345" t="n">
        <v>0.32</v>
      </c>
      <c r="G345" t="b">
        <v>1</v>
      </c>
      <c r="H345">
        <f>Sensitivity!H13</f>
        <v/>
      </c>
    </row>
    <row r="346">
      <c r="A346" t="inlineStr">
        <is>
          <t>ALL</t>
        </is>
      </c>
      <c r="B346" t="inlineStr">
        <is>
          <t>legendary</t>
        </is>
      </c>
      <c r="C346" t="n">
        <v>3</v>
      </c>
      <c r="D346" t="inlineStr">
        <is>
          <t>Max Damage Multiplier %</t>
        </is>
      </c>
      <c r="E346" t="n">
        <v>10</v>
      </c>
      <c r="F346" t="n">
        <v>3.68</v>
      </c>
      <c r="G346" t="b">
        <v>0</v>
      </c>
      <c r="H346">
        <f>Sensitivity!H14</f>
        <v/>
      </c>
    </row>
    <row r="347">
      <c r="A347" t="inlineStr">
        <is>
          <t>ALL</t>
        </is>
      </c>
      <c r="B347" t="inlineStr">
        <is>
          <t>legendary</t>
        </is>
      </c>
      <c r="C347" t="n">
        <v>3</v>
      </c>
      <c r="D347" t="inlineStr">
        <is>
          <t>Max Damage Multiplier %</t>
        </is>
      </c>
      <c r="E347" t="n">
        <v>15</v>
      </c>
      <c r="F347" t="n">
        <v>0.32</v>
      </c>
      <c r="G347" t="b">
        <v>1</v>
      </c>
      <c r="H347">
        <f>Sensitivity!H14</f>
        <v/>
      </c>
    </row>
    <row r="348">
      <c r="A348" t="inlineStr">
        <is>
          <t>ALL</t>
        </is>
      </c>
      <c r="B348" t="inlineStr">
        <is>
          <t>legendary</t>
        </is>
      </c>
      <c r="C348" t="n">
        <v>3</v>
      </c>
      <c r="D348" t="inlineStr">
        <is>
          <t>Str %</t>
        </is>
      </c>
      <c r="E348" t="n">
        <v>9</v>
      </c>
      <c r="F348" t="n">
        <v>4.14</v>
      </c>
      <c r="G348" t="b">
        <v>0</v>
      </c>
      <c r="H348" t="inlineStr">
        <is>
          <t>0</t>
        </is>
      </c>
    </row>
    <row r="349">
      <c r="A349" t="inlineStr">
        <is>
          <t>ALL</t>
        </is>
      </c>
      <c r="B349" t="inlineStr">
        <is>
          <t>legendary</t>
        </is>
      </c>
      <c r="C349" t="n">
        <v>3</v>
      </c>
      <c r="D349" t="inlineStr">
        <is>
          <t>Str %</t>
        </is>
      </c>
      <c r="E349" t="n">
        <v>12</v>
      </c>
      <c r="F349" t="n">
        <v>0.36</v>
      </c>
      <c r="G349" t="b">
        <v>1</v>
      </c>
      <c r="H349" t="inlineStr">
        <is>
          <t>0</t>
        </is>
      </c>
    </row>
    <row r="350">
      <c r="A350" t="inlineStr">
        <is>
          <t>ALL</t>
        </is>
      </c>
      <c r="B350" t="inlineStr">
        <is>
          <t>legendary</t>
        </is>
      </c>
      <c r="C350" t="n">
        <v>3</v>
      </c>
      <c r="D350" t="inlineStr">
        <is>
          <t>Dex %</t>
        </is>
      </c>
      <c r="E350" t="n">
        <v>9</v>
      </c>
      <c r="F350" t="n">
        <v>4.14</v>
      </c>
      <c r="G350" t="b">
        <v>0</v>
      </c>
      <c r="H350" t="inlineStr">
        <is>
          <t>0</t>
        </is>
      </c>
    </row>
    <row r="351">
      <c r="A351" t="inlineStr">
        <is>
          <t>ALL</t>
        </is>
      </c>
      <c r="B351" t="inlineStr">
        <is>
          <t>legendary</t>
        </is>
      </c>
      <c r="C351" t="n">
        <v>3</v>
      </c>
      <c r="D351" t="inlineStr">
        <is>
          <t>Dex %</t>
        </is>
      </c>
      <c r="E351" t="n">
        <v>12</v>
      </c>
      <c r="F351" t="n">
        <v>0.36</v>
      </c>
      <c r="G351" t="b">
        <v>1</v>
      </c>
      <c r="H351" t="inlineStr">
        <is>
          <t>0</t>
        </is>
      </c>
    </row>
    <row r="352">
      <c r="A352" t="inlineStr">
        <is>
          <t>ALL</t>
        </is>
      </c>
      <c r="B352" t="inlineStr">
        <is>
          <t>legendary</t>
        </is>
      </c>
      <c r="C352" t="n">
        <v>3</v>
      </c>
      <c r="D352" t="inlineStr">
        <is>
          <t>Int %</t>
        </is>
      </c>
      <c r="E352" t="n">
        <v>9</v>
      </c>
      <c r="F352" t="n">
        <v>4.14</v>
      </c>
      <c r="G352" t="b">
        <v>0</v>
      </c>
      <c r="H352" t="inlineStr">
        <is>
          <t>0</t>
        </is>
      </c>
    </row>
    <row r="353">
      <c r="A353" t="inlineStr">
        <is>
          <t>ALL</t>
        </is>
      </c>
      <c r="B353" t="inlineStr">
        <is>
          <t>legendary</t>
        </is>
      </c>
      <c r="C353" t="n">
        <v>3</v>
      </c>
      <c r="D353" t="inlineStr">
        <is>
          <t>Int %</t>
        </is>
      </c>
      <c r="E353" t="n">
        <v>12</v>
      </c>
      <c r="F353" t="n">
        <v>0.36</v>
      </c>
      <c r="G353" t="b">
        <v>1</v>
      </c>
      <c r="H353" t="inlineStr">
        <is>
          <t>0</t>
        </is>
      </c>
    </row>
    <row r="354">
      <c r="A354" t="inlineStr">
        <is>
          <t>ALL</t>
        </is>
      </c>
      <c r="B354" t="inlineStr">
        <is>
          <t>legendary</t>
        </is>
      </c>
      <c r="C354" t="n">
        <v>3</v>
      </c>
      <c r="D354" t="inlineStr">
        <is>
          <t>Luk %</t>
        </is>
      </c>
      <c r="E354" t="n">
        <v>9</v>
      </c>
      <c r="F354" t="n">
        <v>4.14</v>
      </c>
      <c r="G354" t="b">
        <v>0</v>
      </c>
      <c r="H354">
        <f>Sensitivity!H6</f>
        <v/>
      </c>
    </row>
    <row r="355">
      <c r="A355" t="inlineStr">
        <is>
          <t>ALL</t>
        </is>
      </c>
      <c r="B355" t="inlineStr">
        <is>
          <t>legendary</t>
        </is>
      </c>
      <c r="C355" t="n">
        <v>3</v>
      </c>
      <c r="D355" t="inlineStr">
        <is>
          <t>Luk %</t>
        </is>
      </c>
      <c r="E355" t="n">
        <v>12</v>
      </c>
      <c r="F355" t="n">
        <v>0.36</v>
      </c>
      <c r="G355" t="b">
        <v>1</v>
      </c>
      <c r="H355">
        <f>Sensitivity!H6</f>
        <v/>
      </c>
    </row>
    <row r="356">
      <c r="A356" t="inlineStr">
        <is>
          <t>ALL</t>
        </is>
      </c>
      <c r="B356" t="inlineStr">
        <is>
          <t>legendary</t>
        </is>
      </c>
      <c r="C356" t="n">
        <v>3</v>
      </c>
      <c r="D356" t="inlineStr">
        <is>
          <t>Defense %</t>
        </is>
      </c>
      <c r="E356" t="n">
        <v>9</v>
      </c>
      <c r="F356" t="n">
        <v>8.279999999999999</v>
      </c>
      <c r="G356" t="b">
        <v>0</v>
      </c>
      <c r="H356" t="inlineStr">
        <is>
          <t>0</t>
        </is>
      </c>
    </row>
    <row r="357">
      <c r="A357" t="inlineStr">
        <is>
          <t>ALL</t>
        </is>
      </c>
      <c r="B357" t="inlineStr">
        <is>
          <t>legendary</t>
        </is>
      </c>
      <c r="C357" t="n">
        <v>3</v>
      </c>
      <c r="D357" t="inlineStr">
        <is>
          <t>Defense %</t>
        </is>
      </c>
      <c r="E357" t="n">
        <v>12</v>
      </c>
      <c r="F357" t="n">
        <v>0.72</v>
      </c>
      <c r="G357" t="b">
        <v>1</v>
      </c>
      <c r="H357" t="inlineStr">
        <is>
          <t>0</t>
        </is>
      </c>
    </row>
    <row r="358">
      <c r="A358" t="inlineStr">
        <is>
          <t>ALL</t>
        </is>
      </c>
      <c r="B358" t="inlineStr">
        <is>
          <t>legendary</t>
        </is>
      </c>
      <c r="C358" t="n">
        <v>3</v>
      </c>
      <c r="D358" t="inlineStr">
        <is>
          <t>Max HP %</t>
        </is>
      </c>
      <c r="E358" t="n">
        <v>15</v>
      </c>
      <c r="F358" t="n">
        <v>8.279999999999999</v>
      </c>
      <c r="G358" t="b">
        <v>0</v>
      </c>
      <c r="H358" t="inlineStr">
        <is>
          <t>0</t>
        </is>
      </c>
    </row>
    <row r="359">
      <c r="A359" t="inlineStr">
        <is>
          <t>ALL</t>
        </is>
      </c>
      <c r="B359" t="inlineStr">
        <is>
          <t>legendary</t>
        </is>
      </c>
      <c r="C359" t="n">
        <v>3</v>
      </c>
      <c r="D359" t="inlineStr">
        <is>
          <t>Max HP %</t>
        </is>
      </c>
      <c r="E359" t="n">
        <v>20</v>
      </c>
      <c r="F359" t="n">
        <v>0.72</v>
      </c>
      <c r="G359" t="b">
        <v>1</v>
      </c>
      <c r="H359" t="inlineStr">
        <is>
          <t>0</t>
        </is>
      </c>
    </row>
    <row r="360">
      <c r="A360" t="inlineStr">
        <is>
          <t>ALL</t>
        </is>
      </c>
      <c r="B360" t="inlineStr">
        <is>
          <t>legendary</t>
        </is>
      </c>
      <c r="C360" t="n">
        <v>3</v>
      </c>
      <c r="D360" t="inlineStr">
        <is>
          <t>Max MP %</t>
        </is>
      </c>
      <c r="E360" t="n">
        <v>9</v>
      </c>
      <c r="F360" t="n">
        <v>8.279999999999999</v>
      </c>
      <c r="G360" t="b">
        <v>0</v>
      </c>
      <c r="H360" t="inlineStr">
        <is>
          <t>0</t>
        </is>
      </c>
    </row>
    <row r="361">
      <c r="A361" t="inlineStr">
        <is>
          <t>ALL</t>
        </is>
      </c>
      <c r="B361" t="inlineStr">
        <is>
          <t>legendary</t>
        </is>
      </c>
      <c r="C361" t="n">
        <v>3</v>
      </c>
      <c r="D361" t="inlineStr">
        <is>
          <t>Max MP %</t>
        </is>
      </c>
      <c r="E361" t="n">
        <v>12</v>
      </c>
      <c r="F361" t="n">
        <v>0.72</v>
      </c>
      <c r="G361" t="b">
        <v>1</v>
      </c>
      <c r="H361" t="inlineStr">
        <is>
          <t>0</t>
        </is>
      </c>
    </row>
    <row r="362">
      <c r="A362" t="inlineStr">
        <is>
          <t>ALL</t>
        </is>
      </c>
      <c r="B362" t="inlineStr">
        <is>
          <t>legendary</t>
        </is>
      </c>
      <c r="C362" t="n">
        <v>3</v>
      </c>
      <c r="D362" t="inlineStr">
        <is>
          <t>Str</t>
        </is>
      </c>
      <c r="E362" t="n">
        <v>400</v>
      </c>
      <c r="F362" t="n">
        <v>8.51</v>
      </c>
      <c r="G362" t="b">
        <v>0</v>
      </c>
      <c r="H362" t="inlineStr">
        <is>
          <t>0</t>
        </is>
      </c>
    </row>
    <row r="363">
      <c r="A363" t="inlineStr">
        <is>
          <t>ALL</t>
        </is>
      </c>
      <c r="B363" t="inlineStr">
        <is>
          <t>legendary</t>
        </is>
      </c>
      <c r="C363" t="n">
        <v>3</v>
      </c>
      <c r="D363" t="inlineStr">
        <is>
          <t>Str</t>
        </is>
      </c>
      <c r="E363" t="n">
        <v>600</v>
      </c>
      <c r="F363" t="n">
        <v>0.74</v>
      </c>
      <c r="G363" t="b">
        <v>1</v>
      </c>
      <c r="H363" t="inlineStr">
        <is>
          <t>0</t>
        </is>
      </c>
    </row>
    <row r="364">
      <c r="A364" t="inlineStr">
        <is>
          <t>ALL</t>
        </is>
      </c>
      <c r="B364" t="inlineStr">
        <is>
          <t>legendary</t>
        </is>
      </c>
      <c r="C364" t="n">
        <v>3</v>
      </c>
      <c r="D364" t="inlineStr">
        <is>
          <t>Dex</t>
        </is>
      </c>
      <c r="E364" t="n">
        <v>400</v>
      </c>
      <c r="F364" t="n">
        <v>8.51</v>
      </c>
      <c r="G364" t="b">
        <v>0</v>
      </c>
      <c r="H364" t="inlineStr">
        <is>
          <t>0</t>
        </is>
      </c>
    </row>
    <row r="365">
      <c r="A365" t="inlineStr">
        <is>
          <t>ALL</t>
        </is>
      </c>
      <c r="B365" t="inlineStr">
        <is>
          <t>legendary</t>
        </is>
      </c>
      <c r="C365" t="n">
        <v>3</v>
      </c>
      <c r="D365" t="inlineStr">
        <is>
          <t>Dex</t>
        </is>
      </c>
      <c r="E365" t="n">
        <v>600</v>
      </c>
      <c r="F365" t="n">
        <v>0.74</v>
      </c>
      <c r="G365" t="b">
        <v>1</v>
      </c>
      <c r="H365" t="inlineStr">
        <is>
          <t>0</t>
        </is>
      </c>
    </row>
    <row r="366">
      <c r="A366" t="inlineStr">
        <is>
          <t>ALL</t>
        </is>
      </c>
      <c r="B366" t="inlineStr">
        <is>
          <t>legendary</t>
        </is>
      </c>
      <c r="C366" t="n">
        <v>3</v>
      </c>
      <c r="D366" t="inlineStr">
        <is>
          <t>Int</t>
        </is>
      </c>
      <c r="E366" t="n">
        <v>400</v>
      </c>
      <c r="F366" t="n">
        <v>8.51</v>
      </c>
      <c r="G366" t="b">
        <v>0</v>
      </c>
      <c r="H366" t="inlineStr">
        <is>
          <t>0</t>
        </is>
      </c>
    </row>
    <row r="367">
      <c r="A367" t="inlineStr">
        <is>
          <t>ALL</t>
        </is>
      </c>
      <c r="B367" t="inlineStr">
        <is>
          <t>legendary</t>
        </is>
      </c>
      <c r="C367" t="n">
        <v>3</v>
      </c>
      <c r="D367" t="inlineStr">
        <is>
          <t>Int</t>
        </is>
      </c>
      <c r="E367" t="n">
        <v>600</v>
      </c>
      <c r="F367" t="n">
        <v>0.74</v>
      </c>
      <c r="G367" t="b">
        <v>1</v>
      </c>
      <c r="H367" t="inlineStr">
        <is>
          <t>0</t>
        </is>
      </c>
    </row>
    <row r="368">
      <c r="A368" t="inlineStr">
        <is>
          <t>ALL</t>
        </is>
      </c>
      <c r="B368" t="inlineStr">
        <is>
          <t>legendary</t>
        </is>
      </c>
      <c r="C368" t="n">
        <v>3</v>
      </c>
      <c r="D368" t="inlineStr">
        <is>
          <t>Luk</t>
        </is>
      </c>
      <c r="E368" t="n">
        <v>400</v>
      </c>
      <c r="F368" t="n">
        <v>8.51</v>
      </c>
      <c r="G368" t="b">
        <v>0</v>
      </c>
      <c r="H368">
        <f>Sensitivity!H5</f>
        <v/>
      </c>
    </row>
    <row r="369">
      <c r="A369" t="inlineStr">
        <is>
          <t>ALL</t>
        </is>
      </c>
      <c r="B369" t="inlineStr">
        <is>
          <t>legendary</t>
        </is>
      </c>
      <c r="C369" t="n">
        <v>3</v>
      </c>
      <c r="D369" t="inlineStr">
        <is>
          <t>Luk</t>
        </is>
      </c>
      <c r="E369" t="n">
        <v>600</v>
      </c>
      <c r="F369" t="n">
        <v>0.74</v>
      </c>
      <c r="G369" t="b">
        <v>1</v>
      </c>
      <c r="H369">
        <f>Sensitivity!H5</f>
        <v/>
      </c>
    </row>
    <row r="370">
      <c r="A370" t="inlineStr">
        <is>
          <t>ALL</t>
        </is>
      </c>
      <c r="B370" t="inlineStr">
        <is>
          <t>mystic</t>
        </is>
      </c>
      <c r="C370" t="n">
        <v>1</v>
      </c>
      <c r="D370" t="inlineStr">
        <is>
          <t>Critical Rate %</t>
        </is>
      </c>
      <c r="E370" t="n">
        <v>15</v>
      </c>
      <c r="F370" t="n">
        <v>2.5</v>
      </c>
      <c r="G370" t="b">
        <v>0</v>
      </c>
      <c r="H370">
        <f>IF(Inputs!$B$8&gt;=100,Sensitivity!H16,Sensitivity!H15)</f>
        <v/>
      </c>
    </row>
    <row r="371">
      <c r="A371" t="inlineStr">
        <is>
          <t>ALL</t>
        </is>
      </c>
      <c r="B371" t="inlineStr">
        <is>
          <t>mystic</t>
        </is>
      </c>
      <c r="C371" t="n">
        <v>1</v>
      </c>
      <c r="D371" t="inlineStr">
        <is>
          <t>Attack Speed %</t>
        </is>
      </c>
      <c r="E371" t="n">
        <v>10</v>
      </c>
      <c r="F371" t="n">
        <v>2.5</v>
      </c>
      <c r="G371" t="b">
        <v>0</v>
      </c>
      <c r="H371">
        <f>Sensitivity!H17</f>
        <v/>
      </c>
    </row>
    <row r="372">
      <c r="A372" t="inlineStr">
        <is>
          <t>ALL</t>
        </is>
      </c>
      <c r="B372" t="inlineStr">
        <is>
          <t>mystic</t>
        </is>
      </c>
      <c r="C372" t="n">
        <v>1</v>
      </c>
      <c r="D372" t="inlineStr">
        <is>
          <t>Damage %</t>
        </is>
      </c>
      <c r="E372" t="n">
        <v>35</v>
      </c>
      <c r="F372" t="n">
        <v>4</v>
      </c>
      <c r="G372" t="b">
        <v>0</v>
      </c>
      <c r="H372">
        <f>Sensitivity!H8</f>
        <v/>
      </c>
    </row>
    <row r="373">
      <c r="A373" t="inlineStr">
        <is>
          <t>ALL</t>
        </is>
      </c>
      <c r="B373" t="inlineStr">
        <is>
          <t>mystic</t>
        </is>
      </c>
      <c r="C373" t="n">
        <v>1</v>
      </c>
      <c r="D373" t="inlineStr">
        <is>
          <t>Min Damage Multiplier %</t>
        </is>
      </c>
      <c r="E373" t="n">
        <v>25</v>
      </c>
      <c r="F373" t="n">
        <v>4</v>
      </c>
      <c r="G373" t="b">
        <v>0</v>
      </c>
      <c r="H373">
        <f>Sensitivity!H13</f>
        <v/>
      </c>
    </row>
    <row r="374">
      <c r="A374" t="inlineStr">
        <is>
          <t>ALL</t>
        </is>
      </c>
      <c r="B374" t="inlineStr">
        <is>
          <t>mystic</t>
        </is>
      </c>
      <c r="C374" t="n">
        <v>1</v>
      </c>
      <c r="D374" t="inlineStr">
        <is>
          <t>Max Damage Multiplier %</t>
        </is>
      </c>
      <c r="E374" t="n">
        <v>25</v>
      </c>
      <c r="F374" t="n">
        <v>4</v>
      </c>
      <c r="G374" t="b">
        <v>0</v>
      </c>
      <c r="H374">
        <f>Sensitivity!H14</f>
        <v/>
      </c>
    </row>
    <row r="375">
      <c r="A375" t="inlineStr">
        <is>
          <t>ALL</t>
        </is>
      </c>
      <c r="B375" t="inlineStr">
        <is>
          <t>mystic</t>
        </is>
      </c>
      <c r="C375" t="n">
        <v>1</v>
      </c>
      <c r="D375" t="inlineStr">
        <is>
          <t>Str %</t>
        </is>
      </c>
      <c r="E375" t="n">
        <v>15</v>
      </c>
      <c r="F375" t="n">
        <v>4.5</v>
      </c>
      <c r="G375" t="b">
        <v>0</v>
      </c>
      <c r="H375" t="inlineStr">
        <is>
          <t>0</t>
        </is>
      </c>
    </row>
    <row r="376">
      <c r="A376" t="inlineStr">
        <is>
          <t>ALL</t>
        </is>
      </c>
      <c r="B376" t="inlineStr">
        <is>
          <t>mystic</t>
        </is>
      </c>
      <c r="C376" t="n">
        <v>1</v>
      </c>
      <c r="D376" t="inlineStr">
        <is>
          <t>Dex %</t>
        </is>
      </c>
      <c r="E376" t="n">
        <v>15</v>
      </c>
      <c r="F376" t="n">
        <v>4.5</v>
      </c>
      <c r="G376" t="b">
        <v>0</v>
      </c>
      <c r="H376" t="inlineStr">
        <is>
          <t>0</t>
        </is>
      </c>
    </row>
    <row r="377">
      <c r="A377" t="inlineStr">
        <is>
          <t>ALL</t>
        </is>
      </c>
      <c r="B377" t="inlineStr">
        <is>
          <t>mystic</t>
        </is>
      </c>
      <c r="C377" t="n">
        <v>1</v>
      </c>
      <c r="D377" t="inlineStr">
        <is>
          <t>Int %</t>
        </is>
      </c>
      <c r="E377" t="n">
        <v>15</v>
      </c>
      <c r="F377" t="n">
        <v>4.5</v>
      </c>
      <c r="G377" t="b">
        <v>0</v>
      </c>
      <c r="H377" t="inlineStr">
        <is>
          <t>0</t>
        </is>
      </c>
    </row>
    <row r="378">
      <c r="A378" t="inlineStr">
        <is>
          <t>ALL</t>
        </is>
      </c>
      <c r="B378" t="inlineStr">
        <is>
          <t>mystic</t>
        </is>
      </c>
      <c r="C378" t="n">
        <v>1</v>
      </c>
      <c r="D378" t="inlineStr">
        <is>
          <t>Luk %</t>
        </is>
      </c>
      <c r="E378" t="n">
        <v>15</v>
      </c>
      <c r="F378" t="n">
        <v>4.5</v>
      </c>
      <c r="G378" t="b">
        <v>0</v>
      </c>
      <c r="H378">
        <f>Sensitivity!H6</f>
        <v/>
      </c>
    </row>
    <row r="379">
      <c r="A379" t="inlineStr">
        <is>
          <t>ALL</t>
        </is>
      </c>
      <c r="B379" t="inlineStr">
        <is>
          <t>mystic</t>
        </is>
      </c>
      <c r="C379" t="n">
        <v>1</v>
      </c>
      <c r="D379" t="inlineStr">
        <is>
          <t>Defense %</t>
        </is>
      </c>
      <c r="E379" t="n">
        <v>15</v>
      </c>
      <c r="F379" t="n">
        <v>9</v>
      </c>
      <c r="G379" t="b">
        <v>0</v>
      </c>
      <c r="H379" t="inlineStr">
        <is>
          <t>0</t>
        </is>
      </c>
    </row>
    <row r="380">
      <c r="A380" t="inlineStr">
        <is>
          <t>ALL</t>
        </is>
      </c>
      <c r="B380" t="inlineStr">
        <is>
          <t>mystic</t>
        </is>
      </c>
      <c r="C380" t="n">
        <v>1</v>
      </c>
      <c r="D380" t="inlineStr">
        <is>
          <t>Max HP %</t>
        </is>
      </c>
      <c r="E380" t="n">
        <v>25</v>
      </c>
      <c r="F380" t="n">
        <v>9</v>
      </c>
      <c r="G380" t="b">
        <v>0</v>
      </c>
      <c r="H380" t="inlineStr">
        <is>
          <t>0</t>
        </is>
      </c>
    </row>
    <row r="381">
      <c r="A381" t="inlineStr">
        <is>
          <t>ALL</t>
        </is>
      </c>
      <c r="B381" t="inlineStr">
        <is>
          <t>mystic</t>
        </is>
      </c>
      <c r="C381" t="n">
        <v>1</v>
      </c>
      <c r="D381" t="inlineStr">
        <is>
          <t>Max MP %</t>
        </is>
      </c>
      <c r="E381" t="n">
        <v>15</v>
      </c>
      <c r="F381" t="n">
        <v>9</v>
      </c>
      <c r="G381" t="b">
        <v>0</v>
      </c>
      <c r="H381" t="inlineStr">
        <is>
          <t>0</t>
        </is>
      </c>
    </row>
    <row r="382">
      <c r="A382" t="inlineStr">
        <is>
          <t>ALL</t>
        </is>
      </c>
      <c r="B382" t="inlineStr">
        <is>
          <t>mystic</t>
        </is>
      </c>
      <c r="C382" t="n">
        <v>1</v>
      </c>
      <c r="D382" t="inlineStr">
        <is>
          <t>Str</t>
        </is>
      </c>
      <c r="E382" t="n">
        <v>1000</v>
      </c>
      <c r="F382" t="n">
        <v>9.25</v>
      </c>
      <c r="G382" t="b">
        <v>0</v>
      </c>
      <c r="H382" t="inlineStr">
        <is>
          <t>0</t>
        </is>
      </c>
    </row>
    <row r="383">
      <c r="A383" t="inlineStr">
        <is>
          <t>ALL</t>
        </is>
      </c>
      <c r="B383" t="inlineStr">
        <is>
          <t>mystic</t>
        </is>
      </c>
      <c r="C383" t="n">
        <v>1</v>
      </c>
      <c r="D383" t="inlineStr">
        <is>
          <t>Dex</t>
        </is>
      </c>
      <c r="E383" t="n">
        <v>1000</v>
      </c>
      <c r="F383" t="n">
        <v>9.25</v>
      </c>
      <c r="G383" t="b">
        <v>0</v>
      </c>
      <c r="H383" t="inlineStr">
        <is>
          <t>0</t>
        </is>
      </c>
    </row>
    <row r="384">
      <c r="A384" t="inlineStr">
        <is>
          <t>ALL</t>
        </is>
      </c>
      <c r="B384" t="inlineStr">
        <is>
          <t>mystic</t>
        </is>
      </c>
      <c r="C384" t="n">
        <v>1</v>
      </c>
      <c r="D384" t="inlineStr">
        <is>
          <t>Int</t>
        </is>
      </c>
      <c r="E384" t="n">
        <v>1000</v>
      </c>
      <c r="F384" t="n">
        <v>9.25</v>
      </c>
      <c r="G384" t="b">
        <v>0</v>
      </c>
      <c r="H384" t="inlineStr">
        <is>
          <t>0</t>
        </is>
      </c>
    </row>
    <row r="385">
      <c r="A385" t="inlineStr">
        <is>
          <t>ALL</t>
        </is>
      </c>
      <c r="B385" t="inlineStr">
        <is>
          <t>mystic</t>
        </is>
      </c>
      <c r="C385" t="n">
        <v>1</v>
      </c>
      <c r="D385" t="inlineStr">
        <is>
          <t>Luk</t>
        </is>
      </c>
      <c r="E385" t="n">
        <v>1000</v>
      </c>
      <c r="F385" t="n">
        <v>9.25</v>
      </c>
      <c r="G385" t="b">
        <v>0</v>
      </c>
      <c r="H385">
        <f>Sensitivity!H5</f>
        <v/>
      </c>
    </row>
    <row r="386">
      <c r="A386" t="inlineStr">
        <is>
          <t>ALL</t>
        </is>
      </c>
      <c r="B386" t="inlineStr">
        <is>
          <t>mystic</t>
        </is>
      </c>
      <c r="C386" t="n">
        <v>2</v>
      </c>
      <c r="D386" t="inlineStr">
        <is>
          <t>Critical Rate %</t>
        </is>
      </c>
      <c r="E386" t="n">
        <v>12</v>
      </c>
      <c r="F386" t="n">
        <v>1.9</v>
      </c>
      <c r="G386" t="b">
        <v>0</v>
      </c>
      <c r="H386">
        <f>IF(Inputs!$B$8&gt;=100,Sensitivity!H16,Sensitivity!H15)</f>
        <v/>
      </c>
    </row>
    <row r="387">
      <c r="A387" t="inlineStr">
        <is>
          <t>ALL</t>
        </is>
      </c>
      <c r="B387" t="inlineStr">
        <is>
          <t>mystic</t>
        </is>
      </c>
      <c r="C387" t="n">
        <v>2</v>
      </c>
      <c r="D387" t="inlineStr">
        <is>
          <t>Critical Rate %</t>
        </is>
      </c>
      <c r="E387" t="n">
        <v>15</v>
      </c>
      <c r="F387" t="n">
        <v>0.6</v>
      </c>
      <c r="G387" t="b">
        <v>1</v>
      </c>
      <c r="H387">
        <f>IF(Inputs!$B$8&gt;=100,Sensitivity!H16,Sensitivity!H15)</f>
        <v/>
      </c>
    </row>
    <row r="388">
      <c r="A388" t="inlineStr">
        <is>
          <t>ALL</t>
        </is>
      </c>
      <c r="B388" t="inlineStr">
        <is>
          <t>mystic</t>
        </is>
      </c>
      <c r="C388" t="n">
        <v>2</v>
      </c>
      <c r="D388" t="inlineStr">
        <is>
          <t>Attack Speed %</t>
        </is>
      </c>
      <c r="E388" t="n">
        <v>7</v>
      </c>
      <c r="F388" t="n">
        <v>1.9</v>
      </c>
      <c r="G388" t="b">
        <v>0</v>
      </c>
      <c r="H388">
        <f>Sensitivity!H17</f>
        <v/>
      </c>
    </row>
    <row r="389">
      <c r="A389" t="inlineStr">
        <is>
          <t>ALL</t>
        </is>
      </c>
      <c r="B389" t="inlineStr">
        <is>
          <t>mystic</t>
        </is>
      </c>
      <c r="C389" t="n">
        <v>2</v>
      </c>
      <c r="D389" t="inlineStr">
        <is>
          <t>Attack Speed %</t>
        </is>
      </c>
      <c r="E389" t="n">
        <v>10</v>
      </c>
      <c r="F389" t="n">
        <v>0.6</v>
      </c>
      <c r="G389" t="b">
        <v>1</v>
      </c>
      <c r="H389">
        <f>Sensitivity!H17</f>
        <v/>
      </c>
    </row>
    <row r="390">
      <c r="A390" t="inlineStr">
        <is>
          <t>ALL</t>
        </is>
      </c>
      <c r="B390" t="inlineStr">
        <is>
          <t>mystic</t>
        </is>
      </c>
      <c r="C390" t="n">
        <v>2</v>
      </c>
      <c r="D390" t="inlineStr">
        <is>
          <t>Damage %</t>
        </is>
      </c>
      <c r="E390" t="n">
        <v>25</v>
      </c>
      <c r="F390" t="n">
        <v>3.04</v>
      </c>
      <c r="G390" t="b">
        <v>0</v>
      </c>
      <c r="H390">
        <f>Sensitivity!H8</f>
        <v/>
      </c>
    </row>
    <row r="391">
      <c r="A391" t="inlineStr">
        <is>
          <t>ALL</t>
        </is>
      </c>
      <c r="B391" t="inlineStr">
        <is>
          <t>mystic</t>
        </is>
      </c>
      <c r="C391" t="n">
        <v>2</v>
      </c>
      <c r="D391" t="inlineStr">
        <is>
          <t>Damage %</t>
        </is>
      </c>
      <c r="E391" t="n">
        <v>35</v>
      </c>
      <c r="F391" t="n">
        <v>0.96</v>
      </c>
      <c r="G391" t="b">
        <v>1</v>
      </c>
      <c r="H391">
        <f>Sensitivity!H8</f>
        <v/>
      </c>
    </row>
    <row r="392">
      <c r="A392" t="inlineStr">
        <is>
          <t>ALL</t>
        </is>
      </c>
      <c r="B392" t="inlineStr">
        <is>
          <t>mystic</t>
        </is>
      </c>
      <c r="C392" t="n">
        <v>2</v>
      </c>
      <c r="D392" t="inlineStr">
        <is>
          <t>Min Damage Multiplier %</t>
        </is>
      </c>
      <c r="E392" t="n">
        <v>15</v>
      </c>
      <c r="F392" t="n">
        <v>3.04</v>
      </c>
      <c r="G392" t="b">
        <v>0</v>
      </c>
      <c r="H392">
        <f>Sensitivity!H13</f>
        <v/>
      </c>
    </row>
    <row r="393">
      <c r="A393" t="inlineStr">
        <is>
          <t>ALL</t>
        </is>
      </c>
      <c r="B393" t="inlineStr">
        <is>
          <t>mystic</t>
        </is>
      </c>
      <c r="C393" t="n">
        <v>2</v>
      </c>
      <c r="D393" t="inlineStr">
        <is>
          <t>Min Damage Multiplier %</t>
        </is>
      </c>
      <c r="E393" t="n">
        <v>25</v>
      </c>
      <c r="F393" t="n">
        <v>0.96</v>
      </c>
      <c r="G393" t="b">
        <v>1</v>
      </c>
      <c r="H393">
        <f>Sensitivity!H13</f>
        <v/>
      </c>
    </row>
    <row r="394">
      <c r="A394" t="inlineStr">
        <is>
          <t>ALL</t>
        </is>
      </c>
      <c r="B394" t="inlineStr">
        <is>
          <t>mystic</t>
        </is>
      </c>
      <c r="C394" t="n">
        <v>2</v>
      </c>
      <c r="D394" t="inlineStr">
        <is>
          <t>Max Damage Multiplier %</t>
        </is>
      </c>
      <c r="E394" t="n">
        <v>15</v>
      </c>
      <c r="F394" t="n">
        <v>3.04</v>
      </c>
      <c r="G394" t="b">
        <v>0</v>
      </c>
      <c r="H394">
        <f>Sensitivity!H14</f>
        <v/>
      </c>
    </row>
    <row r="395">
      <c r="A395" t="inlineStr">
        <is>
          <t>ALL</t>
        </is>
      </c>
      <c r="B395" t="inlineStr">
        <is>
          <t>mystic</t>
        </is>
      </c>
      <c r="C395" t="n">
        <v>2</v>
      </c>
      <c r="D395" t="inlineStr">
        <is>
          <t>Max Damage Multiplier %</t>
        </is>
      </c>
      <c r="E395" t="n">
        <v>25</v>
      </c>
      <c r="F395" t="n">
        <v>0.96</v>
      </c>
      <c r="G395" t="b">
        <v>1</v>
      </c>
      <c r="H395">
        <f>Sensitivity!H14</f>
        <v/>
      </c>
    </row>
    <row r="396">
      <c r="A396" t="inlineStr">
        <is>
          <t>ALL</t>
        </is>
      </c>
      <c r="B396" t="inlineStr">
        <is>
          <t>mystic</t>
        </is>
      </c>
      <c r="C396" t="n">
        <v>2</v>
      </c>
      <c r="D396" t="inlineStr">
        <is>
          <t>Str %</t>
        </is>
      </c>
      <c r="E396" t="n">
        <v>12</v>
      </c>
      <c r="F396" t="n">
        <v>3.42</v>
      </c>
      <c r="G396" t="b">
        <v>0</v>
      </c>
      <c r="H396" t="inlineStr">
        <is>
          <t>0</t>
        </is>
      </c>
    </row>
    <row r="397">
      <c r="A397" t="inlineStr">
        <is>
          <t>ALL</t>
        </is>
      </c>
      <c r="B397" t="inlineStr">
        <is>
          <t>mystic</t>
        </is>
      </c>
      <c r="C397" t="n">
        <v>2</v>
      </c>
      <c r="D397" t="inlineStr">
        <is>
          <t>Str %</t>
        </is>
      </c>
      <c r="E397" t="n">
        <v>15</v>
      </c>
      <c r="F397" t="n">
        <v>1.08</v>
      </c>
      <c r="G397" t="b">
        <v>1</v>
      </c>
      <c r="H397" t="inlineStr">
        <is>
          <t>0</t>
        </is>
      </c>
    </row>
    <row r="398">
      <c r="A398" t="inlineStr">
        <is>
          <t>ALL</t>
        </is>
      </c>
      <c r="B398" t="inlineStr">
        <is>
          <t>mystic</t>
        </is>
      </c>
      <c r="C398" t="n">
        <v>2</v>
      </c>
      <c r="D398" t="inlineStr">
        <is>
          <t>Dex %</t>
        </is>
      </c>
      <c r="E398" t="n">
        <v>12</v>
      </c>
      <c r="F398" t="n">
        <v>3.42</v>
      </c>
      <c r="G398" t="b">
        <v>0</v>
      </c>
      <c r="H398" t="inlineStr">
        <is>
          <t>0</t>
        </is>
      </c>
    </row>
    <row r="399">
      <c r="A399" t="inlineStr">
        <is>
          <t>ALL</t>
        </is>
      </c>
      <c r="B399" t="inlineStr">
        <is>
          <t>mystic</t>
        </is>
      </c>
      <c r="C399" t="n">
        <v>2</v>
      </c>
      <c r="D399" t="inlineStr">
        <is>
          <t>Dex %</t>
        </is>
      </c>
      <c r="E399" t="n">
        <v>15</v>
      </c>
      <c r="F399" t="n">
        <v>1.08</v>
      </c>
      <c r="G399" t="b">
        <v>1</v>
      </c>
      <c r="H399" t="inlineStr">
        <is>
          <t>0</t>
        </is>
      </c>
    </row>
    <row r="400">
      <c r="A400" t="inlineStr">
        <is>
          <t>ALL</t>
        </is>
      </c>
      <c r="B400" t="inlineStr">
        <is>
          <t>mystic</t>
        </is>
      </c>
      <c r="C400" t="n">
        <v>2</v>
      </c>
      <c r="D400" t="inlineStr">
        <is>
          <t>Int %</t>
        </is>
      </c>
      <c r="E400" t="n">
        <v>12</v>
      </c>
      <c r="F400" t="n">
        <v>3.42</v>
      </c>
      <c r="G400" t="b">
        <v>0</v>
      </c>
      <c r="H400" t="inlineStr">
        <is>
          <t>0</t>
        </is>
      </c>
    </row>
    <row r="401">
      <c r="A401" t="inlineStr">
        <is>
          <t>ALL</t>
        </is>
      </c>
      <c r="B401" t="inlineStr">
        <is>
          <t>mystic</t>
        </is>
      </c>
      <c r="C401" t="n">
        <v>2</v>
      </c>
      <c r="D401" t="inlineStr">
        <is>
          <t>Int %</t>
        </is>
      </c>
      <c r="E401" t="n">
        <v>15</v>
      </c>
      <c r="F401" t="n">
        <v>1.08</v>
      </c>
      <c r="G401" t="b">
        <v>1</v>
      </c>
      <c r="H401" t="inlineStr">
        <is>
          <t>0</t>
        </is>
      </c>
    </row>
    <row r="402">
      <c r="A402" t="inlineStr">
        <is>
          <t>ALL</t>
        </is>
      </c>
      <c r="B402" t="inlineStr">
        <is>
          <t>mystic</t>
        </is>
      </c>
      <c r="C402" t="n">
        <v>2</v>
      </c>
      <c r="D402" t="inlineStr">
        <is>
          <t>Luk %</t>
        </is>
      </c>
      <c r="E402" t="n">
        <v>12</v>
      </c>
      <c r="F402" t="n">
        <v>3.42</v>
      </c>
      <c r="G402" t="b">
        <v>0</v>
      </c>
      <c r="H402">
        <f>Sensitivity!H6</f>
        <v/>
      </c>
    </row>
    <row r="403">
      <c r="A403" t="inlineStr">
        <is>
          <t>ALL</t>
        </is>
      </c>
      <c r="B403" t="inlineStr">
        <is>
          <t>mystic</t>
        </is>
      </c>
      <c r="C403" t="n">
        <v>2</v>
      </c>
      <c r="D403" t="inlineStr">
        <is>
          <t>Luk %</t>
        </is>
      </c>
      <c r="E403" t="n">
        <v>15</v>
      </c>
      <c r="F403" t="n">
        <v>1.08</v>
      </c>
      <c r="G403" t="b">
        <v>1</v>
      </c>
      <c r="H403">
        <f>Sensitivity!H6</f>
        <v/>
      </c>
    </row>
    <row r="404">
      <c r="A404" t="inlineStr">
        <is>
          <t>ALL</t>
        </is>
      </c>
      <c r="B404" t="inlineStr">
        <is>
          <t>mystic</t>
        </is>
      </c>
      <c r="C404" t="n">
        <v>2</v>
      </c>
      <c r="D404" t="inlineStr">
        <is>
          <t>Defense %</t>
        </is>
      </c>
      <c r="E404" t="n">
        <v>12</v>
      </c>
      <c r="F404" t="n">
        <v>6.84</v>
      </c>
      <c r="G404" t="b">
        <v>0</v>
      </c>
      <c r="H404" t="inlineStr">
        <is>
          <t>0</t>
        </is>
      </c>
    </row>
    <row r="405">
      <c r="A405" t="inlineStr">
        <is>
          <t>ALL</t>
        </is>
      </c>
      <c r="B405" t="inlineStr">
        <is>
          <t>mystic</t>
        </is>
      </c>
      <c r="C405" t="n">
        <v>2</v>
      </c>
      <c r="D405" t="inlineStr">
        <is>
          <t>Defense %</t>
        </is>
      </c>
      <c r="E405" t="n">
        <v>15</v>
      </c>
      <c r="F405" t="n">
        <v>2.16</v>
      </c>
      <c r="G405" t="b">
        <v>1</v>
      </c>
      <c r="H405" t="inlineStr">
        <is>
          <t>0</t>
        </is>
      </c>
    </row>
    <row r="406">
      <c r="A406" t="inlineStr">
        <is>
          <t>ALL</t>
        </is>
      </c>
      <c r="B406" t="inlineStr">
        <is>
          <t>mystic</t>
        </is>
      </c>
      <c r="C406" t="n">
        <v>2</v>
      </c>
      <c r="D406" t="inlineStr">
        <is>
          <t>Max HP %</t>
        </is>
      </c>
      <c r="E406" t="n">
        <v>20</v>
      </c>
      <c r="F406" t="n">
        <v>6.84</v>
      </c>
      <c r="G406" t="b">
        <v>0</v>
      </c>
      <c r="H406" t="inlineStr">
        <is>
          <t>0</t>
        </is>
      </c>
    </row>
    <row r="407">
      <c r="A407" t="inlineStr">
        <is>
          <t>ALL</t>
        </is>
      </c>
      <c r="B407" t="inlineStr">
        <is>
          <t>mystic</t>
        </is>
      </c>
      <c r="C407" t="n">
        <v>2</v>
      </c>
      <c r="D407" t="inlineStr">
        <is>
          <t>Max HP %</t>
        </is>
      </c>
      <c r="E407" t="n">
        <v>25</v>
      </c>
      <c r="F407" t="n">
        <v>2.16</v>
      </c>
      <c r="G407" t="b">
        <v>1</v>
      </c>
      <c r="H407" t="inlineStr">
        <is>
          <t>0</t>
        </is>
      </c>
    </row>
    <row r="408">
      <c r="A408" t="inlineStr">
        <is>
          <t>ALL</t>
        </is>
      </c>
      <c r="B408" t="inlineStr">
        <is>
          <t>mystic</t>
        </is>
      </c>
      <c r="C408" t="n">
        <v>2</v>
      </c>
      <c r="D408" t="inlineStr">
        <is>
          <t>Max MP %</t>
        </is>
      </c>
      <c r="E408" t="n">
        <v>12</v>
      </c>
      <c r="F408" t="n">
        <v>6.84</v>
      </c>
      <c r="G408" t="b">
        <v>0</v>
      </c>
      <c r="H408" t="inlineStr">
        <is>
          <t>0</t>
        </is>
      </c>
    </row>
    <row r="409">
      <c r="A409" t="inlineStr">
        <is>
          <t>ALL</t>
        </is>
      </c>
      <c r="B409" t="inlineStr">
        <is>
          <t>mystic</t>
        </is>
      </c>
      <c r="C409" t="n">
        <v>2</v>
      </c>
      <c r="D409" t="inlineStr">
        <is>
          <t>Max MP %</t>
        </is>
      </c>
      <c r="E409" t="n">
        <v>15</v>
      </c>
      <c r="F409" t="n">
        <v>2.16</v>
      </c>
      <c r="G409" t="b">
        <v>1</v>
      </c>
      <c r="H409" t="inlineStr">
        <is>
          <t>0</t>
        </is>
      </c>
    </row>
    <row r="410">
      <c r="A410" t="inlineStr">
        <is>
          <t>ALL</t>
        </is>
      </c>
      <c r="B410" t="inlineStr">
        <is>
          <t>mystic</t>
        </is>
      </c>
      <c r="C410" t="n">
        <v>2</v>
      </c>
      <c r="D410" t="inlineStr">
        <is>
          <t>Str</t>
        </is>
      </c>
      <c r="E410" t="n">
        <v>600</v>
      </c>
      <c r="F410" t="n">
        <v>7.03</v>
      </c>
      <c r="G410" t="b">
        <v>0</v>
      </c>
      <c r="H410" t="inlineStr">
        <is>
          <t>0</t>
        </is>
      </c>
    </row>
    <row r="411">
      <c r="A411" t="inlineStr">
        <is>
          <t>ALL</t>
        </is>
      </c>
      <c r="B411" t="inlineStr">
        <is>
          <t>mystic</t>
        </is>
      </c>
      <c r="C411" t="n">
        <v>2</v>
      </c>
      <c r="D411" t="inlineStr">
        <is>
          <t>Str</t>
        </is>
      </c>
      <c r="E411" t="n">
        <v>1000</v>
      </c>
      <c r="F411" t="n">
        <v>2.22</v>
      </c>
      <c r="G411" t="b">
        <v>1</v>
      </c>
      <c r="H411" t="inlineStr">
        <is>
          <t>0</t>
        </is>
      </c>
    </row>
    <row r="412">
      <c r="A412" t="inlineStr">
        <is>
          <t>ALL</t>
        </is>
      </c>
      <c r="B412" t="inlineStr">
        <is>
          <t>mystic</t>
        </is>
      </c>
      <c r="C412" t="n">
        <v>2</v>
      </c>
      <c r="D412" t="inlineStr">
        <is>
          <t>Dex</t>
        </is>
      </c>
      <c r="E412" t="n">
        <v>600</v>
      </c>
      <c r="F412" t="n">
        <v>7.03</v>
      </c>
      <c r="G412" t="b">
        <v>0</v>
      </c>
      <c r="H412" t="inlineStr">
        <is>
          <t>0</t>
        </is>
      </c>
    </row>
    <row r="413">
      <c r="A413" t="inlineStr">
        <is>
          <t>ALL</t>
        </is>
      </c>
      <c r="B413" t="inlineStr">
        <is>
          <t>mystic</t>
        </is>
      </c>
      <c r="C413" t="n">
        <v>2</v>
      </c>
      <c r="D413" t="inlineStr">
        <is>
          <t>Dex</t>
        </is>
      </c>
      <c r="E413" t="n">
        <v>1000</v>
      </c>
      <c r="F413" t="n">
        <v>2.22</v>
      </c>
      <c r="G413" t="b">
        <v>1</v>
      </c>
      <c r="H413" t="inlineStr">
        <is>
          <t>0</t>
        </is>
      </c>
    </row>
    <row r="414">
      <c r="A414" t="inlineStr">
        <is>
          <t>ALL</t>
        </is>
      </c>
      <c r="B414" t="inlineStr">
        <is>
          <t>mystic</t>
        </is>
      </c>
      <c r="C414" t="n">
        <v>2</v>
      </c>
      <c r="D414" t="inlineStr">
        <is>
          <t>Int</t>
        </is>
      </c>
      <c r="E414" t="n">
        <v>600</v>
      </c>
      <c r="F414" t="n">
        <v>7.03</v>
      </c>
      <c r="G414" t="b">
        <v>0</v>
      </c>
      <c r="H414" t="inlineStr">
        <is>
          <t>0</t>
        </is>
      </c>
    </row>
    <row r="415">
      <c r="A415" t="inlineStr">
        <is>
          <t>ALL</t>
        </is>
      </c>
      <c r="B415" t="inlineStr">
        <is>
          <t>mystic</t>
        </is>
      </c>
      <c r="C415" t="n">
        <v>2</v>
      </c>
      <c r="D415" t="inlineStr">
        <is>
          <t>Int</t>
        </is>
      </c>
      <c r="E415" t="n">
        <v>1000</v>
      </c>
      <c r="F415" t="n">
        <v>2.22</v>
      </c>
      <c r="G415" t="b">
        <v>1</v>
      </c>
      <c r="H415" t="inlineStr">
        <is>
          <t>0</t>
        </is>
      </c>
    </row>
    <row r="416">
      <c r="A416" t="inlineStr">
        <is>
          <t>ALL</t>
        </is>
      </c>
      <c r="B416" t="inlineStr">
        <is>
          <t>mystic</t>
        </is>
      </c>
      <c r="C416" t="n">
        <v>2</v>
      </c>
      <c r="D416" t="inlineStr">
        <is>
          <t>Luk</t>
        </is>
      </c>
      <c r="E416" t="n">
        <v>600</v>
      </c>
      <c r="F416" t="n">
        <v>7.03</v>
      </c>
      <c r="G416" t="b">
        <v>0</v>
      </c>
      <c r="H416">
        <f>Sensitivity!H5</f>
        <v/>
      </c>
    </row>
    <row r="417">
      <c r="A417" t="inlineStr">
        <is>
          <t>ALL</t>
        </is>
      </c>
      <c r="B417" t="inlineStr">
        <is>
          <t>mystic</t>
        </is>
      </c>
      <c r="C417" t="n">
        <v>2</v>
      </c>
      <c r="D417" t="inlineStr">
        <is>
          <t>Luk</t>
        </is>
      </c>
      <c r="E417" t="n">
        <v>1000</v>
      </c>
      <c r="F417" t="n">
        <v>2.22</v>
      </c>
      <c r="G417" t="b">
        <v>1</v>
      </c>
      <c r="H417">
        <f>Sensitivity!H5</f>
        <v/>
      </c>
    </row>
    <row r="418">
      <c r="A418" t="inlineStr">
        <is>
          <t>ALL</t>
        </is>
      </c>
      <c r="B418" t="inlineStr">
        <is>
          <t>mystic</t>
        </is>
      </c>
      <c r="C418" t="n">
        <v>3</v>
      </c>
      <c r="D418" t="inlineStr">
        <is>
          <t>Critical Rate %</t>
        </is>
      </c>
      <c r="E418" t="n">
        <v>12</v>
      </c>
      <c r="F418" t="n">
        <v>2.3</v>
      </c>
      <c r="G418" t="b">
        <v>0</v>
      </c>
      <c r="H418">
        <f>IF(Inputs!$B$8&gt;=100,Sensitivity!H16,Sensitivity!H15)</f>
        <v/>
      </c>
    </row>
    <row r="419">
      <c r="A419" t="inlineStr">
        <is>
          <t>ALL</t>
        </is>
      </c>
      <c r="B419" t="inlineStr">
        <is>
          <t>mystic</t>
        </is>
      </c>
      <c r="C419" t="n">
        <v>3</v>
      </c>
      <c r="D419" t="inlineStr">
        <is>
          <t>Critical Rate %</t>
        </is>
      </c>
      <c r="E419" t="n">
        <v>15</v>
      </c>
      <c r="F419" t="n">
        <v>0.2</v>
      </c>
      <c r="G419" t="b">
        <v>1</v>
      </c>
      <c r="H419">
        <f>IF(Inputs!$B$8&gt;=100,Sensitivity!H16,Sensitivity!H15)</f>
        <v/>
      </c>
    </row>
    <row r="420">
      <c r="A420" t="inlineStr">
        <is>
          <t>ALL</t>
        </is>
      </c>
      <c r="B420" t="inlineStr">
        <is>
          <t>mystic</t>
        </is>
      </c>
      <c r="C420" t="n">
        <v>3</v>
      </c>
      <c r="D420" t="inlineStr">
        <is>
          <t>Attack Speed %</t>
        </is>
      </c>
      <c r="E420" t="n">
        <v>7</v>
      </c>
      <c r="F420" t="n">
        <v>2.3</v>
      </c>
      <c r="G420" t="b">
        <v>0</v>
      </c>
      <c r="H420">
        <f>Sensitivity!H17</f>
        <v/>
      </c>
    </row>
    <row r="421">
      <c r="A421" t="inlineStr">
        <is>
          <t>ALL</t>
        </is>
      </c>
      <c r="B421" t="inlineStr">
        <is>
          <t>mystic</t>
        </is>
      </c>
      <c r="C421" t="n">
        <v>3</v>
      </c>
      <c r="D421" t="inlineStr">
        <is>
          <t>Attack Speed %</t>
        </is>
      </c>
      <c r="E421" t="n">
        <v>10</v>
      </c>
      <c r="F421" t="n">
        <v>0.2</v>
      </c>
      <c r="G421" t="b">
        <v>1</v>
      </c>
      <c r="H421">
        <f>Sensitivity!H17</f>
        <v/>
      </c>
    </row>
    <row r="422">
      <c r="A422" t="inlineStr">
        <is>
          <t>ALL</t>
        </is>
      </c>
      <c r="B422" t="inlineStr">
        <is>
          <t>mystic</t>
        </is>
      </c>
      <c r="C422" t="n">
        <v>3</v>
      </c>
      <c r="D422" t="inlineStr">
        <is>
          <t>Damage %</t>
        </is>
      </c>
      <c r="E422" t="n">
        <v>25</v>
      </c>
      <c r="F422" t="n">
        <v>3.68</v>
      </c>
      <c r="G422" t="b">
        <v>0</v>
      </c>
      <c r="H422">
        <f>Sensitivity!H8</f>
        <v/>
      </c>
    </row>
    <row r="423">
      <c r="A423" t="inlineStr">
        <is>
          <t>ALL</t>
        </is>
      </c>
      <c r="B423" t="inlineStr">
        <is>
          <t>mystic</t>
        </is>
      </c>
      <c r="C423" t="n">
        <v>3</v>
      </c>
      <c r="D423" t="inlineStr">
        <is>
          <t>Damage %</t>
        </is>
      </c>
      <c r="E423" t="n">
        <v>35</v>
      </c>
      <c r="F423" t="n">
        <v>0.32</v>
      </c>
      <c r="G423" t="b">
        <v>1</v>
      </c>
      <c r="H423">
        <f>Sensitivity!H8</f>
        <v/>
      </c>
    </row>
    <row r="424">
      <c r="A424" t="inlineStr">
        <is>
          <t>ALL</t>
        </is>
      </c>
      <c r="B424" t="inlineStr">
        <is>
          <t>mystic</t>
        </is>
      </c>
      <c r="C424" t="n">
        <v>3</v>
      </c>
      <c r="D424" t="inlineStr">
        <is>
          <t>Min Damage Multiplier %</t>
        </is>
      </c>
      <c r="E424" t="n">
        <v>15</v>
      </c>
      <c r="F424" t="n">
        <v>3.68</v>
      </c>
      <c r="G424" t="b">
        <v>0</v>
      </c>
      <c r="H424">
        <f>Sensitivity!H13</f>
        <v/>
      </c>
    </row>
    <row r="425">
      <c r="A425" t="inlineStr">
        <is>
          <t>ALL</t>
        </is>
      </c>
      <c r="B425" t="inlineStr">
        <is>
          <t>mystic</t>
        </is>
      </c>
      <c r="C425" t="n">
        <v>3</v>
      </c>
      <c r="D425" t="inlineStr">
        <is>
          <t>Min Damage Multiplier %</t>
        </is>
      </c>
      <c r="E425" t="n">
        <v>25</v>
      </c>
      <c r="F425" t="n">
        <v>0.32</v>
      </c>
      <c r="G425" t="b">
        <v>1</v>
      </c>
      <c r="H425">
        <f>Sensitivity!H13</f>
        <v/>
      </c>
    </row>
    <row r="426">
      <c r="A426" t="inlineStr">
        <is>
          <t>ALL</t>
        </is>
      </c>
      <c r="B426" t="inlineStr">
        <is>
          <t>mystic</t>
        </is>
      </c>
      <c r="C426" t="n">
        <v>3</v>
      </c>
      <c r="D426" t="inlineStr">
        <is>
          <t>Max Damage Multiplier %</t>
        </is>
      </c>
      <c r="E426" t="n">
        <v>15</v>
      </c>
      <c r="F426" t="n">
        <v>3.68</v>
      </c>
      <c r="G426" t="b">
        <v>0</v>
      </c>
      <c r="H426">
        <f>Sensitivity!H14</f>
        <v/>
      </c>
    </row>
    <row r="427">
      <c r="A427" t="inlineStr">
        <is>
          <t>ALL</t>
        </is>
      </c>
      <c r="B427" t="inlineStr">
        <is>
          <t>mystic</t>
        </is>
      </c>
      <c r="C427" t="n">
        <v>3</v>
      </c>
      <c r="D427" t="inlineStr">
        <is>
          <t>Max Damage Multiplier %</t>
        </is>
      </c>
      <c r="E427" t="n">
        <v>25</v>
      </c>
      <c r="F427" t="n">
        <v>0.32</v>
      </c>
      <c r="G427" t="b">
        <v>1</v>
      </c>
      <c r="H427">
        <f>Sensitivity!H14</f>
        <v/>
      </c>
    </row>
    <row r="428">
      <c r="A428" t="inlineStr">
        <is>
          <t>ALL</t>
        </is>
      </c>
      <c r="B428" t="inlineStr">
        <is>
          <t>mystic</t>
        </is>
      </c>
      <c r="C428" t="n">
        <v>3</v>
      </c>
      <c r="D428" t="inlineStr">
        <is>
          <t>Str %</t>
        </is>
      </c>
      <c r="E428" t="n">
        <v>12</v>
      </c>
      <c r="F428" t="n">
        <v>4.14</v>
      </c>
      <c r="G428" t="b">
        <v>0</v>
      </c>
      <c r="H428" t="inlineStr">
        <is>
          <t>0</t>
        </is>
      </c>
    </row>
    <row r="429">
      <c r="A429" t="inlineStr">
        <is>
          <t>ALL</t>
        </is>
      </c>
      <c r="B429" t="inlineStr">
        <is>
          <t>mystic</t>
        </is>
      </c>
      <c r="C429" t="n">
        <v>3</v>
      </c>
      <c r="D429" t="inlineStr">
        <is>
          <t>Str %</t>
        </is>
      </c>
      <c r="E429" t="n">
        <v>15</v>
      </c>
      <c r="F429" t="n">
        <v>0.36</v>
      </c>
      <c r="G429" t="b">
        <v>1</v>
      </c>
      <c r="H429" t="inlineStr">
        <is>
          <t>0</t>
        </is>
      </c>
    </row>
    <row r="430">
      <c r="A430" t="inlineStr">
        <is>
          <t>ALL</t>
        </is>
      </c>
      <c r="B430" t="inlineStr">
        <is>
          <t>mystic</t>
        </is>
      </c>
      <c r="C430" t="n">
        <v>3</v>
      </c>
      <c r="D430" t="inlineStr">
        <is>
          <t>Dex %</t>
        </is>
      </c>
      <c r="E430" t="n">
        <v>12</v>
      </c>
      <c r="F430" t="n">
        <v>4.14</v>
      </c>
      <c r="G430" t="b">
        <v>0</v>
      </c>
      <c r="H430" t="inlineStr">
        <is>
          <t>0</t>
        </is>
      </c>
    </row>
    <row r="431">
      <c r="A431" t="inlineStr">
        <is>
          <t>ALL</t>
        </is>
      </c>
      <c r="B431" t="inlineStr">
        <is>
          <t>mystic</t>
        </is>
      </c>
      <c r="C431" t="n">
        <v>3</v>
      </c>
      <c r="D431" t="inlineStr">
        <is>
          <t>Dex %</t>
        </is>
      </c>
      <c r="E431" t="n">
        <v>15</v>
      </c>
      <c r="F431" t="n">
        <v>0.36</v>
      </c>
      <c r="G431" t="b">
        <v>1</v>
      </c>
      <c r="H431" t="inlineStr">
        <is>
          <t>0</t>
        </is>
      </c>
    </row>
    <row r="432">
      <c r="A432" t="inlineStr">
        <is>
          <t>ALL</t>
        </is>
      </c>
      <c r="B432" t="inlineStr">
        <is>
          <t>mystic</t>
        </is>
      </c>
      <c r="C432" t="n">
        <v>3</v>
      </c>
      <c r="D432" t="inlineStr">
        <is>
          <t>Int %</t>
        </is>
      </c>
      <c r="E432" t="n">
        <v>12</v>
      </c>
      <c r="F432" t="n">
        <v>4.14</v>
      </c>
      <c r="G432" t="b">
        <v>0</v>
      </c>
      <c r="H432" t="inlineStr">
        <is>
          <t>0</t>
        </is>
      </c>
    </row>
    <row r="433">
      <c r="A433" t="inlineStr">
        <is>
          <t>ALL</t>
        </is>
      </c>
      <c r="B433" t="inlineStr">
        <is>
          <t>mystic</t>
        </is>
      </c>
      <c r="C433" t="n">
        <v>3</v>
      </c>
      <c r="D433" t="inlineStr">
        <is>
          <t>Int %</t>
        </is>
      </c>
      <c r="E433" t="n">
        <v>15</v>
      </c>
      <c r="F433" t="n">
        <v>0.36</v>
      </c>
      <c r="G433" t="b">
        <v>1</v>
      </c>
      <c r="H433" t="inlineStr">
        <is>
          <t>0</t>
        </is>
      </c>
    </row>
    <row r="434">
      <c r="A434" t="inlineStr">
        <is>
          <t>ALL</t>
        </is>
      </c>
      <c r="B434" t="inlineStr">
        <is>
          <t>mystic</t>
        </is>
      </c>
      <c r="C434" t="n">
        <v>3</v>
      </c>
      <c r="D434" t="inlineStr">
        <is>
          <t>Luk %</t>
        </is>
      </c>
      <c r="E434" t="n">
        <v>12</v>
      </c>
      <c r="F434" t="n">
        <v>4.14</v>
      </c>
      <c r="G434" t="b">
        <v>0</v>
      </c>
      <c r="H434">
        <f>Sensitivity!H6</f>
        <v/>
      </c>
    </row>
    <row r="435">
      <c r="A435" t="inlineStr">
        <is>
          <t>ALL</t>
        </is>
      </c>
      <c r="B435" t="inlineStr">
        <is>
          <t>mystic</t>
        </is>
      </c>
      <c r="C435" t="n">
        <v>3</v>
      </c>
      <c r="D435" t="inlineStr">
        <is>
          <t>Luk %</t>
        </is>
      </c>
      <c r="E435" t="n">
        <v>15</v>
      </c>
      <c r="F435" t="n">
        <v>0.36</v>
      </c>
      <c r="G435" t="b">
        <v>1</v>
      </c>
      <c r="H435">
        <f>Sensitivity!H6</f>
        <v/>
      </c>
    </row>
    <row r="436">
      <c r="A436" t="inlineStr">
        <is>
          <t>ALL</t>
        </is>
      </c>
      <c r="B436" t="inlineStr">
        <is>
          <t>mystic</t>
        </is>
      </c>
      <c r="C436" t="n">
        <v>3</v>
      </c>
      <c r="D436" t="inlineStr">
        <is>
          <t>Defense %</t>
        </is>
      </c>
      <c r="E436" t="n">
        <v>12</v>
      </c>
      <c r="F436" t="n">
        <v>8.279999999999999</v>
      </c>
      <c r="G436" t="b">
        <v>0</v>
      </c>
      <c r="H436" t="inlineStr">
        <is>
          <t>0</t>
        </is>
      </c>
    </row>
    <row r="437">
      <c r="A437" t="inlineStr">
        <is>
          <t>ALL</t>
        </is>
      </c>
      <c r="B437" t="inlineStr">
        <is>
          <t>mystic</t>
        </is>
      </c>
      <c r="C437" t="n">
        <v>3</v>
      </c>
      <c r="D437" t="inlineStr">
        <is>
          <t>Defense %</t>
        </is>
      </c>
      <c r="E437" t="n">
        <v>15</v>
      </c>
      <c r="F437" t="n">
        <v>0.72</v>
      </c>
      <c r="G437" t="b">
        <v>1</v>
      </c>
      <c r="H437" t="inlineStr">
        <is>
          <t>0</t>
        </is>
      </c>
    </row>
    <row r="438">
      <c r="A438" t="inlineStr">
        <is>
          <t>ALL</t>
        </is>
      </c>
      <c r="B438" t="inlineStr">
        <is>
          <t>mystic</t>
        </is>
      </c>
      <c r="C438" t="n">
        <v>3</v>
      </c>
      <c r="D438" t="inlineStr">
        <is>
          <t>Max HP %</t>
        </is>
      </c>
      <c r="E438" t="n">
        <v>20</v>
      </c>
      <c r="F438" t="n">
        <v>8.279999999999999</v>
      </c>
      <c r="G438" t="b">
        <v>0</v>
      </c>
      <c r="H438" t="inlineStr">
        <is>
          <t>0</t>
        </is>
      </c>
    </row>
    <row r="439">
      <c r="A439" t="inlineStr">
        <is>
          <t>ALL</t>
        </is>
      </c>
      <c r="B439" t="inlineStr">
        <is>
          <t>mystic</t>
        </is>
      </c>
      <c r="C439" t="n">
        <v>3</v>
      </c>
      <c r="D439" t="inlineStr">
        <is>
          <t>Max HP %</t>
        </is>
      </c>
      <c r="E439" t="n">
        <v>25</v>
      </c>
      <c r="F439" t="n">
        <v>0.72</v>
      </c>
      <c r="G439" t="b">
        <v>1</v>
      </c>
      <c r="H439" t="inlineStr">
        <is>
          <t>0</t>
        </is>
      </c>
    </row>
    <row r="440">
      <c r="A440" t="inlineStr">
        <is>
          <t>ALL</t>
        </is>
      </c>
      <c r="B440" t="inlineStr">
        <is>
          <t>mystic</t>
        </is>
      </c>
      <c r="C440" t="n">
        <v>3</v>
      </c>
      <c r="D440" t="inlineStr">
        <is>
          <t>Max MP %</t>
        </is>
      </c>
      <c r="E440" t="n">
        <v>12</v>
      </c>
      <c r="F440" t="n">
        <v>8.279999999999999</v>
      </c>
      <c r="G440" t="b">
        <v>0</v>
      </c>
      <c r="H440" t="inlineStr">
        <is>
          <t>0</t>
        </is>
      </c>
    </row>
    <row r="441">
      <c r="A441" t="inlineStr">
        <is>
          <t>ALL</t>
        </is>
      </c>
      <c r="B441" t="inlineStr">
        <is>
          <t>mystic</t>
        </is>
      </c>
      <c r="C441" t="n">
        <v>3</v>
      </c>
      <c r="D441" t="inlineStr">
        <is>
          <t>Max MP %</t>
        </is>
      </c>
      <c r="E441" t="n">
        <v>15</v>
      </c>
      <c r="F441" t="n">
        <v>0.72</v>
      </c>
      <c r="G441" t="b">
        <v>1</v>
      </c>
      <c r="H441" t="inlineStr">
        <is>
          <t>0</t>
        </is>
      </c>
    </row>
    <row r="442">
      <c r="A442" t="inlineStr">
        <is>
          <t>ALL</t>
        </is>
      </c>
      <c r="B442" t="inlineStr">
        <is>
          <t>mystic</t>
        </is>
      </c>
      <c r="C442" t="n">
        <v>3</v>
      </c>
      <c r="D442" t="inlineStr">
        <is>
          <t>Str</t>
        </is>
      </c>
      <c r="E442" t="n">
        <v>600</v>
      </c>
      <c r="F442" t="n">
        <v>8.51</v>
      </c>
      <c r="G442" t="b">
        <v>0</v>
      </c>
      <c r="H442" t="inlineStr">
        <is>
          <t>0</t>
        </is>
      </c>
    </row>
    <row r="443">
      <c r="A443" t="inlineStr">
        <is>
          <t>ALL</t>
        </is>
      </c>
      <c r="B443" t="inlineStr">
        <is>
          <t>mystic</t>
        </is>
      </c>
      <c r="C443" t="n">
        <v>3</v>
      </c>
      <c r="D443" t="inlineStr">
        <is>
          <t>Str</t>
        </is>
      </c>
      <c r="E443" t="n">
        <v>1000</v>
      </c>
      <c r="F443" t="n">
        <v>0.74</v>
      </c>
      <c r="G443" t="b">
        <v>1</v>
      </c>
      <c r="H443" t="inlineStr">
        <is>
          <t>0</t>
        </is>
      </c>
    </row>
    <row r="444">
      <c r="A444" t="inlineStr">
        <is>
          <t>ALL</t>
        </is>
      </c>
      <c r="B444" t="inlineStr">
        <is>
          <t>mystic</t>
        </is>
      </c>
      <c r="C444" t="n">
        <v>3</v>
      </c>
      <c r="D444" t="inlineStr">
        <is>
          <t>Dex</t>
        </is>
      </c>
      <c r="E444" t="n">
        <v>600</v>
      </c>
      <c r="F444" t="n">
        <v>8.51</v>
      </c>
      <c r="G444" t="b">
        <v>0</v>
      </c>
      <c r="H444" t="inlineStr">
        <is>
          <t>0</t>
        </is>
      </c>
    </row>
    <row r="445">
      <c r="A445" t="inlineStr">
        <is>
          <t>ALL</t>
        </is>
      </c>
      <c r="B445" t="inlineStr">
        <is>
          <t>mystic</t>
        </is>
      </c>
      <c r="C445" t="n">
        <v>3</v>
      </c>
      <c r="D445" t="inlineStr">
        <is>
          <t>Dex</t>
        </is>
      </c>
      <c r="E445" t="n">
        <v>1000</v>
      </c>
      <c r="F445" t="n">
        <v>0.74</v>
      </c>
      <c r="G445" t="b">
        <v>1</v>
      </c>
      <c r="H445" t="inlineStr">
        <is>
          <t>0</t>
        </is>
      </c>
    </row>
    <row r="446">
      <c r="A446" t="inlineStr">
        <is>
          <t>ALL</t>
        </is>
      </c>
      <c r="B446" t="inlineStr">
        <is>
          <t>mystic</t>
        </is>
      </c>
      <c r="C446" t="n">
        <v>3</v>
      </c>
      <c r="D446" t="inlineStr">
        <is>
          <t>Int</t>
        </is>
      </c>
      <c r="E446" t="n">
        <v>600</v>
      </c>
      <c r="F446" t="n">
        <v>8.51</v>
      </c>
      <c r="G446" t="b">
        <v>0</v>
      </c>
      <c r="H446" t="inlineStr">
        <is>
          <t>0</t>
        </is>
      </c>
    </row>
    <row r="447">
      <c r="A447" t="inlineStr">
        <is>
          <t>ALL</t>
        </is>
      </c>
      <c r="B447" t="inlineStr">
        <is>
          <t>mystic</t>
        </is>
      </c>
      <c r="C447" t="n">
        <v>3</v>
      </c>
      <c r="D447" t="inlineStr">
        <is>
          <t>Int</t>
        </is>
      </c>
      <c r="E447" t="n">
        <v>1000</v>
      </c>
      <c r="F447" t="n">
        <v>0.74</v>
      </c>
      <c r="G447" t="b">
        <v>1</v>
      </c>
      <c r="H447" t="inlineStr">
        <is>
          <t>0</t>
        </is>
      </c>
    </row>
    <row r="448">
      <c r="A448" t="inlineStr">
        <is>
          <t>ALL</t>
        </is>
      </c>
      <c r="B448" t="inlineStr">
        <is>
          <t>mystic</t>
        </is>
      </c>
      <c r="C448" t="n">
        <v>3</v>
      </c>
      <c r="D448" t="inlineStr">
        <is>
          <t>Luk</t>
        </is>
      </c>
      <c r="E448" t="n">
        <v>600</v>
      </c>
      <c r="F448" t="n">
        <v>8.51</v>
      </c>
      <c r="G448" t="b">
        <v>0</v>
      </c>
      <c r="H448">
        <f>Sensitivity!H5</f>
        <v/>
      </c>
    </row>
    <row r="449">
      <c r="A449" t="inlineStr">
        <is>
          <t>ALL</t>
        </is>
      </c>
      <c r="B449" t="inlineStr">
        <is>
          <t>mystic</t>
        </is>
      </c>
      <c r="C449" t="n">
        <v>3</v>
      </c>
      <c r="D449" t="inlineStr">
        <is>
          <t>Luk</t>
        </is>
      </c>
      <c r="E449" t="n">
        <v>1000</v>
      </c>
      <c r="F449" t="n">
        <v>0.74</v>
      </c>
      <c r="G449" t="b">
        <v>1</v>
      </c>
      <c r="H449">
        <f>Sensitivity!H5</f>
        <v/>
      </c>
    </row>
    <row r="450">
      <c r="A450" t="inlineStr">
        <is>
          <t>head</t>
        </is>
      </c>
      <c r="B450" t="inlineStr">
        <is>
          <t>epic</t>
        </is>
      </c>
      <c r="C450" t="n">
        <v>1</v>
      </c>
      <c r="D450" t="inlineStr">
        <is>
          <t>Skill Cooldown Decrease (seconds)</t>
        </is>
      </c>
      <c r="E450" t="n">
        <v>0.5</v>
      </c>
      <c r="F450" t="n">
        <v>1</v>
      </c>
      <c r="G450" t="b">
        <v>1</v>
      </c>
      <c r="H450">
        <f>Sensitivity!H28</f>
        <v/>
      </c>
    </row>
    <row r="451">
      <c r="A451" t="inlineStr">
        <is>
          <t>head</t>
        </is>
      </c>
      <c r="B451" t="inlineStr">
        <is>
          <t>epic</t>
        </is>
      </c>
      <c r="C451" t="n">
        <v>2</v>
      </c>
      <c r="D451" t="inlineStr">
        <is>
          <t>Skill Cooldown Decrease (seconds)</t>
        </is>
      </c>
      <c r="E451" t="n">
        <v>0.5</v>
      </c>
      <c r="F451" t="n">
        <v>0.24</v>
      </c>
      <c r="G451" t="b">
        <v>1</v>
      </c>
      <c r="H451">
        <f>Sensitivity!H28</f>
        <v/>
      </c>
    </row>
    <row r="452">
      <c r="A452" t="inlineStr">
        <is>
          <t>head</t>
        </is>
      </c>
      <c r="B452" t="inlineStr">
        <is>
          <t>epic</t>
        </is>
      </c>
      <c r="C452" t="n">
        <v>3</v>
      </c>
      <c r="D452" t="inlineStr">
        <is>
          <t>Skill Cooldown Decrease (seconds)</t>
        </is>
      </c>
      <c r="E452" t="n">
        <v>0.5</v>
      </c>
      <c r="F452" t="n">
        <v>0.08</v>
      </c>
      <c r="G452" t="b">
        <v>1</v>
      </c>
      <c r="H452">
        <f>Sensitivity!H28</f>
        <v/>
      </c>
    </row>
    <row r="453">
      <c r="A453" t="inlineStr">
        <is>
          <t>head</t>
        </is>
      </c>
      <c r="B453" t="inlineStr">
        <is>
          <t>unique</t>
        </is>
      </c>
      <c r="C453" t="n">
        <v>1</v>
      </c>
      <c r="D453" t="inlineStr">
        <is>
          <t>Skill Cooldown Decrease (seconds)</t>
        </is>
      </c>
      <c r="E453" t="n">
        <v>1</v>
      </c>
      <c r="F453" t="n">
        <v>1</v>
      </c>
      <c r="G453" t="b">
        <v>1</v>
      </c>
      <c r="H453">
        <f>Sensitivity!H28</f>
        <v/>
      </c>
    </row>
    <row r="454">
      <c r="A454" t="inlineStr">
        <is>
          <t>head</t>
        </is>
      </c>
      <c r="B454" t="inlineStr">
        <is>
          <t>unique</t>
        </is>
      </c>
      <c r="C454" t="n">
        <v>2</v>
      </c>
      <c r="D454" t="inlineStr">
        <is>
          <t>Skill Cooldown Decrease (seconds)</t>
        </is>
      </c>
      <c r="E454" t="n">
        <v>1</v>
      </c>
      <c r="F454" t="n">
        <v>0.24</v>
      </c>
      <c r="G454" t="b">
        <v>1</v>
      </c>
      <c r="H454">
        <f>Sensitivity!H28</f>
        <v/>
      </c>
    </row>
    <row r="455">
      <c r="A455" t="inlineStr">
        <is>
          <t>head</t>
        </is>
      </c>
      <c r="B455" t="inlineStr">
        <is>
          <t>unique</t>
        </is>
      </c>
      <c r="C455" t="n">
        <v>2</v>
      </c>
      <c r="D455" t="inlineStr">
        <is>
          <t>Skill Cooldown Decrease (seconds)</t>
        </is>
      </c>
      <c r="E455" t="n">
        <v>0.5</v>
      </c>
      <c r="F455" t="n">
        <v>0.76</v>
      </c>
      <c r="G455" t="b">
        <v>0</v>
      </c>
      <c r="H455">
        <f>Sensitivity!H28</f>
        <v/>
      </c>
    </row>
    <row r="456">
      <c r="A456" t="inlineStr">
        <is>
          <t>head</t>
        </is>
      </c>
      <c r="B456" t="inlineStr">
        <is>
          <t>unique</t>
        </is>
      </c>
      <c r="C456" t="n">
        <v>3</v>
      </c>
      <c r="D456" t="inlineStr">
        <is>
          <t>Skill Cooldown Decrease (seconds)</t>
        </is>
      </c>
      <c r="E456" t="n">
        <v>1</v>
      </c>
      <c r="F456" t="n">
        <v>0.08</v>
      </c>
      <c r="G456" t="b">
        <v>1</v>
      </c>
      <c r="H456">
        <f>Sensitivity!H28</f>
        <v/>
      </c>
    </row>
    <row r="457">
      <c r="A457" t="inlineStr">
        <is>
          <t>head</t>
        </is>
      </c>
      <c r="B457" t="inlineStr">
        <is>
          <t>unique</t>
        </is>
      </c>
      <c r="C457" t="n">
        <v>3</v>
      </c>
      <c r="D457" t="inlineStr">
        <is>
          <t>Skill Cooldown Decrease (seconds)</t>
        </is>
      </c>
      <c r="E457" t="n">
        <v>0.5</v>
      </c>
      <c r="F457" t="n">
        <v>0.92</v>
      </c>
      <c r="G457" t="b">
        <v>0</v>
      </c>
      <c r="H457">
        <f>Sensitivity!H28</f>
        <v/>
      </c>
    </row>
    <row r="458">
      <c r="A458" t="inlineStr">
        <is>
          <t>head</t>
        </is>
      </c>
      <c r="B458" t="inlineStr">
        <is>
          <t>legendary</t>
        </is>
      </c>
      <c r="C458" t="n">
        <v>1</v>
      </c>
      <c r="D458" t="inlineStr">
        <is>
          <t>Skill Cooldown Decrease (seconds)</t>
        </is>
      </c>
      <c r="E458" t="n">
        <v>1.5</v>
      </c>
      <c r="F458" t="n">
        <v>1</v>
      </c>
      <c r="G458" t="b">
        <v>1</v>
      </c>
      <c r="H458">
        <f>Sensitivity!H28</f>
        <v/>
      </c>
    </row>
    <row r="459">
      <c r="A459" t="inlineStr">
        <is>
          <t>head</t>
        </is>
      </c>
      <c r="B459" t="inlineStr">
        <is>
          <t>legendary</t>
        </is>
      </c>
      <c r="C459" t="n">
        <v>2</v>
      </c>
      <c r="D459" t="inlineStr">
        <is>
          <t>Skill Cooldown Decrease (seconds)</t>
        </is>
      </c>
      <c r="E459" t="n">
        <v>1.5</v>
      </c>
      <c r="F459" t="n">
        <v>0.24</v>
      </c>
      <c r="G459" t="b">
        <v>1</v>
      </c>
      <c r="H459">
        <f>Sensitivity!H28</f>
        <v/>
      </c>
    </row>
    <row r="460">
      <c r="A460" t="inlineStr">
        <is>
          <t>head</t>
        </is>
      </c>
      <c r="B460" t="inlineStr">
        <is>
          <t>legendary</t>
        </is>
      </c>
      <c r="C460" t="n">
        <v>2</v>
      </c>
      <c r="D460" t="inlineStr">
        <is>
          <t>Skill Cooldown Decrease (seconds)</t>
        </is>
      </c>
      <c r="E460" t="n">
        <v>1</v>
      </c>
      <c r="F460" t="n">
        <v>0.76</v>
      </c>
      <c r="G460" t="b">
        <v>0</v>
      </c>
      <c r="H460">
        <f>Sensitivity!H28</f>
        <v/>
      </c>
    </row>
    <row r="461">
      <c r="A461" t="inlineStr">
        <is>
          <t>head</t>
        </is>
      </c>
      <c r="B461" t="inlineStr">
        <is>
          <t>legendary</t>
        </is>
      </c>
      <c r="C461" t="n">
        <v>3</v>
      </c>
      <c r="D461" t="inlineStr">
        <is>
          <t>Skill Cooldown Decrease (seconds)</t>
        </is>
      </c>
      <c r="E461" t="n">
        <v>1.5</v>
      </c>
      <c r="F461" t="n">
        <v>0.08</v>
      </c>
      <c r="G461" t="b">
        <v>1</v>
      </c>
      <c r="H461">
        <f>Sensitivity!H28</f>
        <v/>
      </c>
    </row>
    <row r="462">
      <c r="A462" t="inlineStr">
        <is>
          <t>head</t>
        </is>
      </c>
      <c r="B462" t="inlineStr">
        <is>
          <t>legendary</t>
        </is>
      </c>
      <c r="C462" t="n">
        <v>3</v>
      </c>
      <c r="D462" t="inlineStr">
        <is>
          <t>Skill Cooldown Decrease (seconds)</t>
        </is>
      </c>
      <c r="E462" t="n">
        <v>1</v>
      </c>
      <c r="F462" t="n">
        <v>0.92</v>
      </c>
      <c r="G462" t="b">
        <v>0</v>
      </c>
      <c r="H462">
        <f>Sensitivity!H28</f>
        <v/>
      </c>
    </row>
    <row r="463">
      <c r="A463" t="inlineStr">
        <is>
          <t>head</t>
        </is>
      </c>
      <c r="B463" t="inlineStr">
        <is>
          <t>mystic</t>
        </is>
      </c>
      <c r="C463" t="n">
        <v>1</v>
      </c>
      <c r="D463" t="inlineStr">
        <is>
          <t>Skill Cooldown Decrease (seconds)</t>
        </is>
      </c>
      <c r="E463" t="n">
        <v>2</v>
      </c>
      <c r="F463" t="n">
        <v>1</v>
      </c>
      <c r="G463" t="b">
        <v>1</v>
      </c>
      <c r="H463">
        <f>Sensitivity!H28</f>
        <v/>
      </c>
    </row>
    <row r="464">
      <c r="A464" t="inlineStr">
        <is>
          <t>head</t>
        </is>
      </c>
      <c r="B464" t="inlineStr">
        <is>
          <t>mystic</t>
        </is>
      </c>
      <c r="C464" t="n">
        <v>2</v>
      </c>
      <c r="D464" t="inlineStr">
        <is>
          <t>Skill Cooldown Decrease (seconds)</t>
        </is>
      </c>
      <c r="E464" t="n">
        <v>2</v>
      </c>
      <c r="F464" t="n">
        <v>0.24</v>
      </c>
      <c r="G464" t="b">
        <v>1</v>
      </c>
      <c r="H464">
        <f>Sensitivity!H28</f>
        <v/>
      </c>
    </row>
    <row r="465">
      <c r="A465" t="inlineStr">
        <is>
          <t>head</t>
        </is>
      </c>
      <c r="B465" t="inlineStr">
        <is>
          <t>mystic</t>
        </is>
      </c>
      <c r="C465" t="n">
        <v>2</v>
      </c>
      <c r="D465" t="inlineStr">
        <is>
          <t>Skill Cooldown Decrease (seconds)</t>
        </is>
      </c>
      <c r="E465" t="n">
        <v>1.5</v>
      </c>
      <c r="F465" t="n">
        <v>0.76</v>
      </c>
      <c r="G465" t="b">
        <v>0</v>
      </c>
      <c r="H465">
        <f>Sensitivity!H28</f>
        <v/>
      </c>
    </row>
    <row r="466">
      <c r="A466" t="inlineStr">
        <is>
          <t>head</t>
        </is>
      </c>
      <c r="B466" t="inlineStr">
        <is>
          <t>mystic</t>
        </is>
      </c>
      <c r="C466" t="n">
        <v>3</v>
      </c>
      <c r="D466" t="inlineStr">
        <is>
          <t>Skill Cooldown Decrease (seconds)</t>
        </is>
      </c>
      <c r="E466" t="n">
        <v>2</v>
      </c>
      <c r="F466" t="n">
        <v>0.08</v>
      </c>
      <c r="G466" t="b">
        <v>1</v>
      </c>
      <c r="H466">
        <f>Sensitivity!H28</f>
        <v/>
      </c>
    </row>
    <row r="467">
      <c r="A467" t="inlineStr">
        <is>
          <t>head</t>
        </is>
      </c>
      <c r="B467" t="inlineStr">
        <is>
          <t>mystic</t>
        </is>
      </c>
      <c r="C467" t="n">
        <v>3</v>
      </c>
      <c r="D467" t="inlineStr">
        <is>
          <t>Skill Cooldown Decrease (seconds)</t>
        </is>
      </c>
      <c r="E467" t="n">
        <v>1.5</v>
      </c>
      <c r="F467" t="n">
        <v>0.92</v>
      </c>
      <c r="G467" t="b">
        <v>0</v>
      </c>
      <c r="H467">
        <f>Sensitivity!H28</f>
        <v/>
      </c>
    </row>
    <row r="468">
      <c r="A468" t="inlineStr">
        <is>
          <t>cape</t>
        </is>
      </c>
      <c r="B468" t="inlineStr">
        <is>
          <t>epic</t>
        </is>
      </c>
      <c r="C468" t="n">
        <v>1</v>
      </c>
      <c r="D468" t="inlineStr">
        <is>
          <t>Final Damage %</t>
        </is>
      </c>
      <c r="E468" t="n">
        <v>3</v>
      </c>
      <c r="F468" t="n">
        <v>1</v>
      </c>
      <c r="G468" t="b">
        <v>1</v>
      </c>
      <c r="H468">
        <f>Sensitivity!H12</f>
        <v/>
      </c>
    </row>
    <row r="469">
      <c r="A469" t="inlineStr">
        <is>
          <t>cape</t>
        </is>
      </c>
      <c r="B469" t="inlineStr">
        <is>
          <t>epic</t>
        </is>
      </c>
      <c r="C469" t="n">
        <v>2</v>
      </c>
      <c r="D469" t="inlineStr">
        <is>
          <t>Final Damage %</t>
        </is>
      </c>
      <c r="E469" t="n">
        <v>3</v>
      </c>
      <c r="F469" t="n">
        <v>0.24</v>
      </c>
      <c r="G469" t="b">
        <v>1</v>
      </c>
      <c r="H469">
        <f>Sensitivity!H12</f>
        <v/>
      </c>
    </row>
    <row r="470">
      <c r="A470" t="inlineStr">
        <is>
          <t>cape</t>
        </is>
      </c>
      <c r="B470" t="inlineStr">
        <is>
          <t>epic</t>
        </is>
      </c>
      <c r="C470" t="n">
        <v>3</v>
      </c>
      <c r="D470" t="inlineStr">
        <is>
          <t>Final Damage %</t>
        </is>
      </c>
      <c r="E470" t="n">
        <v>3</v>
      </c>
      <c r="F470" t="n">
        <v>0.08</v>
      </c>
      <c r="G470" t="b">
        <v>1</v>
      </c>
      <c r="H470">
        <f>Sensitivity!H12</f>
        <v/>
      </c>
    </row>
    <row r="471">
      <c r="A471" t="inlineStr">
        <is>
          <t>cape</t>
        </is>
      </c>
      <c r="B471" t="inlineStr">
        <is>
          <t>unique</t>
        </is>
      </c>
      <c r="C471" t="n">
        <v>1</v>
      </c>
      <c r="D471" t="inlineStr">
        <is>
          <t>Final Damage %</t>
        </is>
      </c>
      <c r="E471" t="n">
        <v>5</v>
      </c>
      <c r="F471" t="n">
        <v>1</v>
      </c>
      <c r="G471" t="b">
        <v>1</v>
      </c>
      <c r="H471">
        <f>Sensitivity!H12</f>
        <v/>
      </c>
    </row>
    <row r="472">
      <c r="A472" t="inlineStr">
        <is>
          <t>cape</t>
        </is>
      </c>
      <c r="B472" t="inlineStr">
        <is>
          <t>unique</t>
        </is>
      </c>
      <c r="C472" t="n">
        <v>2</v>
      </c>
      <c r="D472" t="inlineStr">
        <is>
          <t>Final Damage %</t>
        </is>
      </c>
      <c r="E472" t="n">
        <v>5</v>
      </c>
      <c r="F472" t="n">
        <v>0.24</v>
      </c>
      <c r="G472" t="b">
        <v>1</v>
      </c>
      <c r="H472">
        <f>Sensitivity!H12</f>
        <v/>
      </c>
    </row>
    <row r="473">
      <c r="A473" t="inlineStr">
        <is>
          <t>cape</t>
        </is>
      </c>
      <c r="B473" t="inlineStr">
        <is>
          <t>unique</t>
        </is>
      </c>
      <c r="C473" t="n">
        <v>2</v>
      </c>
      <c r="D473" t="inlineStr">
        <is>
          <t>Final Damage %</t>
        </is>
      </c>
      <c r="E473" t="n">
        <v>3</v>
      </c>
      <c r="F473" t="n">
        <v>0.76</v>
      </c>
      <c r="G473" t="b">
        <v>0</v>
      </c>
      <c r="H473">
        <f>Sensitivity!H12</f>
        <v/>
      </c>
    </row>
    <row r="474">
      <c r="A474" t="inlineStr">
        <is>
          <t>cape</t>
        </is>
      </c>
      <c r="B474" t="inlineStr">
        <is>
          <t>unique</t>
        </is>
      </c>
      <c r="C474" t="n">
        <v>3</v>
      </c>
      <c r="D474" t="inlineStr">
        <is>
          <t>Final Damage %</t>
        </is>
      </c>
      <c r="E474" t="n">
        <v>5</v>
      </c>
      <c r="F474" t="n">
        <v>0.08</v>
      </c>
      <c r="G474" t="b">
        <v>1</v>
      </c>
      <c r="H474">
        <f>Sensitivity!H12</f>
        <v/>
      </c>
    </row>
    <row r="475">
      <c r="A475" t="inlineStr">
        <is>
          <t>cape</t>
        </is>
      </c>
      <c r="B475" t="inlineStr">
        <is>
          <t>unique</t>
        </is>
      </c>
      <c r="C475" t="n">
        <v>3</v>
      </c>
      <c r="D475" t="inlineStr">
        <is>
          <t>Final Damage %</t>
        </is>
      </c>
      <c r="E475" t="n">
        <v>3</v>
      </c>
      <c r="F475" t="n">
        <v>0.92</v>
      </c>
      <c r="G475" t="b">
        <v>0</v>
      </c>
      <c r="H475">
        <f>Sensitivity!H12</f>
        <v/>
      </c>
    </row>
    <row r="476">
      <c r="A476" t="inlineStr">
        <is>
          <t>cape</t>
        </is>
      </c>
      <c r="B476" t="inlineStr">
        <is>
          <t>legendary</t>
        </is>
      </c>
      <c r="C476" t="n">
        <v>1</v>
      </c>
      <c r="D476" t="inlineStr">
        <is>
          <t>Final Damage %</t>
        </is>
      </c>
      <c r="E476" t="n">
        <v>8</v>
      </c>
      <c r="F476" t="n">
        <v>1</v>
      </c>
      <c r="G476" t="b">
        <v>1</v>
      </c>
      <c r="H476">
        <f>Sensitivity!H12</f>
        <v/>
      </c>
    </row>
    <row r="477">
      <c r="A477" t="inlineStr">
        <is>
          <t>cape</t>
        </is>
      </c>
      <c r="B477" t="inlineStr">
        <is>
          <t>legendary</t>
        </is>
      </c>
      <c r="C477" t="n">
        <v>2</v>
      </c>
      <c r="D477" t="inlineStr">
        <is>
          <t>Final Damage %</t>
        </is>
      </c>
      <c r="E477" t="n">
        <v>8</v>
      </c>
      <c r="F477" t="n">
        <v>0.24</v>
      </c>
      <c r="G477" t="b">
        <v>1</v>
      </c>
      <c r="H477">
        <f>Sensitivity!H12</f>
        <v/>
      </c>
    </row>
    <row r="478">
      <c r="A478" t="inlineStr">
        <is>
          <t>cape</t>
        </is>
      </c>
      <c r="B478" t="inlineStr">
        <is>
          <t>legendary</t>
        </is>
      </c>
      <c r="C478" t="n">
        <v>2</v>
      </c>
      <c r="D478" t="inlineStr">
        <is>
          <t>Final Damage %</t>
        </is>
      </c>
      <c r="E478" t="n">
        <v>5</v>
      </c>
      <c r="F478" t="n">
        <v>0.76</v>
      </c>
      <c r="G478" t="b">
        <v>0</v>
      </c>
      <c r="H478">
        <f>Sensitivity!H12</f>
        <v/>
      </c>
    </row>
    <row r="479">
      <c r="A479" t="inlineStr">
        <is>
          <t>cape</t>
        </is>
      </c>
      <c r="B479" t="inlineStr">
        <is>
          <t>legendary</t>
        </is>
      </c>
      <c r="C479" t="n">
        <v>3</v>
      </c>
      <c r="D479" t="inlineStr">
        <is>
          <t>Final Damage %</t>
        </is>
      </c>
      <c r="E479" t="n">
        <v>8</v>
      </c>
      <c r="F479" t="n">
        <v>0.08</v>
      </c>
      <c r="G479" t="b">
        <v>1</v>
      </c>
      <c r="H479">
        <f>Sensitivity!H12</f>
        <v/>
      </c>
    </row>
    <row r="480">
      <c r="A480" t="inlineStr">
        <is>
          <t>cape</t>
        </is>
      </c>
      <c r="B480" t="inlineStr">
        <is>
          <t>legendary</t>
        </is>
      </c>
      <c r="C480" t="n">
        <v>3</v>
      </c>
      <c r="D480" t="inlineStr">
        <is>
          <t>Final Damage %</t>
        </is>
      </c>
      <c r="E480" t="n">
        <v>5</v>
      </c>
      <c r="F480" t="n">
        <v>0.92</v>
      </c>
      <c r="G480" t="b">
        <v>0</v>
      </c>
      <c r="H480">
        <f>Sensitivity!H12</f>
        <v/>
      </c>
    </row>
    <row r="481">
      <c r="A481" t="inlineStr">
        <is>
          <t>cape</t>
        </is>
      </c>
      <c r="B481" t="inlineStr">
        <is>
          <t>mystic</t>
        </is>
      </c>
      <c r="C481" t="n">
        <v>1</v>
      </c>
      <c r="D481" t="inlineStr">
        <is>
          <t>Final Damage %</t>
        </is>
      </c>
      <c r="E481" t="n">
        <v>12</v>
      </c>
      <c r="F481" t="n">
        <v>1</v>
      </c>
      <c r="G481" t="b">
        <v>1</v>
      </c>
      <c r="H481">
        <f>Sensitivity!H12</f>
        <v/>
      </c>
    </row>
    <row r="482">
      <c r="A482" t="inlineStr">
        <is>
          <t>cape</t>
        </is>
      </c>
      <c r="B482" t="inlineStr">
        <is>
          <t>mystic</t>
        </is>
      </c>
      <c r="C482" t="n">
        <v>2</v>
      </c>
      <c r="D482" t="inlineStr">
        <is>
          <t>Final Damage %</t>
        </is>
      </c>
      <c r="E482" t="n">
        <v>12</v>
      </c>
      <c r="F482" t="n">
        <v>0.24</v>
      </c>
      <c r="G482" t="b">
        <v>1</v>
      </c>
      <c r="H482">
        <f>Sensitivity!H12</f>
        <v/>
      </c>
    </row>
    <row r="483">
      <c r="A483" t="inlineStr">
        <is>
          <t>cape</t>
        </is>
      </c>
      <c r="B483" t="inlineStr">
        <is>
          <t>mystic</t>
        </is>
      </c>
      <c r="C483" t="n">
        <v>2</v>
      </c>
      <c r="D483" t="inlineStr">
        <is>
          <t>Final Damage %</t>
        </is>
      </c>
      <c r="E483" t="n">
        <v>8</v>
      </c>
      <c r="F483" t="n">
        <v>0.76</v>
      </c>
      <c r="G483" t="b">
        <v>0</v>
      </c>
      <c r="H483">
        <f>Sensitivity!H12</f>
        <v/>
      </c>
    </row>
    <row r="484">
      <c r="A484" t="inlineStr">
        <is>
          <t>cape</t>
        </is>
      </c>
      <c r="B484" t="inlineStr">
        <is>
          <t>mystic</t>
        </is>
      </c>
      <c r="C484" t="n">
        <v>3</v>
      </c>
      <c r="D484" t="inlineStr">
        <is>
          <t>Final Damage %</t>
        </is>
      </c>
      <c r="E484" t="n">
        <v>12</v>
      </c>
      <c r="F484" t="n">
        <v>0.08</v>
      </c>
      <c r="G484" t="b">
        <v>1</v>
      </c>
      <c r="H484">
        <f>Sensitivity!H12</f>
        <v/>
      </c>
    </row>
    <row r="485">
      <c r="A485" t="inlineStr">
        <is>
          <t>cape</t>
        </is>
      </c>
      <c r="B485" t="inlineStr">
        <is>
          <t>mystic</t>
        </is>
      </c>
      <c r="C485" t="n">
        <v>3</v>
      </c>
      <c r="D485" t="inlineStr">
        <is>
          <t>Final Damage %</t>
        </is>
      </c>
      <c r="E485" t="n">
        <v>8</v>
      </c>
      <c r="F485" t="n">
        <v>0.92</v>
      </c>
      <c r="G485" t="b">
        <v>0</v>
      </c>
      <c r="H485">
        <f>Sensitivity!H12</f>
        <v/>
      </c>
    </row>
    <row r="486">
      <c r="A486" t="inlineStr">
        <is>
          <t>chest</t>
        </is>
      </c>
      <c r="B486" t="inlineStr">
        <is>
          <t>unique</t>
        </is>
      </c>
      <c r="C486" t="n">
        <v>1</v>
      </c>
      <c r="D486" t="inlineStr">
        <is>
          <t>Basic Attack Target Increase</t>
        </is>
      </c>
      <c r="E486" t="n">
        <v>1</v>
      </c>
      <c r="F486" t="n">
        <v>1</v>
      </c>
      <c r="G486" t="b">
        <v>1</v>
      </c>
      <c r="H486">
        <f>Sensitivity!H29</f>
        <v/>
      </c>
    </row>
    <row r="487">
      <c r="A487" t="inlineStr">
        <is>
          <t>chest</t>
        </is>
      </c>
      <c r="B487" t="inlineStr">
        <is>
          <t>unique</t>
        </is>
      </c>
      <c r="C487" t="n">
        <v>2</v>
      </c>
      <c r="D487" t="inlineStr">
        <is>
          <t>Basic Attack Target Increase</t>
        </is>
      </c>
      <c r="E487" t="n">
        <v>1</v>
      </c>
      <c r="F487" t="n">
        <v>0.24</v>
      </c>
      <c r="G487" t="b">
        <v>1</v>
      </c>
      <c r="H487">
        <f>Sensitivity!H29</f>
        <v/>
      </c>
    </row>
    <row r="488">
      <c r="A488" t="inlineStr">
        <is>
          <t>chest</t>
        </is>
      </c>
      <c r="B488" t="inlineStr">
        <is>
          <t>unique</t>
        </is>
      </c>
      <c r="C488" t="n">
        <v>3</v>
      </c>
      <c r="D488" t="inlineStr">
        <is>
          <t>Basic Attack Target Increase</t>
        </is>
      </c>
      <c r="E488" t="n">
        <v>1</v>
      </c>
      <c r="F488" t="n">
        <v>0.08</v>
      </c>
      <c r="G488" t="b">
        <v>1</v>
      </c>
      <c r="H488">
        <f>Sensitivity!H29</f>
        <v/>
      </c>
    </row>
    <row r="489">
      <c r="A489" t="inlineStr">
        <is>
          <t>chest</t>
        </is>
      </c>
      <c r="B489" t="inlineStr">
        <is>
          <t>legendary</t>
        </is>
      </c>
      <c r="C489" t="n">
        <v>1</v>
      </c>
      <c r="D489" t="inlineStr">
        <is>
          <t>Basic Attack Target Increase</t>
        </is>
      </c>
      <c r="E489" t="n">
        <v>2</v>
      </c>
      <c r="F489" t="n">
        <v>1</v>
      </c>
      <c r="G489" t="b">
        <v>1</v>
      </c>
      <c r="H489">
        <f>Sensitivity!H29</f>
        <v/>
      </c>
    </row>
    <row r="490">
      <c r="A490" t="inlineStr">
        <is>
          <t>chest</t>
        </is>
      </c>
      <c r="B490" t="inlineStr">
        <is>
          <t>legendary</t>
        </is>
      </c>
      <c r="C490" t="n">
        <v>2</v>
      </c>
      <c r="D490" t="inlineStr">
        <is>
          <t>Basic Attack Target Increase</t>
        </is>
      </c>
      <c r="E490" t="n">
        <v>2</v>
      </c>
      <c r="F490" t="n">
        <v>0.24</v>
      </c>
      <c r="G490" t="b">
        <v>1</v>
      </c>
      <c r="H490">
        <f>Sensitivity!H29</f>
        <v/>
      </c>
    </row>
    <row r="491">
      <c r="A491" t="inlineStr">
        <is>
          <t>chest</t>
        </is>
      </c>
      <c r="B491" t="inlineStr">
        <is>
          <t>legendary</t>
        </is>
      </c>
      <c r="C491" t="n">
        <v>2</v>
      </c>
      <c r="D491" t="inlineStr">
        <is>
          <t>Basic Attack Target Increase</t>
        </is>
      </c>
      <c r="E491" t="n">
        <v>1</v>
      </c>
      <c r="F491" t="n">
        <v>0.76</v>
      </c>
      <c r="G491" t="b">
        <v>0</v>
      </c>
      <c r="H491">
        <f>Sensitivity!H29</f>
        <v/>
      </c>
    </row>
    <row r="492">
      <c r="A492" t="inlineStr">
        <is>
          <t>chest</t>
        </is>
      </c>
      <c r="B492" t="inlineStr">
        <is>
          <t>legendary</t>
        </is>
      </c>
      <c r="C492" t="n">
        <v>3</v>
      </c>
      <c r="D492" t="inlineStr">
        <is>
          <t>Basic Attack Target Increase</t>
        </is>
      </c>
      <c r="E492" t="n">
        <v>2</v>
      </c>
      <c r="F492" t="n">
        <v>0.08</v>
      </c>
      <c r="G492" t="b">
        <v>1</v>
      </c>
      <c r="H492">
        <f>Sensitivity!H29</f>
        <v/>
      </c>
    </row>
    <row r="493">
      <c r="A493" t="inlineStr">
        <is>
          <t>chest</t>
        </is>
      </c>
      <c r="B493" t="inlineStr">
        <is>
          <t>legendary</t>
        </is>
      </c>
      <c r="C493" t="n">
        <v>3</v>
      </c>
      <c r="D493" t="inlineStr">
        <is>
          <t>Basic Attack Target Increase</t>
        </is>
      </c>
      <c r="E493" t="n">
        <v>1</v>
      </c>
      <c r="F493" t="n">
        <v>0.92</v>
      </c>
      <c r="G493" t="b">
        <v>0</v>
      </c>
      <c r="H493">
        <f>Sensitivity!H29</f>
        <v/>
      </c>
    </row>
    <row r="494">
      <c r="A494" t="inlineStr">
        <is>
          <t>chest</t>
        </is>
      </c>
      <c r="B494" t="inlineStr">
        <is>
          <t>mystic</t>
        </is>
      </c>
      <c r="C494" t="n">
        <v>1</v>
      </c>
      <c r="D494" t="inlineStr">
        <is>
          <t>Basic Attack Target Increase</t>
        </is>
      </c>
      <c r="E494" t="n">
        <v>3</v>
      </c>
      <c r="F494" t="n">
        <v>1</v>
      </c>
      <c r="G494" t="b">
        <v>1</v>
      </c>
      <c r="H494">
        <f>Sensitivity!H29</f>
        <v/>
      </c>
    </row>
    <row r="495">
      <c r="A495" t="inlineStr">
        <is>
          <t>chest</t>
        </is>
      </c>
      <c r="B495" t="inlineStr">
        <is>
          <t>mystic</t>
        </is>
      </c>
      <c r="C495" t="n">
        <v>2</v>
      </c>
      <c r="D495" t="inlineStr">
        <is>
          <t>Basic Attack Target Increase</t>
        </is>
      </c>
      <c r="E495" t="n">
        <v>3</v>
      </c>
      <c r="F495" t="n">
        <v>0.24</v>
      </c>
      <c r="G495" t="b">
        <v>1</v>
      </c>
      <c r="H495">
        <f>Sensitivity!H29</f>
        <v/>
      </c>
    </row>
    <row r="496">
      <c r="A496" t="inlineStr">
        <is>
          <t>chest</t>
        </is>
      </c>
      <c r="B496" t="inlineStr">
        <is>
          <t>mystic</t>
        </is>
      </c>
      <c r="C496" t="n">
        <v>2</v>
      </c>
      <c r="D496" t="inlineStr">
        <is>
          <t>Basic Attack Target Increase</t>
        </is>
      </c>
      <c r="E496" t="n">
        <v>2</v>
      </c>
      <c r="F496" t="n">
        <v>0.76</v>
      </c>
      <c r="G496" t="b">
        <v>0</v>
      </c>
      <c r="H496">
        <f>Sensitivity!H29</f>
        <v/>
      </c>
    </row>
    <row r="497">
      <c r="A497" t="inlineStr">
        <is>
          <t>chest</t>
        </is>
      </c>
      <c r="B497" t="inlineStr">
        <is>
          <t>mystic</t>
        </is>
      </c>
      <c r="C497" t="n">
        <v>3</v>
      </c>
      <c r="D497" t="inlineStr">
        <is>
          <t>Basic Attack Target Increase</t>
        </is>
      </c>
      <c r="E497" t="n">
        <v>3</v>
      </c>
      <c r="F497" t="n">
        <v>0.08</v>
      </c>
      <c r="G497" t="b">
        <v>1</v>
      </c>
      <c r="H497">
        <f>Sensitivity!H29</f>
        <v/>
      </c>
    </row>
    <row r="498">
      <c r="A498" t="inlineStr">
        <is>
          <t>chest</t>
        </is>
      </c>
      <c r="B498" t="inlineStr">
        <is>
          <t>mystic</t>
        </is>
      </c>
      <c r="C498" t="n">
        <v>3</v>
      </c>
      <c r="D498" t="inlineStr">
        <is>
          <t>Basic Attack Target Increase</t>
        </is>
      </c>
      <c r="E498" t="n">
        <v>2</v>
      </c>
      <c r="F498" t="n">
        <v>0.92</v>
      </c>
      <c r="G498" t="b">
        <v>0</v>
      </c>
      <c r="H498">
        <f>Sensitivity!H29</f>
        <v/>
      </c>
    </row>
    <row r="499">
      <c r="A499" t="inlineStr">
        <is>
          <t>shoulders</t>
        </is>
      </c>
      <c r="B499" t="inlineStr">
        <is>
          <t>unique</t>
        </is>
      </c>
      <c r="C499" t="n">
        <v>1</v>
      </c>
      <c r="D499" t="inlineStr">
        <is>
          <t>Defense Penetration</t>
        </is>
      </c>
      <c r="E499" t="n">
        <v>8</v>
      </c>
      <c r="F499" t="n">
        <v>1</v>
      </c>
      <c r="G499" t="b">
        <v>1</v>
      </c>
      <c r="H499">
        <f>Sensitivity!H18</f>
        <v/>
      </c>
    </row>
    <row r="500">
      <c r="A500" t="inlineStr">
        <is>
          <t>shoulders</t>
        </is>
      </c>
      <c r="B500" t="inlineStr">
        <is>
          <t>unique</t>
        </is>
      </c>
      <c r="C500" t="n">
        <v>2</v>
      </c>
      <c r="D500" t="inlineStr">
        <is>
          <t>Defense Penetration</t>
        </is>
      </c>
      <c r="E500" t="n">
        <v>8</v>
      </c>
      <c r="F500" t="n">
        <v>0.24</v>
      </c>
      <c r="G500" t="b">
        <v>1</v>
      </c>
      <c r="H500">
        <f>Sensitivity!H18</f>
        <v/>
      </c>
    </row>
    <row r="501">
      <c r="A501" t="inlineStr">
        <is>
          <t>shoulders</t>
        </is>
      </c>
      <c r="B501" t="inlineStr">
        <is>
          <t>unique</t>
        </is>
      </c>
      <c r="C501" t="n">
        <v>3</v>
      </c>
      <c r="D501" t="inlineStr">
        <is>
          <t>Defense Penetration</t>
        </is>
      </c>
      <c r="E501" t="n">
        <v>8</v>
      </c>
      <c r="F501" t="n">
        <v>0.08</v>
      </c>
      <c r="G501" t="b">
        <v>1</v>
      </c>
      <c r="H501">
        <f>Sensitivity!H18</f>
        <v/>
      </c>
    </row>
    <row r="502">
      <c r="A502" t="inlineStr">
        <is>
          <t>shoulders</t>
        </is>
      </c>
      <c r="B502" t="inlineStr">
        <is>
          <t>legendary</t>
        </is>
      </c>
      <c r="C502" t="n">
        <v>1</v>
      </c>
      <c r="D502" t="inlineStr">
        <is>
          <t>Defense Penetration</t>
        </is>
      </c>
      <c r="E502" t="n">
        <v>12</v>
      </c>
      <c r="F502" t="n">
        <v>1</v>
      </c>
      <c r="G502" t="b">
        <v>1</v>
      </c>
      <c r="H502">
        <f>Sensitivity!H18</f>
        <v/>
      </c>
    </row>
    <row r="503">
      <c r="A503" t="inlineStr">
        <is>
          <t>shoulders</t>
        </is>
      </c>
      <c r="B503" t="inlineStr">
        <is>
          <t>legendary</t>
        </is>
      </c>
      <c r="C503" t="n">
        <v>2</v>
      </c>
      <c r="D503" t="inlineStr">
        <is>
          <t>Defense Penetration</t>
        </is>
      </c>
      <c r="E503" t="n">
        <v>12</v>
      </c>
      <c r="F503" t="n">
        <v>0.24</v>
      </c>
      <c r="G503" t="b">
        <v>1</v>
      </c>
      <c r="H503">
        <f>Sensitivity!H18</f>
        <v/>
      </c>
    </row>
    <row r="504">
      <c r="A504" t="inlineStr">
        <is>
          <t>shoulders</t>
        </is>
      </c>
      <c r="B504" t="inlineStr">
        <is>
          <t>legendary</t>
        </is>
      </c>
      <c r="C504" t="n">
        <v>2</v>
      </c>
      <c r="D504" t="inlineStr">
        <is>
          <t>Defense Penetration</t>
        </is>
      </c>
      <c r="E504" t="n">
        <v>8</v>
      </c>
      <c r="F504" t="n">
        <v>0.76</v>
      </c>
      <c r="G504" t="b">
        <v>0</v>
      </c>
      <c r="H504">
        <f>Sensitivity!H18</f>
        <v/>
      </c>
    </row>
    <row r="505">
      <c r="A505" t="inlineStr">
        <is>
          <t>shoulders</t>
        </is>
      </c>
      <c r="B505" t="inlineStr">
        <is>
          <t>legendary</t>
        </is>
      </c>
      <c r="C505" t="n">
        <v>3</v>
      </c>
      <c r="D505" t="inlineStr">
        <is>
          <t>Defense Penetration</t>
        </is>
      </c>
      <c r="E505" t="n">
        <v>12</v>
      </c>
      <c r="F505" t="n">
        <v>0.08</v>
      </c>
      <c r="G505" t="b">
        <v>1</v>
      </c>
      <c r="H505">
        <f>Sensitivity!H18</f>
        <v/>
      </c>
    </row>
    <row r="506">
      <c r="A506" t="inlineStr">
        <is>
          <t>shoulders</t>
        </is>
      </c>
      <c r="B506" t="inlineStr">
        <is>
          <t>legendary</t>
        </is>
      </c>
      <c r="C506" t="n">
        <v>3</v>
      </c>
      <c r="D506" t="inlineStr">
        <is>
          <t>Defense Penetration</t>
        </is>
      </c>
      <c r="E506" t="n">
        <v>8</v>
      </c>
      <c r="F506" t="n">
        <v>0.92</v>
      </c>
      <c r="G506" t="b">
        <v>0</v>
      </c>
      <c r="H506">
        <f>Sensitivity!H18</f>
        <v/>
      </c>
    </row>
    <row r="507">
      <c r="A507" t="inlineStr">
        <is>
          <t>shoulders</t>
        </is>
      </c>
      <c r="B507" t="inlineStr">
        <is>
          <t>mystic</t>
        </is>
      </c>
      <c r="C507" t="n">
        <v>1</v>
      </c>
      <c r="D507" t="inlineStr">
        <is>
          <t>Defense Penetration</t>
        </is>
      </c>
      <c r="E507" t="n">
        <v>20</v>
      </c>
      <c r="F507" t="n">
        <v>1</v>
      </c>
      <c r="G507" t="b">
        <v>1</v>
      </c>
      <c r="H507">
        <f>Sensitivity!H18</f>
        <v/>
      </c>
    </row>
    <row r="508">
      <c r="A508" t="inlineStr">
        <is>
          <t>shoulders</t>
        </is>
      </c>
      <c r="B508" t="inlineStr">
        <is>
          <t>mystic</t>
        </is>
      </c>
      <c r="C508" t="n">
        <v>2</v>
      </c>
      <c r="D508" t="inlineStr">
        <is>
          <t>Defense Penetration</t>
        </is>
      </c>
      <c r="E508" t="n">
        <v>20</v>
      </c>
      <c r="F508" t="n">
        <v>0.24</v>
      </c>
      <c r="G508" t="b">
        <v>1</v>
      </c>
      <c r="H508">
        <f>Sensitivity!H18</f>
        <v/>
      </c>
    </row>
    <row r="509">
      <c r="A509" t="inlineStr">
        <is>
          <t>shoulders</t>
        </is>
      </c>
      <c r="B509" t="inlineStr">
        <is>
          <t>mystic</t>
        </is>
      </c>
      <c r="C509" t="n">
        <v>2</v>
      </c>
      <c r="D509" t="inlineStr">
        <is>
          <t>Defense Penetration</t>
        </is>
      </c>
      <c r="E509" t="n">
        <v>12</v>
      </c>
      <c r="F509" t="n">
        <v>0.76</v>
      </c>
      <c r="G509" t="b">
        <v>0</v>
      </c>
      <c r="H509">
        <f>Sensitivity!H18</f>
        <v/>
      </c>
    </row>
    <row r="510">
      <c r="A510" t="inlineStr">
        <is>
          <t>shoulders</t>
        </is>
      </c>
      <c r="B510" t="inlineStr">
        <is>
          <t>mystic</t>
        </is>
      </c>
      <c r="C510" t="n">
        <v>3</v>
      </c>
      <c r="D510" t="inlineStr">
        <is>
          <t>Defense Penetration</t>
        </is>
      </c>
      <c r="E510" t="n">
        <v>20</v>
      </c>
      <c r="F510" t="n">
        <v>0.08</v>
      </c>
      <c r="G510" t="b">
        <v>1</v>
      </c>
      <c r="H510">
        <f>Sensitivity!H18</f>
        <v/>
      </c>
    </row>
    <row r="511">
      <c r="A511" t="inlineStr">
        <is>
          <t>shoulders</t>
        </is>
      </c>
      <c r="B511" t="inlineStr">
        <is>
          <t>mystic</t>
        </is>
      </c>
      <c r="C511" t="n">
        <v>3</v>
      </c>
      <c r="D511" t="inlineStr">
        <is>
          <t>Defense Penetration</t>
        </is>
      </c>
      <c r="E511" t="n">
        <v>12</v>
      </c>
      <c r="F511" t="n">
        <v>0.92</v>
      </c>
      <c r="G511" t="b">
        <v>0</v>
      </c>
      <c r="H511">
        <f>Sensitivity!H18</f>
        <v/>
      </c>
    </row>
    <row r="512">
      <c r="A512" t="inlineStr">
        <is>
          <t>legs</t>
        </is>
      </c>
      <c r="B512" t="inlineStr">
        <is>
          <t>epic</t>
        </is>
      </c>
      <c r="C512" t="n">
        <v>1</v>
      </c>
      <c r="D512" t="inlineStr">
        <is>
          <t>Final Damage %</t>
        </is>
      </c>
      <c r="E512" t="n">
        <v>3</v>
      </c>
      <c r="F512" t="n">
        <v>1</v>
      </c>
      <c r="G512" t="b">
        <v>1</v>
      </c>
      <c r="H512">
        <f>Sensitivity!H12</f>
        <v/>
      </c>
    </row>
    <row r="513">
      <c r="A513" t="inlineStr">
        <is>
          <t>legs</t>
        </is>
      </c>
      <c r="B513" t="inlineStr">
        <is>
          <t>epic</t>
        </is>
      </c>
      <c r="C513" t="n">
        <v>2</v>
      </c>
      <c r="D513" t="inlineStr">
        <is>
          <t>Final Damage %</t>
        </is>
      </c>
      <c r="E513" t="n">
        <v>3</v>
      </c>
      <c r="F513" t="n">
        <v>0.24</v>
      </c>
      <c r="G513" t="b">
        <v>1</v>
      </c>
      <c r="H513">
        <f>Sensitivity!H12</f>
        <v/>
      </c>
    </row>
    <row r="514">
      <c r="A514" t="inlineStr">
        <is>
          <t>legs</t>
        </is>
      </c>
      <c r="B514" t="inlineStr">
        <is>
          <t>epic</t>
        </is>
      </c>
      <c r="C514" t="n">
        <v>3</v>
      </c>
      <c r="D514" t="inlineStr">
        <is>
          <t>Final Damage %</t>
        </is>
      </c>
      <c r="E514" t="n">
        <v>3</v>
      </c>
      <c r="F514" t="n">
        <v>0.08</v>
      </c>
      <c r="G514" t="b">
        <v>1</v>
      </c>
      <c r="H514">
        <f>Sensitivity!H12</f>
        <v/>
      </c>
    </row>
    <row r="515">
      <c r="A515" t="inlineStr">
        <is>
          <t>legs</t>
        </is>
      </c>
      <c r="B515" t="inlineStr">
        <is>
          <t>unique</t>
        </is>
      </c>
      <c r="C515" t="n">
        <v>1</v>
      </c>
      <c r="D515" t="inlineStr">
        <is>
          <t>Final Damage %</t>
        </is>
      </c>
      <c r="E515" t="n">
        <v>5</v>
      </c>
      <c r="F515" t="n">
        <v>1</v>
      </c>
      <c r="G515" t="b">
        <v>1</v>
      </c>
      <c r="H515">
        <f>Sensitivity!H12</f>
        <v/>
      </c>
    </row>
    <row r="516">
      <c r="A516" t="inlineStr">
        <is>
          <t>legs</t>
        </is>
      </c>
      <c r="B516" t="inlineStr">
        <is>
          <t>unique</t>
        </is>
      </c>
      <c r="C516" t="n">
        <v>2</v>
      </c>
      <c r="D516" t="inlineStr">
        <is>
          <t>Final Damage %</t>
        </is>
      </c>
      <c r="E516" t="n">
        <v>5</v>
      </c>
      <c r="F516" t="n">
        <v>0.24</v>
      </c>
      <c r="G516" t="b">
        <v>1</v>
      </c>
      <c r="H516">
        <f>Sensitivity!H12</f>
        <v/>
      </c>
    </row>
    <row r="517">
      <c r="A517" t="inlineStr">
        <is>
          <t>legs</t>
        </is>
      </c>
      <c r="B517" t="inlineStr">
        <is>
          <t>unique</t>
        </is>
      </c>
      <c r="C517" t="n">
        <v>2</v>
      </c>
      <c r="D517" t="inlineStr">
        <is>
          <t>Final Damage %</t>
        </is>
      </c>
      <c r="E517" t="n">
        <v>3</v>
      </c>
      <c r="F517" t="n">
        <v>0.76</v>
      </c>
      <c r="G517" t="b">
        <v>0</v>
      </c>
      <c r="H517">
        <f>Sensitivity!H12</f>
        <v/>
      </c>
    </row>
    <row r="518">
      <c r="A518" t="inlineStr">
        <is>
          <t>legs</t>
        </is>
      </c>
      <c r="B518" t="inlineStr">
        <is>
          <t>unique</t>
        </is>
      </c>
      <c r="C518" t="n">
        <v>3</v>
      </c>
      <c r="D518" t="inlineStr">
        <is>
          <t>Final Damage %</t>
        </is>
      </c>
      <c r="E518" t="n">
        <v>5</v>
      </c>
      <c r="F518" t="n">
        <v>0.08</v>
      </c>
      <c r="G518" t="b">
        <v>1</v>
      </c>
      <c r="H518">
        <f>Sensitivity!H12</f>
        <v/>
      </c>
    </row>
    <row r="519">
      <c r="A519" t="inlineStr">
        <is>
          <t>legs</t>
        </is>
      </c>
      <c r="B519" t="inlineStr">
        <is>
          <t>unique</t>
        </is>
      </c>
      <c r="C519" t="n">
        <v>3</v>
      </c>
      <c r="D519" t="inlineStr">
        <is>
          <t>Final Damage %</t>
        </is>
      </c>
      <c r="E519" t="n">
        <v>3</v>
      </c>
      <c r="F519" t="n">
        <v>0.92</v>
      </c>
      <c r="G519" t="b">
        <v>0</v>
      </c>
      <c r="H519">
        <f>Sensitivity!H12</f>
        <v/>
      </c>
    </row>
    <row r="520">
      <c r="A520" t="inlineStr">
        <is>
          <t>legs</t>
        </is>
      </c>
      <c r="B520" t="inlineStr">
        <is>
          <t>legendary</t>
        </is>
      </c>
      <c r="C520" t="n">
        <v>1</v>
      </c>
      <c r="D520" t="inlineStr">
        <is>
          <t>Final Damage %</t>
        </is>
      </c>
      <c r="E520" t="n">
        <v>8</v>
      </c>
      <c r="F520" t="n">
        <v>1</v>
      </c>
      <c r="G520" t="b">
        <v>1</v>
      </c>
      <c r="H520">
        <f>Sensitivity!H12</f>
        <v/>
      </c>
    </row>
    <row r="521">
      <c r="A521" t="inlineStr">
        <is>
          <t>legs</t>
        </is>
      </c>
      <c r="B521" t="inlineStr">
        <is>
          <t>legendary</t>
        </is>
      </c>
      <c r="C521" t="n">
        <v>2</v>
      </c>
      <c r="D521" t="inlineStr">
        <is>
          <t>Final Damage %</t>
        </is>
      </c>
      <c r="E521" t="n">
        <v>8</v>
      </c>
      <c r="F521" t="n">
        <v>0.24</v>
      </c>
      <c r="G521" t="b">
        <v>1</v>
      </c>
      <c r="H521">
        <f>Sensitivity!H12</f>
        <v/>
      </c>
    </row>
    <row r="522">
      <c r="A522" t="inlineStr">
        <is>
          <t>legs</t>
        </is>
      </c>
      <c r="B522" t="inlineStr">
        <is>
          <t>legendary</t>
        </is>
      </c>
      <c r="C522" t="n">
        <v>2</v>
      </c>
      <c r="D522" t="inlineStr">
        <is>
          <t>Final Damage %</t>
        </is>
      </c>
      <c r="E522" t="n">
        <v>5</v>
      </c>
      <c r="F522" t="n">
        <v>0.76</v>
      </c>
      <c r="G522" t="b">
        <v>0</v>
      </c>
      <c r="H522">
        <f>Sensitivity!H12</f>
        <v/>
      </c>
    </row>
    <row r="523">
      <c r="A523" t="inlineStr">
        <is>
          <t>legs</t>
        </is>
      </c>
      <c r="B523" t="inlineStr">
        <is>
          <t>legendary</t>
        </is>
      </c>
      <c r="C523" t="n">
        <v>3</v>
      </c>
      <c r="D523" t="inlineStr">
        <is>
          <t>Final Damage %</t>
        </is>
      </c>
      <c r="E523" t="n">
        <v>8</v>
      </c>
      <c r="F523" t="n">
        <v>0.08</v>
      </c>
      <c r="G523" t="b">
        <v>1</v>
      </c>
      <c r="H523">
        <f>Sensitivity!H12</f>
        <v/>
      </c>
    </row>
    <row r="524">
      <c r="A524" t="inlineStr">
        <is>
          <t>legs</t>
        </is>
      </c>
      <c r="B524" t="inlineStr">
        <is>
          <t>legendary</t>
        </is>
      </c>
      <c r="C524" t="n">
        <v>3</v>
      </c>
      <c r="D524" t="inlineStr">
        <is>
          <t>Final Damage %</t>
        </is>
      </c>
      <c r="E524" t="n">
        <v>5</v>
      </c>
      <c r="F524" t="n">
        <v>0.92</v>
      </c>
      <c r="G524" t="b">
        <v>0</v>
      </c>
      <c r="H524">
        <f>Sensitivity!H12</f>
        <v/>
      </c>
    </row>
    <row r="525">
      <c r="A525" t="inlineStr">
        <is>
          <t>legs</t>
        </is>
      </c>
      <c r="B525" t="inlineStr">
        <is>
          <t>mystic</t>
        </is>
      </c>
      <c r="C525" t="n">
        <v>1</v>
      </c>
      <c r="D525" t="inlineStr">
        <is>
          <t>Final Damage %</t>
        </is>
      </c>
      <c r="E525" t="n">
        <v>12</v>
      </c>
      <c r="F525" t="n">
        <v>1</v>
      </c>
      <c r="G525" t="b">
        <v>1</v>
      </c>
      <c r="H525">
        <f>Sensitivity!H12</f>
        <v/>
      </c>
    </row>
    <row r="526">
      <c r="A526" t="inlineStr">
        <is>
          <t>legs</t>
        </is>
      </c>
      <c r="B526" t="inlineStr">
        <is>
          <t>mystic</t>
        </is>
      </c>
      <c r="C526" t="n">
        <v>2</v>
      </c>
      <c r="D526" t="inlineStr">
        <is>
          <t>Final Damage %</t>
        </is>
      </c>
      <c r="E526" t="n">
        <v>12</v>
      </c>
      <c r="F526" t="n">
        <v>0.24</v>
      </c>
      <c r="G526" t="b">
        <v>1</v>
      </c>
      <c r="H526">
        <f>Sensitivity!H12</f>
        <v/>
      </c>
    </row>
    <row r="527">
      <c r="A527" t="inlineStr">
        <is>
          <t>legs</t>
        </is>
      </c>
      <c r="B527" t="inlineStr">
        <is>
          <t>mystic</t>
        </is>
      </c>
      <c r="C527" t="n">
        <v>2</v>
      </c>
      <c r="D527" t="inlineStr">
        <is>
          <t>Final Damage %</t>
        </is>
      </c>
      <c r="E527" t="n">
        <v>8</v>
      </c>
      <c r="F527" t="n">
        <v>0.76</v>
      </c>
      <c r="G527" t="b">
        <v>0</v>
      </c>
      <c r="H527">
        <f>Sensitivity!H12</f>
        <v/>
      </c>
    </row>
    <row r="528">
      <c r="A528" t="inlineStr">
        <is>
          <t>legs</t>
        </is>
      </c>
      <c r="B528" t="inlineStr">
        <is>
          <t>mystic</t>
        </is>
      </c>
      <c r="C528" t="n">
        <v>3</v>
      </c>
      <c r="D528" t="inlineStr">
        <is>
          <t>Final Damage %</t>
        </is>
      </c>
      <c r="E528" t="n">
        <v>12</v>
      </c>
      <c r="F528" t="n">
        <v>0.08</v>
      </c>
      <c r="G528" t="b">
        <v>1</v>
      </c>
      <c r="H528">
        <f>Sensitivity!H12</f>
        <v/>
      </c>
    </row>
    <row r="529">
      <c r="A529" t="inlineStr">
        <is>
          <t>legs</t>
        </is>
      </c>
      <c r="B529" t="inlineStr">
        <is>
          <t>mystic</t>
        </is>
      </c>
      <c r="C529" t="n">
        <v>3</v>
      </c>
      <c r="D529" t="inlineStr">
        <is>
          <t>Final Damage %</t>
        </is>
      </c>
      <c r="E529" t="n">
        <v>8</v>
      </c>
      <c r="F529" t="n">
        <v>0.92</v>
      </c>
      <c r="G529" t="b">
        <v>0</v>
      </c>
      <c r="H529">
        <f>Sensitivity!H12</f>
        <v/>
      </c>
    </row>
    <row r="530">
      <c r="A530" t="inlineStr">
        <is>
          <t>belt</t>
        </is>
      </c>
      <c r="B530" t="inlineStr">
        <is>
          <t>epic</t>
        </is>
      </c>
      <c r="C530" t="n">
        <v>1</v>
      </c>
      <c r="D530" t="inlineStr">
        <is>
          <t>Buff Duration Increase %</t>
        </is>
      </c>
      <c r="E530" t="n">
        <v>5</v>
      </c>
      <c r="F530" t="n">
        <v>1</v>
      </c>
      <c r="G530" t="b">
        <v>1</v>
      </c>
      <c r="H530">
        <f>Sensitivity!H30</f>
        <v/>
      </c>
    </row>
    <row r="531">
      <c r="A531" t="inlineStr">
        <is>
          <t>belt</t>
        </is>
      </c>
      <c r="B531" t="inlineStr">
        <is>
          <t>epic</t>
        </is>
      </c>
      <c r="C531" t="n">
        <v>2</v>
      </c>
      <c r="D531" t="inlineStr">
        <is>
          <t>Buff Duration Increase %</t>
        </is>
      </c>
      <c r="E531" t="n">
        <v>5</v>
      </c>
      <c r="F531" t="n">
        <v>0.24</v>
      </c>
      <c r="G531" t="b">
        <v>1</v>
      </c>
      <c r="H531">
        <f>Sensitivity!H30</f>
        <v/>
      </c>
    </row>
    <row r="532">
      <c r="A532" t="inlineStr">
        <is>
          <t>belt</t>
        </is>
      </c>
      <c r="B532" t="inlineStr">
        <is>
          <t>epic</t>
        </is>
      </c>
      <c r="C532" t="n">
        <v>3</v>
      </c>
      <c r="D532" t="inlineStr">
        <is>
          <t>Buff Duration Increase %</t>
        </is>
      </c>
      <c r="E532" t="n">
        <v>5</v>
      </c>
      <c r="F532" t="n">
        <v>0.08</v>
      </c>
      <c r="G532" t="b">
        <v>1</v>
      </c>
      <c r="H532">
        <f>Sensitivity!H30</f>
        <v/>
      </c>
    </row>
    <row r="533">
      <c r="A533" t="inlineStr">
        <is>
          <t>belt</t>
        </is>
      </c>
      <c r="B533" t="inlineStr">
        <is>
          <t>unique</t>
        </is>
      </c>
      <c r="C533" t="n">
        <v>1</v>
      </c>
      <c r="D533" t="inlineStr">
        <is>
          <t>Buff Duration Increase %</t>
        </is>
      </c>
      <c r="E533" t="n">
        <v>8</v>
      </c>
      <c r="F533" t="n">
        <v>1</v>
      </c>
      <c r="G533" t="b">
        <v>1</v>
      </c>
      <c r="H533">
        <f>Sensitivity!H30</f>
        <v/>
      </c>
    </row>
    <row r="534">
      <c r="A534" t="inlineStr">
        <is>
          <t>belt</t>
        </is>
      </c>
      <c r="B534" t="inlineStr">
        <is>
          <t>unique</t>
        </is>
      </c>
      <c r="C534" t="n">
        <v>2</v>
      </c>
      <c r="D534" t="inlineStr">
        <is>
          <t>Buff Duration Increase %</t>
        </is>
      </c>
      <c r="E534" t="n">
        <v>8</v>
      </c>
      <c r="F534" t="n">
        <v>0.24</v>
      </c>
      <c r="G534" t="b">
        <v>1</v>
      </c>
      <c r="H534">
        <f>Sensitivity!H30</f>
        <v/>
      </c>
    </row>
    <row r="535">
      <c r="A535" t="inlineStr">
        <is>
          <t>belt</t>
        </is>
      </c>
      <c r="B535" t="inlineStr">
        <is>
          <t>unique</t>
        </is>
      </c>
      <c r="C535" t="n">
        <v>2</v>
      </c>
      <c r="D535" t="inlineStr">
        <is>
          <t>Buff Duration Increase %</t>
        </is>
      </c>
      <c r="E535" t="n">
        <v>5</v>
      </c>
      <c r="F535" t="n">
        <v>0.76</v>
      </c>
      <c r="G535" t="b">
        <v>0</v>
      </c>
      <c r="H535">
        <f>Sensitivity!H30</f>
        <v/>
      </c>
    </row>
    <row r="536">
      <c r="A536" t="inlineStr">
        <is>
          <t>belt</t>
        </is>
      </c>
      <c r="B536" t="inlineStr">
        <is>
          <t>unique</t>
        </is>
      </c>
      <c r="C536" t="n">
        <v>3</v>
      </c>
      <c r="D536" t="inlineStr">
        <is>
          <t>Buff Duration Increase %</t>
        </is>
      </c>
      <c r="E536" t="n">
        <v>8</v>
      </c>
      <c r="F536" t="n">
        <v>0.08</v>
      </c>
      <c r="G536" t="b">
        <v>1</v>
      </c>
      <c r="H536">
        <f>Sensitivity!H30</f>
        <v/>
      </c>
    </row>
    <row r="537">
      <c r="A537" t="inlineStr">
        <is>
          <t>belt</t>
        </is>
      </c>
      <c r="B537" t="inlineStr">
        <is>
          <t>unique</t>
        </is>
      </c>
      <c r="C537" t="n">
        <v>3</v>
      </c>
      <c r="D537" t="inlineStr">
        <is>
          <t>Buff Duration Increase %</t>
        </is>
      </c>
      <c r="E537" t="n">
        <v>5</v>
      </c>
      <c r="F537" t="n">
        <v>0.92</v>
      </c>
      <c r="G537" t="b">
        <v>0</v>
      </c>
      <c r="H537">
        <f>Sensitivity!H30</f>
        <v/>
      </c>
    </row>
    <row r="538">
      <c r="A538" t="inlineStr">
        <is>
          <t>belt</t>
        </is>
      </c>
      <c r="B538" t="inlineStr">
        <is>
          <t>legendary</t>
        </is>
      </c>
      <c r="C538" t="n">
        <v>1</v>
      </c>
      <c r="D538" t="inlineStr">
        <is>
          <t>Buff Duration Increase %</t>
        </is>
      </c>
      <c r="E538" t="n">
        <v>12</v>
      </c>
      <c r="F538" t="n">
        <v>1</v>
      </c>
      <c r="G538" t="b">
        <v>1</v>
      </c>
      <c r="H538">
        <f>Sensitivity!H30</f>
        <v/>
      </c>
    </row>
    <row r="539">
      <c r="A539" t="inlineStr">
        <is>
          <t>belt</t>
        </is>
      </c>
      <c r="B539" t="inlineStr">
        <is>
          <t>legendary</t>
        </is>
      </c>
      <c r="C539" t="n">
        <v>2</v>
      </c>
      <c r="D539" t="inlineStr">
        <is>
          <t>Buff Duration Increase %</t>
        </is>
      </c>
      <c r="E539" t="n">
        <v>12</v>
      </c>
      <c r="F539" t="n">
        <v>0.24</v>
      </c>
      <c r="G539" t="b">
        <v>1</v>
      </c>
      <c r="H539">
        <f>Sensitivity!H30</f>
        <v/>
      </c>
    </row>
    <row r="540">
      <c r="A540" t="inlineStr">
        <is>
          <t>belt</t>
        </is>
      </c>
      <c r="B540" t="inlineStr">
        <is>
          <t>legendary</t>
        </is>
      </c>
      <c r="C540" t="n">
        <v>2</v>
      </c>
      <c r="D540" t="inlineStr">
        <is>
          <t>Buff Duration Increase %</t>
        </is>
      </c>
      <c r="E540" t="n">
        <v>8</v>
      </c>
      <c r="F540" t="n">
        <v>0.76</v>
      </c>
      <c r="G540" t="b">
        <v>0</v>
      </c>
      <c r="H540">
        <f>Sensitivity!H30</f>
        <v/>
      </c>
    </row>
    <row r="541">
      <c r="A541" t="inlineStr">
        <is>
          <t>belt</t>
        </is>
      </c>
      <c r="B541" t="inlineStr">
        <is>
          <t>legendary</t>
        </is>
      </c>
      <c r="C541" t="n">
        <v>3</v>
      </c>
      <c r="D541" t="inlineStr">
        <is>
          <t>Buff Duration Increase %</t>
        </is>
      </c>
      <c r="E541" t="n">
        <v>12</v>
      </c>
      <c r="F541" t="n">
        <v>0.08</v>
      </c>
      <c r="G541" t="b">
        <v>1</v>
      </c>
      <c r="H541">
        <f>Sensitivity!H30</f>
        <v/>
      </c>
    </row>
    <row r="542">
      <c r="A542" t="inlineStr">
        <is>
          <t>belt</t>
        </is>
      </c>
      <c r="B542" t="inlineStr">
        <is>
          <t>legendary</t>
        </is>
      </c>
      <c r="C542" t="n">
        <v>3</v>
      </c>
      <c r="D542" t="inlineStr">
        <is>
          <t>Buff Duration Increase %</t>
        </is>
      </c>
      <c r="E542" t="n">
        <v>8</v>
      </c>
      <c r="F542" t="n">
        <v>0.92</v>
      </c>
      <c r="G542" t="b">
        <v>0</v>
      </c>
      <c r="H542">
        <f>Sensitivity!H30</f>
        <v/>
      </c>
    </row>
    <row r="543">
      <c r="A543" t="inlineStr">
        <is>
          <t>belt</t>
        </is>
      </c>
      <c r="B543" t="inlineStr">
        <is>
          <t>mystic</t>
        </is>
      </c>
      <c r="C543" t="n">
        <v>1</v>
      </c>
      <c r="D543" t="inlineStr">
        <is>
          <t>Buff Duration Increase %</t>
        </is>
      </c>
      <c r="E543" t="n">
        <v>20</v>
      </c>
      <c r="F543" t="n">
        <v>1</v>
      </c>
      <c r="G543" t="b">
        <v>1</v>
      </c>
      <c r="H543">
        <f>Sensitivity!H30</f>
        <v/>
      </c>
    </row>
    <row r="544">
      <c r="A544" t="inlineStr">
        <is>
          <t>belt</t>
        </is>
      </c>
      <c r="B544" t="inlineStr">
        <is>
          <t>mystic</t>
        </is>
      </c>
      <c r="C544" t="n">
        <v>2</v>
      </c>
      <c r="D544" t="inlineStr">
        <is>
          <t>Buff Duration Increase %</t>
        </is>
      </c>
      <c r="E544" t="n">
        <v>20</v>
      </c>
      <c r="F544" t="n">
        <v>0.24</v>
      </c>
      <c r="G544" t="b">
        <v>1</v>
      </c>
      <c r="H544">
        <f>Sensitivity!H30</f>
        <v/>
      </c>
    </row>
    <row r="545">
      <c r="A545" t="inlineStr">
        <is>
          <t>belt</t>
        </is>
      </c>
      <c r="B545" t="inlineStr">
        <is>
          <t>mystic</t>
        </is>
      </c>
      <c r="C545" t="n">
        <v>2</v>
      </c>
      <c r="D545" t="inlineStr">
        <is>
          <t>Buff Duration Increase %</t>
        </is>
      </c>
      <c r="E545" t="n">
        <v>12</v>
      </c>
      <c r="F545" t="n">
        <v>0.76</v>
      </c>
      <c r="G545" t="b">
        <v>0</v>
      </c>
      <c r="H545">
        <f>Sensitivity!H30</f>
        <v/>
      </c>
    </row>
    <row r="546">
      <c r="A546" t="inlineStr">
        <is>
          <t>belt</t>
        </is>
      </c>
      <c r="B546" t="inlineStr">
        <is>
          <t>mystic</t>
        </is>
      </c>
      <c r="C546" t="n">
        <v>3</v>
      </c>
      <c r="D546" t="inlineStr">
        <is>
          <t>Buff Duration Increase %</t>
        </is>
      </c>
      <c r="E546" t="n">
        <v>20</v>
      </c>
      <c r="F546" t="n">
        <v>0.08</v>
      </c>
      <c r="G546" t="b">
        <v>1</v>
      </c>
      <c r="H546">
        <f>Sensitivity!H30</f>
        <v/>
      </c>
    </row>
    <row r="547">
      <c r="A547" t="inlineStr">
        <is>
          <t>belt</t>
        </is>
      </c>
      <c r="B547" t="inlineStr">
        <is>
          <t>mystic</t>
        </is>
      </c>
      <c r="C547" t="n">
        <v>3</v>
      </c>
      <c r="D547" t="inlineStr">
        <is>
          <t>Buff Duration Increase %</t>
        </is>
      </c>
      <c r="E547" t="n">
        <v>12</v>
      </c>
      <c r="F547" t="n">
        <v>0.92</v>
      </c>
      <c r="G547" t="b">
        <v>0</v>
      </c>
      <c r="H547">
        <f>Sensitivity!H30</f>
        <v/>
      </c>
    </row>
    <row r="548">
      <c r="A548" t="inlineStr">
        <is>
          <t>gloves</t>
        </is>
      </c>
      <c r="B548" t="inlineStr">
        <is>
          <t>epic</t>
        </is>
      </c>
      <c r="C548" t="n">
        <v>1</v>
      </c>
      <c r="D548" t="inlineStr">
        <is>
          <t>Critical Damage %</t>
        </is>
      </c>
      <c r="E548" t="n">
        <v>10</v>
      </c>
      <c r="F548" t="n">
        <v>1</v>
      </c>
      <c r="G548" t="b">
        <v>1</v>
      </c>
      <c r="H548">
        <f>Sensitivity!H16</f>
        <v/>
      </c>
    </row>
    <row r="549">
      <c r="A549" t="inlineStr">
        <is>
          <t>gloves</t>
        </is>
      </c>
      <c r="B549" t="inlineStr">
        <is>
          <t>epic</t>
        </is>
      </c>
      <c r="C549" t="n">
        <v>2</v>
      </c>
      <c r="D549" t="inlineStr">
        <is>
          <t>Critical Damage %</t>
        </is>
      </c>
      <c r="E549" t="n">
        <v>10</v>
      </c>
      <c r="F549" t="n">
        <v>0.24</v>
      </c>
      <c r="G549" t="b">
        <v>1</v>
      </c>
      <c r="H549">
        <f>Sensitivity!H16</f>
        <v/>
      </c>
    </row>
    <row r="550">
      <c r="A550" t="inlineStr">
        <is>
          <t>gloves</t>
        </is>
      </c>
      <c r="B550" t="inlineStr">
        <is>
          <t>epic</t>
        </is>
      </c>
      <c r="C550" t="n">
        <v>3</v>
      </c>
      <c r="D550" t="inlineStr">
        <is>
          <t>Critical Damage %</t>
        </is>
      </c>
      <c r="E550" t="n">
        <v>10</v>
      </c>
      <c r="F550" t="n">
        <v>0.08</v>
      </c>
      <c r="G550" t="b">
        <v>1</v>
      </c>
      <c r="H550">
        <f>Sensitivity!H16</f>
        <v/>
      </c>
    </row>
    <row r="551">
      <c r="A551" t="inlineStr">
        <is>
          <t>gloves</t>
        </is>
      </c>
      <c r="B551" t="inlineStr">
        <is>
          <t>unique</t>
        </is>
      </c>
      <c r="C551" t="n">
        <v>1</v>
      </c>
      <c r="D551" t="inlineStr">
        <is>
          <t>Critical Damage %</t>
        </is>
      </c>
      <c r="E551" t="n">
        <v>20</v>
      </c>
      <c r="F551" t="n">
        <v>1</v>
      </c>
      <c r="G551" t="b">
        <v>1</v>
      </c>
      <c r="H551">
        <f>Sensitivity!H16</f>
        <v/>
      </c>
    </row>
    <row r="552">
      <c r="A552" t="inlineStr">
        <is>
          <t>gloves</t>
        </is>
      </c>
      <c r="B552" t="inlineStr">
        <is>
          <t>unique</t>
        </is>
      </c>
      <c r="C552" t="n">
        <v>2</v>
      </c>
      <c r="D552" t="inlineStr">
        <is>
          <t>Critical Damage %</t>
        </is>
      </c>
      <c r="E552" t="n">
        <v>20</v>
      </c>
      <c r="F552" t="n">
        <v>0.24</v>
      </c>
      <c r="G552" t="b">
        <v>1</v>
      </c>
      <c r="H552">
        <f>Sensitivity!H16</f>
        <v/>
      </c>
    </row>
    <row r="553">
      <c r="A553" t="inlineStr">
        <is>
          <t>gloves</t>
        </is>
      </c>
      <c r="B553" t="inlineStr">
        <is>
          <t>unique</t>
        </is>
      </c>
      <c r="C553" t="n">
        <v>2</v>
      </c>
      <c r="D553" t="inlineStr">
        <is>
          <t>Critical Damage %</t>
        </is>
      </c>
      <c r="E553" t="n">
        <v>10</v>
      </c>
      <c r="F553" t="n">
        <v>0.76</v>
      </c>
      <c r="G553" t="b">
        <v>0</v>
      </c>
      <c r="H553">
        <f>Sensitivity!H16</f>
        <v/>
      </c>
    </row>
    <row r="554">
      <c r="A554" t="inlineStr">
        <is>
          <t>gloves</t>
        </is>
      </c>
      <c r="B554" t="inlineStr">
        <is>
          <t>unique</t>
        </is>
      </c>
      <c r="C554" t="n">
        <v>3</v>
      </c>
      <c r="D554" t="inlineStr">
        <is>
          <t>Critical Damage %</t>
        </is>
      </c>
      <c r="E554" t="n">
        <v>20</v>
      </c>
      <c r="F554" t="n">
        <v>0.08</v>
      </c>
      <c r="G554" t="b">
        <v>1</v>
      </c>
      <c r="H554">
        <f>Sensitivity!H16</f>
        <v/>
      </c>
    </row>
    <row r="555">
      <c r="A555" t="inlineStr">
        <is>
          <t>gloves</t>
        </is>
      </c>
      <c r="B555" t="inlineStr">
        <is>
          <t>unique</t>
        </is>
      </c>
      <c r="C555" t="n">
        <v>3</v>
      </c>
      <c r="D555" t="inlineStr">
        <is>
          <t>Critical Damage %</t>
        </is>
      </c>
      <c r="E555" t="n">
        <v>10</v>
      </c>
      <c r="F555" t="n">
        <v>0.92</v>
      </c>
      <c r="G555" t="b">
        <v>0</v>
      </c>
      <c r="H555">
        <f>Sensitivity!H16</f>
        <v/>
      </c>
    </row>
    <row r="556">
      <c r="A556" t="inlineStr">
        <is>
          <t>gloves</t>
        </is>
      </c>
      <c r="B556" t="inlineStr">
        <is>
          <t>legendary</t>
        </is>
      </c>
      <c r="C556" t="n">
        <v>1</v>
      </c>
      <c r="D556" t="inlineStr">
        <is>
          <t>Critical Damage %</t>
        </is>
      </c>
      <c r="E556" t="n">
        <v>30</v>
      </c>
      <c r="F556" t="n">
        <v>1</v>
      </c>
      <c r="G556" t="b">
        <v>1</v>
      </c>
      <c r="H556">
        <f>Sensitivity!H16</f>
        <v/>
      </c>
    </row>
    <row r="557">
      <c r="A557" t="inlineStr">
        <is>
          <t>gloves</t>
        </is>
      </c>
      <c r="B557" t="inlineStr">
        <is>
          <t>legendary</t>
        </is>
      </c>
      <c r="C557" t="n">
        <v>2</v>
      </c>
      <c r="D557" t="inlineStr">
        <is>
          <t>Critical Damage %</t>
        </is>
      </c>
      <c r="E557" t="n">
        <v>30</v>
      </c>
      <c r="F557" t="n">
        <v>0.24</v>
      </c>
      <c r="G557" t="b">
        <v>1</v>
      </c>
      <c r="H557">
        <f>Sensitivity!H16</f>
        <v/>
      </c>
    </row>
    <row r="558">
      <c r="A558" t="inlineStr">
        <is>
          <t>gloves</t>
        </is>
      </c>
      <c r="B558" t="inlineStr">
        <is>
          <t>legendary</t>
        </is>
      </c>
      <c r="C558" t="n">
        <v>2</v>
      </c>
      <c r="D558" t="inlineStr">
        <is>
          <t>Critical Damage %</t>
        </is>
      </c>
      <c r="E558" t="n">
        <v>20</v>
      </c>
      <c r="F558" t="n">
        <v>0.76</v>
      </c>
      <c r="G558" t="b">
        <v>0</v>
      </c>
      <c r="H558">
        <f>Sensitivity!H16</f>
        <v/>
      </c>
    </row>
    <row r="559">
      <c r="A559" t="inlineStr">
        <is>
          <t>gloves</t>
        </is>
      </c>
      <c r="B559" t="inlineStr">
        <is>
          <t>legendary</t>
        </is>
      </c>
      <c r="C559" t="n">
        <v>3</v>
      </c>
      <c r="D559" t="inlineStr">
        <is>
          <t>Critical Damage %</t>
        </is>
      </c>
      <c r="E559" t="n">
        <v>30</v>
      </c>
      <c r="F559" t="n">
        <v>0.08</v>
      </c>
      <c r="G559" t="b">
        <v>1</v>
      </c>
      <c r="H559">
        <f>Sensitivity!H16</f>
        <v/>
      </c>
    </row>
    <row r="560">
      <c r="A560" t="inlineStr">
        <is>
          <t>gloves</t>
        </is>
      </c>
      <c r="B560" t="inlineStr">
        <is>
          <t>legendary</t>
        </is>
      </c>
      <c r="C560" t="n">
        <v>3</v>
      </c>
      <c r="D560" t="inlineStr">
        <is>
          <t>Critical Damage %</t>
        </is>
      </c>
      <c r="E560" t="n">
        <v>20</v>
      </c>
      <c r="F560" t="n">
        <v>0.92</v>
      </c>
      <c r="G560" t="b">
        <v>0</v>
      </c>
      <c r="H560">
        <f>Sensitivity!H16</f>
        <v/>
      </c>
    </row>
    <row r="561">
      <c r="A561" t="inlineStr">
        <is>
          <t>gloves</t>
        </is>
      </c>
      <c r="B561" t="inlineStr">
        <is>
          <t>mystic</t>
        </is>
      </c>
      <c r="C561" t="n">
        <v>1</v>
      </c>
      <c r="D561" t="inlineStr">
        <is>
          <t>Critical Damage %</t>
        </is>
      </c>
      <c r="E561" t="n">
        <v>50</v>
      </c>
      <c r="F561" t="n">
        <v>1</v>
      </c>
      <c r="G561" t="b">
        <v>1</v>
      </c>
      <c r="H561">
        <f>Sensitivity!H16</f>
        <v/>
      </c>
    </row>
    <row r="562">
      <c r="A562" t="inlineStr">
        <is>
          <t>gloves</t>
        </is>
      </c>
      <c r="B562" t="inlineStr">
        <is>
          <t>mystic</t>
        </is>
      </c>
      <c r="C562" t="n">
        <v>2</v>
      </c>
      <c r="D562" t="inlineStr">
        <is>
          <t>Critical Damage %</t>
        </is>
      </c>
      <c r="E562" t="n">
        <v>50</v>
      </c>
      <c r="F562" t="n">
        <v>0.24</v>
      </c>
      <c r="G562" t="b">
        <v>1</v>
      </c>
      <c r="H562">
        <f>Sensitivity!H16</f>
        <v/>
      </c>
    </row>
    <row r="563">
      <c r="A563" t="inlineStr">
        <is>
          <t>gloves</t>
        </is>
      </c>
      <c r="B563" t="inlineStr">
        <is>
          <t>mystic</t>
        </is>
      </c>
      <c r="C563" t="n">
        <v>2</v>
      </c>
      <c r="D563" t="inlineStr">
        <is>
          <t>Critical Damage %</t>
        </is>
      </c>
      <c r="E563" t="n">
        <v>30</v>
      </c>
      <c r="F563" t="n">
        <v>0.76</v>
      </c>
      <c r="G563" t="b">
        <v>0</v>
      </c>
      <c r="H563">
        <f>Sensitivity!H16</f>
        <v/>
      </c>
    </row>
    <row r="564">
      <c r="A564" t="inlineStr">
        <is>
          <t>gloves</t>
        </is>
      </c>
      <c r="B564" t="inlineStr">
        <is>
          <t>mystic</t>
        </is>
      </c>
      <c r="C564" t="n">
        <v>3</v>
      </c>
      <c r="D564" t="inlineStr">
        <is>
          <t>Critical Damage %</t>
        </is>
      </c>
      <c r="E564" t="n">
        <v>50</v>
      </c>
      <c r="F564" t="n">
        <v>0.08</v>
      </c>
      <c r="G564" t="b">
        <v>1</v>
      </c>
      <c r="H564">
        <f>Sensitivity!H16</f>
        <v/>
      </c>
    </row>
    <row r="565">
      <c r="A565" t="inlineStr">
        <is>
          <t>gloves</t>
        </is>
      </c>
      <c r="B565" t="inlineStr">
        <is>
          <t>mystic</t>
        </is>
      </c>
      <c r="C565" t="n">
        <v>3</v>
      </c>
      <c r="D565" t="inlineStr">
        <is>
          <t>Critical Damage %</t>
        </is>
      </c>
      <c r="E565" t="n">
        <v>30</v>
      </c>
      <c r="F565" t="n">
        <v>0.92</v>
      </c>
      <c r="G565" t="b">
        <v>0</v>
      </c>
      <c r="H565">
        <f>Sensitivity!H16</f>
        <v/>
      </c>
    </row>
    <row r="566">
      <c r="A566" t="inlineStr">
        <is>
          <t>boots</t>
        </is>
      </c>
      <c r="B566" t="inlineStr">
        <is>
          <t>epic</t>
        </is>
      </c>
      <c r="C566" t="n">
        <v>1</v>
      </c>
      <c r="D566" t="inlineStr">
        <is>
          <t>Companion Summoning Time Increase %</t>
        </is>
      </c>
      <c r="E566" t="n">
        <v>5</v>
      </c>
      <c r="F566" t="n">
        <v>1</v>
      </c>
      <c r="G566" t="b">
        <v>1</v>
      </c>
      <c r="H566">
        <f>Sensitivity!H16</f>
        <v/>
      </c>
    </row>
    <row r="567">
      <c r="A567" t="inlineStr">
        <is>
          <t>boots</t>
        </is>
      </c>
      <c r="B567" t="inlineStr">
        <is>
          <t>epic</t>
        </is>
      </c>
      <c r="C567" t="n">
        <v>2</v>
      </c>
      <c r="D567" t="inlineStr">
        <is>
          <t>Companion Summoning Time Increase %</t>
        </is>
      </c>
      <c r="E567" t="n">
        <v>5</v>
      </c>
      <c r="F567" t="n">
        <v>0.24</v>
      </c>
      <c r="G567" t="b">
        <v>1</v>
      </c>
      <c r="H567">
        <f>Sensitivity!H16</f>
        <v/>
      </c>
    </row>
    <row r="568">
      <c r="A568" t="inlineStr">
        <is>
          <t>boots</t>
        </is>
      </c>
      <c r="B568" t="inlineStr">
        <is>
          <t>epic</t>
        </is>
      </c>
      <c r="C568" t="n">
        <v>3</v>
      </c>
      <c r="D568" t="inlineStr">
        <is>
          <t>Companion Summoning Time Increase %</t>
        </is>
      </c>
      <c r="E568" t="n">
        <v>5</v>
      </c>
      <c r="F568" t="n">
        <v>0.08</v>
      </c>
      <c r="G568" t="b">
        <v>1</v>
      </c>
      <c r="H568">
        <f>Sensitivity!H16</f>
        <v/>
      </c>
    </row>
    <row r="569">
      <c r="A569" t="inlineStr">
        <is>
          <t>boots</t>
        </is>
      </c>
      <c r="B569" t="inlineStr">
        <is>
          <t>unique</t>
        </is>
      </c>
      <c r="C569" t="n">
        <v>1</v>
      </c>
      <c r="D569" t="inlineStr">
        <is>
          <t>Companion Summoning Time Increase %</t>
        </is>
      </c>
      <c r="E569" t="n">
        <v>8</v>
      </c>
      <c r="F569" t="n">
        <v>1</v>
      </c>
      <c r="G569" t="b">
        <v>1</v>
      </c>
      <c r="H569">
        <f>Sensitivity!H16</f>
        <v/>
      </c>
    </row>
    <row r="570">
      <c r="A570" t="inlineStr">
        <is>
          <t>boots</t>
        </is>
      </c>
      <c r="B570" t="inlineStr">
        <is>
          <t>unique</t>
        </is>
      </c>
      <c r="C570" t="n">
        <v>2</v>
      </c>
      <c r="D570" t="inlineStr">
        <is>
          <t>Companion Summoning Time Increase %</t>
        </is>
      </c>
      <c r="E570" t="n">
        <v>8</v>
      </c>
      <c r="F570" t="n">
        <v>0.24</v>
      </c>
      <c r="G570" t="b">
        <v>1</v>
      </c>
      <c r="H570">
        <f>Sensitivity!H16</f>
        <v/>
      </c>
    </row>
    <row r="571">
      <c r="A571" t="inlineStr">
        <is>
          <t>boots</t>
        </is>
      </c>
      <c r="B571" t="inlineStr">
        <is>
          <t>unique</t>
        </is>
      </c>
      <c r="C571" t="n">
        <v>2</v>
      </c>
      <c r="D571" t="inlineStr">
        <is>
          <t>Companion Summoning Time Increase %</t>
        </is>
      </c>
      <c r="E571" t="n">
        <v>5</v>
      </c>
      <c r="F571" t="n">
        <v>0.76</v>
      </c>
      <c r="G571" t="b">
        <v>0</v>
      </c>
      <c r="H571">
        <f>Sensitivity!H16</f>
        <v/>
      </c>
    </row>
    <row r="572">
      <c r="A572" t="inlineStr">
        <is>
          <t>boots</t>
        </is>
      </c>
      <c r="B572" t="inlineStr">
        <is>
          <t>unique</t>
        </is>
      </c>
      <c r="C572" t="n">
        <v>3</v>
      </c>
      <c r="D572" t="inlineStr">
        <is>
          <t>Companion Summoning Time Increase %</t>
        </is>
      </c>
      <c r="E572" t="n">
        <v>8</v>
      </c>
      <c r="F572" t="n">
        <v>0.08</v>
      </c>
      <c r="G572" t="b">
        <v>1</v>
      </c>
      <c r="H572">
        <f>Sensitivity!H16</f>
        <v/>
      </c>
    </row>
    <row r="573">
      <c r="A573" t="inlineStr">
        <is>
          <t>boots</t>
        </is>
      </c>
      <c r="B573" t="inlineStr">
        <is>
          <t>unique</t>
        </is>
      </c>
      <c r="C573" t="n">
        <v>3</v>
      </c>
      <c r="D573" t="inlineStr">
        <is>
          <t>Companion Summoning Time Increase %</t>
        </is>
      </c>
      <c r="E573" t="n">
        <v>5</v>
      </c>
      <c r="F573" t="n">
        <v>0.92</v>
      </c>
      <c r="G573" t="b">
        <v>0</v>
      </c>
      <c r="H573">
        <f>Sensitivity!H16</f>
        <v/>
      </c>
    </row>
    <row r="574">
      <c r="A574" t="inlineStr">
        <is>
          <t>boots</t>
        </is>
      </c>
      <c r="B574" t="inlineStr">
        <is>
          <t>legendary</t>
        </is>
      </c>
      <c r="C574" t="n">
        <v>1</v>
      </c>
      <c r="D574" t="inlineStr">
        <is>
          <t>Companion Summoning Time Increase %</t>
        </is>
      </c>
      <c r="E574" t="n">
        <v>12</v>
      </c>
      <c r="F574" t="n">
        <v>1</v>
      </c>
      <c r="G574" t="b">
        <v>1</v>
      </c>
      <c r="H574">
        <f>Sensitivity!H16</f>
        <v/>
      </c>
    </row>
    <row r="575">
      <c r="A575" t="inlineStr">
        <is>
          <t>boots</t>
        </is>
      </c>
      <c r="B575" t="inlineStr">
        <is>
          <t>legendary</t>
        </is>
      </c>
      <c r="C575" t="n">
        <v>2</v>
      </c>
      <c r="D575" t="inlineStr">
        <is>
          <t>Companion Summoning Time Increase %</t>
        </is>
      </c>
      <c r="E575" t="n">
        <v>12</v>
      </c>
      <c r="F575" t="n">
        <v>0.24</v>
      </c>
      <c r="G575" t="b">
        <v>1</v>
      </c>
      <c r="H575">
        <f>Sensitivity!H16</f>
        <v/>
      </c>
    </row>
    <row r="576">
      <c r="A576" t="inlineStr">
        <is>
          <t>boots</t>
        </is>
      </c>
      <c r="B576" t="inlineStr">
        <is>
          <t>legendary</t>
        </is>
      </c>
      <c r="C576" t="n">
        <v>2</v>
      </c>
      <c r="D576" t="inlineStr">
        <is>
          <t>Companion Summoning Time Increase %</t>
        </is>
      </c>
      <c r="E576" t="n">
        <v>8</v>
      </c>
      <c r="F576" t="n">
        <v>0.76</v>
      </c>
      <c r="G576" t="b">
        <v>0</v>
      </c>
      <c r="H576">
        <f>Sensitivity!H16</f>
        <v/>
      </c>
    </row>
    <row r="577">
      <c r="A577" t="inlineStr">
        <is>
          <t>boots</t>
        </is>
      </c>
      <c r="B577" t="inlineStr">
        <is>
          <t>legendary</t>
        </is>
      </c>
      <c r="C577" t="n">
        <v>3</v>
      </c>
      <c r="D577" t="inlineStr">
        <is>
          <t>Companion Summoning Time Increase %</t>
        </is>
      </c>
      <c r="E577" t="n">
        <v>12</v>
      </c>
      <c r="F577" t="n">
        <v>0.08</v>
      </c>
      <c r="G577" t="b">
        <v>1</v>
      </c>
      <c r="H577">
        <f>Sensitivity!H16</f>
        <v/>
      </c>
    </row>
    <row r="578">
      <c r="A578" t="inlineStr">
        <is>
          <t>boots</t>
        </is>
      </c>
      <c r="B578" t="inlineStr">
        <is>
          <t>legendary</t>
        </is>
      </c>
      <c r="C578" t="n">
        <v>3</v>
      </c>
      <c r="D578" t="inlineStr">
        <is>
          <t>Companion Summoning Time Increase %</t>
        </is>
      </c>
      <c r="E578" t="n">
        <v>8</v>
      </c>
      <c r="F578" t="n">
        <v>0.92</v>
      </c>
      <c r="G578" t="b">
        <v>0</v>
      </c>
      <c r="H578">
        <f>Sensitivity!H16</f>
        <v/>
      </c>
    </row>
    <row r="579">
      <c r="A579" t="inlineStr">
        <is>
          <t>boots</t>
        </is>
      </c>
      <c r="B579" t="inlineStr">
        <is>
          <t>mystic</t>
        </is>
      </c>
      <c r="C579" t="n">
        <v>1</v>
      </c>
      <c r="D579" t="inlineStr">
        <is>
          <t>Companion Summoning Time Increase %</t>
        </is>
      </c>
      <c r="E579" t="n">
        <v>20</v>
      </c>
      <c r="F579" t="n">
        <v>1</v>
      </c>
      <c r="G579" t="b">
        <v>1</v>
      </c>
      <c r="H579">
        <f>Sensitivity!H16</f>
        <v/>
      </c>
    </row>
    <row r="580">
      <c r="A580" t="inlineStr">
        <is>
          <t>boots</t>
        </is>
      </c>
      <c r="B580" t="inlineStr">
        <is>
          <t>mystic</t>
        </is>
      </c>
      <c r="C580" t="n">
        <v>2</v>
      </c>
      <c r="D580" t="inlineStr">
        <is>
          <t>Companion Summoning Time Increase %</t>
        </is>
      </c>
      <c r="E580" t="n">
        <v>20</v>
      </c>
      <c r="F580" t="n">
        <v>0.24</v>
      </c>
      <c r="G580" t="b">
        <v>1</v>
      </c>
      <c r="H580">
        <f>Sensitivity!H16</f>
        <v/>
      </c>
    </row>
    <row r="581">
      <c r="A581" t="inlineStr">
        <is>
          <t>boots</t>
        </is>
      </c>
      <c r="B581" t="inlineStr">
        <is>
          <t>mystic</t>
        </is>
      </c>
      <c r="C581" t="n">
        <v>2</v>
      </c>
      <c r="D581" t="inlineStr">
        <is>
          <t>Companion Summoning Time Increase %</t>
        </is>
      </c>
      <c r="E581" t="n">
        <v>12</v>
      </c>
      <c r="F581" t="n">
        <v>0.76</v>
      </c>
      <c r="G581" t="b">
        <v>0</v>
      </c>
      <c r="H581">
        <f>Sensitivity!H16</f>
        <v/>
      </c>
    </row>
    <row r="582">
      <c r="A582" t="inlineStr">
        <is>
          <t>boots</t>
        </is>
      </c>
      <c r="B582" t="inlineStr">
        <is>
          <t>mystic</t>
        </is>
      </c>
      <c r="C582" t="n">
        <v>3</v>
      </c>
      <c r="D582" t="inlineStr">
        <is>
          <t>Companion Summoning Time Increase %</t>
        </is>
      </c>
      <c r="E582" t="n">
        <v>20</v>
      </c>
      <c r="F582" t="n">
        <v>0.08</v>
      </c>
      <c r="G582" t="b">
        <v>1</v>
      </c>
      <c r="H582">
        <f>Sensitivity!H16</f>
        <v/>
      </c>
    </row>
    <row r="583">
      <c r="A583" t="inlineStr">
        <is>
          <t>boots</t>
        </is>
      </c>
      <c r="B583" t="inlineStr">
        <is>
          <t>mystic</t>
        </is>
      </c>
      <c r="C583" t="n">
        <v>3</v>
      </c>
      <c r="D583" t="inlineStr">
        <is>
          <t>Companion Summoning Time Increase %</t>
        </is>
      </c>
      <c r="E583" t="n">
        <v>12</v>
      </c>
      <c r="F583" t="n">
        <v>0.92</v>
      </c>
      <c r="G583" t="b">
        <v>0</v>
      </c>
      <c r="H583">
        <f>Sensitivity!H16</f>
        <v/>
      </c>
    </row>
    <row r="584">
      <c r="A584" t="inlineStr">
        <is>
          <t>ring</t>
        </is>
      </c>
      <c r="B584" t="inlineStr">
        <is>
          <t>epic</t>
        </is>
      </c>
      <c r="C584" t="n">
        <v>1</v>
      </c>
      <c r="D584" t="inlineStr">
        <is>
          <t>All Skill Level</t>
        </is>
      </c>
      <c r="E584" t="n">
        <v>5</v>
      </c>
      <c r="F584" t="n">
        <v>1</v>
      </c>
      <c r="G584" t="b">
        <v>1</v>
      </c>
      <c r="H584">
        <f>Sensitivity!H25</f>
        <v/>
      </c>
    </row>
    <row r="585">
      <c r="A585" t="inlineStr">
        <is>
          <t>ring</t>
        </is>
      </c>
      <c r="B585" t="inlineStr">
        <is>
          <t>epic</t>
        </is>
      </c>
      <c r="C585" t="n">
        <v>2</v>
      </c>
      <c r="D585" t="inlineStr">
        <is>
          <t>All Skill Level</t>
        </is>
      </c>
      <c r="E585" t="n">
        <v>5</v>
      </c>
      <c r="F585" t="n">
        <v>0.24</v>
      </c>
      <c r="G585" t="b">
        <v>1</v>
      </c>
      <c r="H585">
        <f>Sensitivity!H25</f>
        <v/>
      </c>
    </row>
    <row r="586">
      <c r="A586" t="inlineStr">
        <is>
          <t>ring</t>
        </is>
      </c>
      <c r="B586" t="inlineStr">
        <is>
          <t>epic</t>
        </is>
      </c>
      <c r="C586" t="n">
        <v>3</v>
      </c>
      <c r="D586" t="inlineStr">
        <is>
          <t>All Skill Level</t>
        </is>
      </c>
      <c r="E586" t="n">
        <v>5</v>
      </c>
      <c r="F586" t="n">
        <v>0.08</v>
      </c>
      <c r="G586" t="b">
        <v>1</v>
      </c>
      <c r="H586">
        <f>Sensitivity!H25</f>
        <v/>
      </c>
    </row>
    <row r="587">
      <c r="A587" t="inlineStr">
        <is>
          <t>ring</t>
        </is>
      </c>
      <c r="B587" t="inlineStr">
        <is>
          <t>unique</t>
        </is>
      </c>
      <c r="C587" t="n">
        <v>1</v>
      </c>
      <c r="D587" t="inlineStr">
        <is>
          <t>All Skill Level</t>
        </is>
      </c>
      <c r="E587" t="n">
        <v>8</v>
      </c>
      <c r="F587" t="n">
        <v>1</v>
      </c>
      <c r="G587" t="b">
        <v>1</v>
      </c>
      <c r="H587">
        <f>Sensitivity!H25</f>
        <v/>
      </c>
    </row>
    <row r="588">
      <c r="A588" t="inlineStr">
        <is>
          <t>ring</t>
        </is>
      </c>
      <c r="B588" t="inlineStr">
        <is>
          <t>unique</t>
        </is>
      </c>
      <c r="C588" t="n">
        <v>2</v>
      </c>
      <c r="D588" t="inlineStr">
        <is>
          <t>All Skill Level</t>
        </is>
      </c>
      <c r="E588" t="n">
        <v>8</v>
      </c>
      <c r="F588" t="n">
        <v>0.24</v>
      </c>
      <c r="G588" t="b">
        <v>1</v>
      </c>
      <c r="H588">
        <f>Sensitivity!H25</f>
        <v/>
      </c>
    </row>
    <row r="589">
      <c r="A589" t="inlineStr">
        <is>
          <t>ring</t>
        </is>
      </c>
      <c r="B589" t="inlineStr">
        <is>
          <t>unique</t>
        </is>
      </c>
      <c r="C589" t="n">
        <v>2</v>
      </c>
      <c r="D589" t="inlineStr">
        <is>
          <t>All Skill Level</t>
        </is>
      </c>
      <c r="E589" t="n">
        <v>5</v>
      </c>
      <c r="F589" t="n">
        <v>0.76</v>
      </c>
      <c r="G589" t="b">
        <v>0</v>
      </c>
      <c r="H589">
        <f>Sensitivity!H25</f>
        <v/>
      </c>
    </row>
    <row r="590">
      <c r="A590" t="inlineStr">
        <is>
          <t>ring</t>
        </is>
      </c>
      <c r="B590" t="inlineStr">
        <is>
          <t>unique</t>
        </is>
      </c>
      <c r="C590" t="n">
        <v>3</v>
      </c>
      <c r="D590" t="inlineStr">
        <is>
          <t>All Skill Level</t>
        </is>
      </c>
      <c r="E590" t="n">
        <v>8</v>
      </c>
      <c r="F590" t="n">
        <v>0.08</v>
      </c>
      <c r="G590" t="b">
        <v>1</v>
      </c>
      <c r="H590">
        <f>Sensitivity!H25</f>
        <v/>
      </c>
    </row>
    <row r="591">
      <c r="A591" t="inlineStr">
        <is>
          <t>ring</t>
        </is>
      </c>
      <c r="B591" t="inlineStr">
        <is>
          <t>unique</t>
        </is>
      </c>
      <c r="C591" t="n">
        <v>3</v>
      </c>
      <c r="D591" t="inlineStr">
        <is>
          <t>All Skill Level</t>
        </is>
      </c>
      <c r="E591" t="n">
        <v>5</v>
      </c>
      <c r="F591" t="n">
        <v>0.92</v>
      </c>
      <c r="G591" t="b">
        <v>0</v>
      </c>
      <c r="H591">
        <f>Sensitivity!H25</f>
        <v/>
      </c>
    </row>
    <row r="592">
      <c r="A592" t="inlineStr">
        <is>
          <t>ring</t>
        </is>
      </c>
      <c r="B592" t="inlineStr">
        <is>
          <t>legendary</t>
        </is>
      </c>
      <c r="C592" t="n">
        <v>1</v>
      </c>
      <c r="D592" t="inlineStr">
        <is>
          <t>All Skill Level</t>
        </is>
      </c>
      <c r="E592" t="n">
        <v>12</v>
      </c>
      <c r="F592" t="n">
        <v>1</v>
      </c>
      <c r="G592" t="b">
        <v>1</v>
      </c>
      <c r="H592">
        <f>Sensitivity!H25</f>
        <v/>
      </c>
    </row>
    <row r="593">
      <c r="A593" t="inlineStr">
        <is>
          <t>ring</t>
        </is>
      </c>
      <c r="B593" t="inlineStr">
        <is>
          <t>legendary</t>
        </is>
      </c>
      <c r="C593" t="n">
        <v>2</v>
      </c>
      <c r="D593" t="inlineStr">
        <is>
          <t>All Skill Level</t>
        </is>
      </c>
      <c r="E593" t="n">
        <v>12</v>
      </c>
      <c r="F593" t="n">
        <v>0.24</v>
      </c>
      <c r="G593" t="b">
        <v>1</v>
      </c>
      <c r="H593">
        <f>Sensitivity!H25</f>
        <v/>
      </c>
    </row>
    <row r="594">
      <c r="A594" t="inlineStr">
        <is>
          <t>ring</t>
        </is>
      </c>
      <c r="B594" t="inlineStr">
        <is>
          <t>legendary</t>
        </is>
      </c>
      <c r="C594" t="n">
        <v>2</v>
      </c>
      <c r="D594" t="inlineStr">
        <is>
          <t>All Skill Level</t>
        </is>
      </c>
      <c r="E594" t="n">
        <v>8</v>
      </c>
      <c r="F594" t="n">
        <v>0.76</v>
      </c>
      <c r="G594" t="b">
        <v>0</v>
      </c>
      <c r="H594">
        <f>Sensitivity!H25</f>
        <v/>
      </c>
    </row>
    <row r="595">
      <c r="A595" t="inlineStr">
        <is>
          <t>ring</t>
        </is>
      </c>
      <c r="B595" t="inlineStr">
        <is>
          <t>legendary</t>
        </is>
      </c>
      <c r="C595" t="n">
        <v>3</v>
      </c>
      <c r="D595" t="inlineStr">
        <is>
          <t>All Skill Level</t>
        </is>
      </c>
      <c r="E595" t="n">
        <v>12</v>
      </c>
      <c r="F595" t="n">
        <v>0.08</v>
      </c>
      <c r="G595" t="b">
        <v>1</v>
      </c>
      <c r="H595">
        <f>Sensitivity!H25</f>
        <v/>
      </c>
    </row>
    <row r="596">
      <c r="A596" t="inlineStr">
        <is>
          <t>ring</t>
        </is>
      </c>
      <c r="B596" t="inlineStr">
        <is>
          <t>legendary</t>
        </is>
      </c>
      <c r="C596" t="n">
        <v>3</v>
      </c>
      <c r="D596" t="inlineStr">
        <is>
          <t>All Skill Level</t>
        </is>
      </c>
      <c r="E596" t="n">
        <v>8</v>
      </c>
      <c r="F596" t="n">
        <v>0.92</v>
      </c>
      <c r="G596" t="b">
        <v>0</v>
      </c>
      <c r="H596">
        <f>Sensitivity!H25</f>
        <v/>
      </c>
    </row>
    <row r="597">
      <c r="A597" t="inlineStr">
        <is>
          <t>ring</t>
        </is>
      </c>
      <c r="B597" t="inlineStr">
        <is>
          <t>mystic</t>
        </is>
      </c>
      <c r="C597" t="n">
        <v>1</v>
      </c>
      <c r="D597" t="inlineStr">
        <is>
          <t>All Skill Level</t>
        </is>
      </c>
      <c r="E597" t="n">
        <v>16</v>
      </c>
      <c r="F597" t="n">
        <v>1</v>
      </c>
      <c r="G597" t="b">
        <v>1</v>
      </c>
      <c r="H597">
        <f>Sensitivity!H25</f>
        <v/>
      </c>
    </row>
    <row r="598">
      <c r="A598" t="inlineStr">
        <is>
          <t>ring</t>
        </is>
      </c>
      <c r="B598" t="inlineStr">
        <is>
          <t>mystic</t>
        </is>
      </c>
      <c r="C598" t="n">
        <v>2</v>
      </c>
      <c r="D598" t="inlineStr">
        <is>
          <t>All Skill Level</t>
        </is>
      </c>
      <c r="E598" t="n">
        <v>16</v>
      </c>
      <c r="F598" t="n">
        <v>0.24</v>
      </c>
      <c r="G598" t="b">
        <v>1</v>
      </c>
      <c r="H598">
        <f>Sensitivity!H25</f>
        <v/>
      </c>
    </row>
    <row r="599">
      <c r="A599" t="inlineStr">
        <is>
          <t>ring</t>
        </is>
      </c>
      <c r="B599" t="inlineStr">
        <is>
          <t>mystic</t>
        </is>
      </c>
      <c r="C599" t="n">
        <v>2</v>
      </c>
      <c r="D599" t="inlineStr">
        <is>
          <t>All Skill Level</t>
        </is>
      </c>
      <c r="E599" t="n">
        <v>12</v>
      </c>
      <c r="F599" t="n">
        <v>0.76</v>
      </c>
      <c r="G599" t="b">
        <v>0</v>
      </c>
      <c r="H599">
        <f>Sensitivity!H25</f>
        <v/>
      </c>
    </row>
    <row r="600">
      <c r="A600" t="inlineStr">
        <is>
          <t>ring</t>
        </is>
      </c>
      <c r="B600" t="inlineStr">
        <is>
          <t>mystic</t>
        </is>
      </c>
      <c r="C600" t="n">
        <v>3</v>
      </c>
      <c r="D600" t="inlineStr">
        <is>
          <t>All Skill Level</t>
        </is>
      </c>
      <c r="E600" t="n">
        <v>16</v>
      </c>
      <c r="F600" t="n">
        <v>0.08</v>
      </c>
      <c r="G600" t="b">
        <v>1</v>
      </c>
      <c r="H600">
        <f>Sensitivity!H25</f>
        <v/>
      </c>
    </row>
    <row r="601">
      <c r="A601" t="inlineStr">
        <is>
          <t>ring</t>
        </is>
      </c>
      <c r="B601" t="inlineStr">
        <is>
          <t>mystic</t>
        </is>
      </c>
      <c r="C601" t="n">
        <v>3</v>
      </c>
      <c r="D601" t="inlineStr">
        <is>
          <t>All Skill Level</t>
        </is>
      </c>
      <c r="E601" t="n">
        <v>12</v>
      </c>
      <c r="F601" t="n">
        <v>0.92</v>
      </c>
      <c r="G601" t="b">
        <v>0</v>
      </c>
      <c r="H601">
        <f>Sensitivity!H25</f>
        <v/>
      </c>
    </row>
    <row r="602">
      <c r="A602" t="inlineStr">
        <is>
          <t>neck</t>
        </is>
      </c>
      <c r="B602" t="inlineStr">
        <is>
          <t>epic</t>
        </is>
      </c>
      <c r="C602" t="n">
        <v>1</v>
      </c>
      <c r="D602" t="inlineStr">
        <is>
          <t>All Skill Level</t>
        </is>
      </c>
      <c r="E602" t="n">
        <v>5</v>
      </c>
      <c r="F602" t="n">
        <v>1</v>
      </c>
      <c r="G602" t="b">
        <v>1</v>
      </c>
      <c r="H602">
        <f>Sensitivity!H25</f>
        <v/>
      </c>
    </row>
    <row r="603">
      <c r="A603" t="inlineStr">
        <is>
          <t>neck</t>
        </is>
      </c>
      <c r="B603" t="inlineStr">
        <is>
          <t>epic</t>
        </is>
      </c>
      <c r="C603" t="n">
        <v>2</v>
      </c>
      <c r="D603" t="inlineStr">
        <is>
          <t>All Skill Level</t>
        </is>
      </c>
      <c r="E603" t="n">
        <v>5</v>
      </c>
      <c r="F603" t="n">
        <v>0.24</v>
      </c>
      <c r="G603" t="b">
        <v>1</v>
      </c>
      <c r="H603">
        <f>Sensitivity!H25</f>
        <v/>
      </c>
    </row>
    <row r="604">
      <c r="A604" t="inlineStr">
        <is>
          <t>neck</t>
        </is>
      </c>
      <c r="B604" t="inlineStr">
        <is>
          <t>epic</t>
        </is>
      </c>
      <c r="C604" t="n">
        <v>3</v>
      </c>
      <c r="D604" t="inlineStr">
        <is>
          <t>All Skill Level</t>
        </is>
      </c>
      <c r="E604" t="n">
        <v>5</v>
      </c>
      <c r="F604" t="n">
        <v>0.08</v>
      </c>
      <c r="G604" t="b">
        <v>1</v>
      </c>
      <c r="H604">
        <f>Sensitivity!H25</f>
        <v/>
      </c>
    </row>
    <row r="605">
      <c r="A605" t="inlineStr">
        <is>
          <t>neck</t>
        </is>
      </c>
      <c r="B605" t="inlineStr">
        <is>
          <t>unique</t>
        </is>
      </c>
      <c r="C605" t="n">
        <v>1</v>
      </c>
      <c r="D605" t="inlineStr">
        <is>
          <t>All Skill Level</t>
        </is>
      </c>
      <c r="E605" t="n">
        <v>8</v>
      </c>
      <c r="F605" t="n">
        <v>1</v>
      </c>
      <c r="G605" t="b">
        <v>1</v>
      </c>
      <c r="H605">
        <f>Sensitivity!H25</f>
        <v/>
      </c>
    </row>
    <row r="606">
      <c r="A606" t="inlineStr">
        <is>
          <t>neck</t>
        </is>
      </c>
      <c r="B606" t="inlineStr">
        <is>
          <t>unique</t>
        </is>
      </c>
      <c r="C606" t="n">
        <v>2</v>
      </c>
      <c r="D606" t="inlineStr">
        <is>
          <t>All Skill Level</t>
        </is>
      </c>
      <c r="E606" t="n">
        <v>8</v>
      </c>
      <c r="F606" t="n">
        <v>0.24</v>
      </c>
      <c r="G606" t="b">
        <v>1</v>
      </c>
      <c r="H606">
        <f>Sensitivity!H25</f>
        <v/>
      </c>
    </row>
    <row r="607">
      <c r="A607" t="inlineStr">
        <is>
          <t>neck</t>
        </is>
      </c>
      <c r="B607" t="inlineStr">
        <is>
          <t>unique</t>
        </is>
      </c>
      <c r="C607" t="n">
        <v>2</v>
      </c>
      <c r="D607" t="inlineStr">
        <is>
          <t>All Skill Level</t>
        </is>
      </c>
      <c r="E607" t="n">
        <v>5</v>
      </c>
      <c r="F607" t="n">
        <v>0.76</v>
      </c>
      <c r="G607" t="b">
        <v>0</v>
      </c>
      <c r="H607">
        <f>Sensitivity!H25</f>
        <v/>
      </c>
    </row>
    <row r="608">
      <c r="A608" t="inlineStr">
        <is>
          <t>neck</t>
        </is>
      </c>
      <c r="B608" t="inlineStr">
        <is>
          <t>unique</t>
        </is>
      </c>
      <c r="C608" t="n">
        <v>3</v>
      </c>
      <c r="D608" t="inlineStr">
        <is>
          <t>All Skill Level</t>
        </is>
      </c>
      <c r="E608" t="n">
        <v>8</v>
      </c>
      <c r="F608" t="n">
        <v>0.08</v>
      </c>
      <c r="G608" t="b">
        <v>1</v>
      </c>
      <c r="H608">
        <f>Sensitivity!H25</f>
        <v/>
      </c>
    </row>
    <row r="609">
      <c r="A609" t="inlineStr">
        <is>
          <t>neck</t>
        </is>
      </c>
      <c r="B609" t="inlineStr">
        <is>
          <t>unique</t>
        </is>
      </c>
      <c r="C609" t="n">
        <v>3</v>
      </c>
      <c r="D609" t="inlineStr">
        <is>
          <t>All Skill Level</t>
        </is>
      </c>
      <c r="E609" t="n">
        <v>5</v>
      </c>
      <c r="F609" t="n">
        <v>0.92</v>
      </c>
      <c r="G609" t="b">
        <v>0</v>
      </c>
      <c r="H609">
        <f>Sensitivity!H25</f>
        <v/>
      </c>
    </row>
    <row r="610">
      <c r="A610" t="inlineStr">
        <is>
          <t>neck</t>
        </is>
      </c>
      <c r="B610" t="inlineStr">
        <is>
          <t>legendary</t>
        </is>
      </c>
      <c r="C610" t="n">
        <v>1</v>
      </c>
      <c r="D610" t="inlineStr">
        <is>
          <t>All Skill Level</t>
        </is>
      </c>
      <c r="E610" t="n">
        <v>12</v>
      </c>
      <c r="F610" t="n">
        <v>1</v>
      </c>
      <c r="G610" t="b">
        <v>1</v>
      </c>
      <c r="H610">
        <f>Sensitivity!H25</f>
        <v/>
      </c>
    </row>
    <row r="611">
      <c r="A611" t="inlineStr">
        <is>
          <t>neck</t>
        </is>
      </c>
      <c r="B611" t="inlineStr">
        <is>
          <t>legendary</t>
        </is>
      </c>
      <c r="C611" t="n">
        <v>2</v>
      </c>
      <c r="D611" t="inlineStr">
        <is>
          <t>All Skill Level</t>
        </is>
      </c>
      <c r="E611" t="n">
        <v>12</v>
      </c>
      <c r="F611" t="n">
        <v>0.24</v>
      </c>
      <c r="G611" t="b">
        <v>1</v>
      </c>
      <c r="H611">
        <f>Sensitivity!H25</f>
        <v/>
      </c>
    </row>
    <row r="612">
      <c r="A612" t="inlineStr">
        <is>
          <t>neck</t>
        </is>
      </c>
      <c r="B612" t="inlineStr">
        <is>
          <t>legendary</t>
        </is>
      </c>
      <c r="C612" t="n">
        <v>2</v>
      </c>
      <c r="D612" t="inlineStr">
        <is>
          <t>All Skill Level</t>
        </is>
      </c>
      <c r="E612" t="n">
        <v>8</v>
      </c>
      <c r="F612" t="n">
        <v>0.76</v>
      </c>
      <c r="G612" t="b">
        <v>0</v>
      </c>
      <c r="H612">
        <f>Sensitivity!H25</f>
        <v/>
      </c>
    </row>
    <row r="613">
      <c r="A613" t="inlineStr">
        <is>
          <t>neck</t>
        </is>
      </c>
      <c r="B613" t="inlineStr">
        <is>
          <t>legendary</t>
        </is>
      </c>
      <c r="C613" t="n">
        <v>3</v>
      </c>
      <c r="D613" t="inlineStr">
        <is>
          <t>All Skill Level</t>
        </is>
      </c>
      <c r="E613" t="n">
        <v>12</v>
      </c>
      <c r="F613" t="n">
        <v>0.08</v>
      </c>
      <c r="G613" t="b">
        <v>1</v>
      </c>
      <c r="H613">
        <f>Sensitivity!H25</f>
        <v/>
      </c>
    </row>
    <row r="614">
      <c r="A614" t="inlineStr">
        <is>
          <t>neck</t>
        </is>
      </c>
      <c r="B614" t="inlineStr">
        <is>
          <t>legendary</t>
        </is>
      </c>
      <c r="C614" t="n">
        <v>3</v>
      </c>
      <c r="D614" t="inlineStr">
        <is>
          <t>All Skill Level</t>
        </is>
      </c>
      <c r="E614" t="n">
        <v>8</v>
      </c>
      <c r="F614" t="n">
        <v>0.92</v>
      </c>
      <c r="G614" t="b">
        <v>0</v>
      </c>
      <c r="H614">
        <f>Sensitivity!H25</f>
        <v/>
      </c>
    </row>
    <row r="615">
      <c r="A615" t="inlineStr">
        <is>
          <t>neck</t>
        </is>
      </c>
      <c r="B615" t="inlineStr">
        <is>
          <t>mystic</t>
        </is>
      </c>
      <c r="C615" t="n">
        <v>1</v>
      </c>
      <c r="D615" t="inlineStr">
        <is>
          <t>All Skill Level</t>
        </is>
      </c>
      <c r="E615" t="n">
        <v>16</v>
      </c>
      <c r="F615" t="n">
        <v>1</v>
      </c>
      <c r="G615" t="b">
        <v>1</v>
      </c>
      <c r="H615">
        <f>Sensitivity!H25</f>
        <v/>
      </c>
    </row>
    <row r="616">
      <c r="A616" t="inlineStr">
        <is>
          <t>neck</t>
        </is>
      </c>
      <c r="B616" t="inlineStr">
        <is>
          <t>mystic</t>
        </is>
      </c>
      <c r="C616" t="n">
        <v>2</v>
      </c>
      <c r="D616" t="inlineStr">
        <is>
          <t>All Skill Level</t>
        </is>
      </c>
      <c r="E616" t="n">
        <v>16</v>
      </c>
      <c r="F616" t="n">
        <v>0.24</v>
      </c>
      <c r="G616" t="b">
        <v>1</v>
      </c>
      <c r="H616">
        <f>Sensitivity!H25</f>
        <v/>
      </c>
    </row>
    <row r="617">
      <c r="A617" t="inlineStr">
        <is>
          <t>neck</t>
        </is>
      </c>
      <c r="B617" t="inlineStr">
        <is>
          <t>mystic</t>
        </is>
      </c>
      <c r="C617" t="n">
        <v>2</v>
      </c>
      <c r="D617" t="inlineStr">
        <is>
          <t>All Skill Level</t>
        </is>
      </c>
      <c r="E617" t="n">
        <v>12</v>
      </c>
      <c r="F617" t="n">
        <v>0.76</v>
      </c>
      <c r="G617" t="b">
        <v>0</v>
      </c>
      <c r="H617">
        <f>Sensitivity!H25</f>
        <v/>
      </c>
    </row>
    <row r="618">
      <c r="A618" t="inlineStr">
        <is>
          <t>neck</t>
        </is>
      </c>
      <c r="B618" t="inlineStr">
        <is>
          <t>mystic</t>
        </is>
      </c>
      <c r="C618" t="n">
        <v>3</v>
      </c>
      <c r="D618" t="inlineStr">
        <is>
          <t>All Skill Level</t>
        </is>
      </c>
      <c r="E618" t="n">
        <v>16</v>
      </c>
      <c r="F618" t="n">
        <v>0.08</v>
      </c>
      <c r="G618" t="b">
        <v>1</v>
      </c>
      <c r="H618">
        <f>Sensitivity!H25</f>
        <v/>
      </c>
    </row>
    <row r="619">
      <c r="A619" t="inlineStr">
        <is>
          <t>neck</t>
        </is>
      </c>
      <c r="B619" t="inlineStr">
        <is>
          <t>mystic</t>
        </is>
      </c>
      <c r="C619" t="n">
        <v>3</v>
      </c>
      <c r="D619" t="inlineStr">
        <is>
          <t>All Skill Level</t>
        </is>
      </c>
      <c r="E619" t="n">
        <v>12</v>
      </c>
      <c r="F619" t="n">
        <v>0.92</v>
      </c>
      <c r="G619" t="b">
        <v>0</v>
      </c>
      <c r="H619">
        <f>Sensitivity!H25</f>
        <v/>
      </c>
    </row>
    <row r="620">
      <c r="A620" t="inlineStr">
        <is>
          <t>eye-accessory</t>
        </is>
      </c>
      <c r="B620" t="inlineStr">
        <is>
          <t>epic</t>
        </is>
      </c>
      <c r="C620" t="n">
        <v>1</v>
      </c>
      <c r="D620" t="inlineStr">
        <is>
          <t>Main Stat Per Level</t>
        </is>
      </c>
      <c r="E620" t="n">
        <v>10</v>
      </c>
      <c r="F620" t="n">
        <v>1</v>
      </c>
      <c r="G620" t="b">
        <v>1</v>
      </c>
      <c r="H620">
        <f>Sensitivity!H5*Inputs!$B$3</f>
        <v/>
      </c>
    </row>
    <row r="621">
      <c r="A621" t="inlineStr">
        <is>
          <t>eye-accessory</t>
        </is>
      </c>
      <c r="B621" t="inlineStr">
        <is>
          <t>epic</t>
        </is>
      </c>
      <c r="C621" t="n">
        <v>2</v>
      </c>
      <c r="D621" t="inlineStr">
        <is>
          <t>Main Stat Per Level</t>
        </is>
      </c>
      <c r="E621" t="n">
        <v>10</v>
      </c>
      <c r="F621" t="n">
        <v>0.24</v>
      </c>
      <c r="G621" t="b">
        <v>1</v>
      </c>
      <c r="H621">
        <f>Sensitivity!H5*Inputs!$B$3</f>
        <v/>
      </c>
    </row>
    <row r="622">
      <c r="A622" t="inlineStr">
        <is>
          <t>eye-accessory</t>
        </is>
      </c>
      <c r="B622" t="inlineStr">
        <is>
          <t>epic</t>
        </is>
      </c>
      <c r="C622" t="n">
        <v>3</v>
      </c>
      <c r="D622" t="inlineStr">
        <is>
          <t>Main Stat Per Level</t>
        </is>
      </c>
      <c r="E622" t="n">
        <v>10</v>
      </c>
      <c r="F622" t="n">
        <v>0.08</v>
      </c>
      <c r="G622" t="b">
        <v>1</v>
      </c>
      <c r="H622">
        <f>Sensitivity!H5*Inputs!$B$3</f>
        <v/>
      </c>
    </row>
    <row r="623">
      <c r="A623" t="inlineStr">
        <is>
          <t>eye-accessory</t>
        </is>
      </c>
      <c r="B623" t="inlineStr">
        <is>
          <t>unique</t>
        </is>
      </c>
      <c r="C623" t="n">
        <v>1</v>
      </c>
      <c r="D623" t="inlineStr">
        <is>
          <t>Main Stat Per Level</t>
        </is>
      </c>
      <c r="E623" t="n">
        <v>20</v>
      </c>
      <c r="F623" t="n">
        <v>1</v>
      </c>
      <c r="G623" t="b">
        <v>1</v>
      </c>
      <c r="H623">
        <f>Sensitivity!H5*Inputs!$B$3</f>
        <v/>
      </c>
    </row>
    <row r="624">
      <c r="A624" t="inlineStr">
        <is>
          <t>eye-accessory</t>
        </is>
      </c>
      <c r="B624" t="inlineStr">
        <is>
          <t>unique</t>
        </is>
      </c>
      <c r="C624" t="n">
        <v>2</v>
      </c>
      <c r="D624" t="inlineStr">
        <is>
          <t>Main Stat Per Level</t>
        </is>
      </c>
      <c r="E624" t="n">
        <v>20</v>
      </c>
      <c r="F624" t="n">
        <v>0.24</v>
      </c>
      <c r="G624" t="b">
        <v>1</v>
      </c>
      <c r="H624">
        <f>Sensitivity!H5*Inputs!$B$3</f>
        <v/>
      </c>
    </row>
    <row r="625">
      <c r="A625" t="inlineStr">
        <is>
          <t>eye-accessory</t>
        </is>
      </c>
      <c r="B625" t="inlineStr">
        <is>
          <t>unique</t>
        </is>
      </c>
      <c r="C625" t="n">
        <v>2</v>
      </c>
      <c r="D625" t="inlineStr">
        <is>
          <t>Main Stat Per Level</t>
        </is>
      </c>
      <c r="E625" t="n">
        <v>10</v>
      </c>
      <c r="F625" t="n">
        <v>0.76</v>
      </c>
      <c r="G625" t="b">
        <v>0</v>
      </c>
      <c r="H625">
        <f>Sensitivity!H5*Inputs!$B$3</f>
        <v/>
      </c>
    </row>
    <row r="626">
      <c r="A626" t="inlineStr">
        <is>
          <t>eye-accessory</t>
        </is>
      </c>
      <c r="B626" t="inlineStr">
        <is>
          <t>unique</t>
        </is>
      </c>
      <c r="C626" t="n">
        <v>3</v>
      </c>
      <c r="D626" t="inlineStr">
        <is>
          <t>Main Stat Per Level</t>
        </is>
      </c>
      <c r="E626" t="n">
        <v>20</v>
      </c>
      <c r="F626" t="n">
        <v>0.08</v>
      </c>
      <c r="G626" t="b">
        <v>1</v>
      </c>
      <c r="H626">
        <f>Sensitivity!H5*Inputs!$B$3</f>
        <v/>
      </c>
    </row>
    <row r="627">
      <c r="A627" t="inlineStr">
        <is>
          <t>eye-accessory</t>
        </is>
      </c>
      <c r="B627" t="inlineStr">
        <is>
          <t>unique</t>
        </is>
      </c>
      <c r="C627" t="n">
        <v>3</v>
      </c>
      <c r="D627" t="inlineStr">
        <is>
          <t>Main Stat Per Level</t>
        </is>
      </c>
      <c r="E627" t="n">
        <v>10</v>
      </c>
      <c r="F627" t="n">
        <v>0.92</v>
      </c>
      <c r="G627" t="b">
        <v>0</v>
      </c>
      <c r="H627">
        <f>Sensitivity!H5*Inputs!$B$3</f>
        <v/>
      </c>
    </row>
    <row r="628">
      <c r="A628" t="inlineStr">
        <is>
          <t>eye-accessory</t>
        </is>
      </c>
      <c r="B628" t="inlineStr">
        <is>
          <t>legendary</t>
        </is>
      </c>
      <c r="C628" t="n">
        <v>1</v>
      </c>
      <c r="D628" t="inlineStr">
        <is>
          <t>Main Stat Per Level</t>
        </is>
      </c>
      <c r="E628" t="n">
        <v>35</v>
      </c>
      <c r="F628" t="n">
        <v>1</v>
      </c>
      <c r="G628" t="b">
        <v>1</v>
      </c>
      <c r="H628">
        <f>Sensitivity!H5*Inputs!$B$3</f>
        <v/>
      </c>
    </row>
    <row r="629">
      <c r="A629" t="inlineStr">
        <is>
          <t>eye-accessory</t>
        </is>
      </c>
      <c r="B629" t="inlineStr">
        <is>
          <t>legendary</t>
        </is>
      </c>
      <c r="C629" t="n">
        <v>2</v>
      </c>
      <c r="D629" t="inlineStr">
        <is>
          <t>Main Stat Per Level</t>
        </is>
      </c>
      <c r="E629" t="n">
        <v>35</v>
      </c>
      <c r="F629" t="n">
        <v>0.24</v>
      </c>
      <c r="G629" t="b">
        <v>1</v>
      </c>
      <c r="H629">
        <f>Sensitivity!H5*Inputs!$B$3</f>
        <v/>
      </c>
    </row>
    <row r="630">
      <c r="A630" t="inlineStr">
        <is>
          <t>eye-accessory</t>
        </is>
      </c>
      <c r="B630" t="inlineStr">
        <is>
          <t>legendary</t>
        </is>
      </c>
      <c r="C630" t="n">
        <v>2</v>
      </c>
      <c r="D630" t="inlineStr">
        <is>
          <t>Main Stat Per Level</t>
        </is>
      </c>
      <c r="E630" t="n">
        <v>20</v>
      </c>
      <c r="F630" t="n">
        <v>0.76</v>
      </c>
      <c r="G630" t="b">
        <v>0</v>
      </c>
      <c r="H630">
        <f>Sensitivity!H5*Inputs!$B$3</f>
        <v/>
      </c>
    </row>
    <row r="631">
      <c r="A631" t="inlineStr">
        <is>
          <t>eye-accessory</t>
        </is>
      </c>
      <c r="B631" t="inlineStr">
        <is>
          <t>legendary</t>
        </is>
      </c>
      <c r="C631" t="n">
        <v>3</v>
      </c>
      <c r="D631" t="inlineStr">
        <is>
          <t>Main Stat Per Level</t>
        </is>
      </c>
      <c r="E631" t="n">
        <v>35</v>
      </c>
      <c r="F631" t="n">
        <v>0.08</v>
      </c>
      <c r="G631" t="b">
        <v>1</v>
      </c>
      <c r="H631">
        <f>Sensitivity!H5*Inputs!$B$3</f>
        <v/>
      </c>
    </row>
    <row r="632">
      <c r="A632" t="inlineStr">
        <is>
          <t>eye-accessory</t>
        </is>
      </c>
      <c r="B632" t="inlineStr">
        <is>
          <t>legendary</t>
        </is>
      </c>
      <c r="C632" t="n">
        <v>3</v>
      </c>
      <c r="D632" t="inlineStr">
        <is>
          <t>Main Stat Per Level</t>
        </is>
      </c>
      <c r="E632" t="n">
        <v>20</v>
      </c>
      <c r="F632" t="n">
        <v>0.92</v>
      </c>
      <c r="G632" t="b">
        <v>0</v>
      </c>
      <c r="H632">
        <f>Sensitivity!H5*Inputs!$B$3</f>
        <v/>
      </c>
    </row>
    <row r="633">
      <c r="A633" t="inlineStr">
        <is>
          <t>eye-accessory</t>
        </is>
      </c>
      <c r="B633" t="inlineStr">
        <is>
          <t>mystic</t>
        </is>
      </c>
      <c r="C633" t="n">
        <v>1</v>
      </c>
      <c r="D633" t="inlineStr">
        <is>
          <t>Main Stat Per Level</t>
        </is>
      </c>
      <c r="E633" t="n">
        <v>50</v>
      </c>
      <c r="F633" t="n">
        <v>1</v>
      </c>
      <c r="G633" t="b">
        <v>1</v>
      </c>
      <c r="H633">
        <f>Sensitivity!H5*Inputs!$B$3</f>
        <v/>
      </c>
    </row>
    <row r="634">
      <c r="A634" t="inlineStr">
        <is>
          <t>eye-accessory</t>
        </is>
      </c>
      <c r="B634" t="inlineStr">
        <is>
          <t>mystic</t>
        </is>
      </c>
      <c r="C634" t="n">
        <v>2</v>
      </c>
      <c r="D634" t="inlineStr">
        <is>
          <t>Main Stat Per Level</t>
        </is>
      </c>
      <c r="E634" t="n">
        <v>50</v>
      </c>
      <c r="F634" t="n">
        <v>0.24</v>
      </c>
      <c r="G634" t="b">
        <v>1</v>
      </c>
      <c r="H634">
        <f>Sensitivity!H5*Inputs!$B$3</f>
        <v/>
      </c>
    </row>
    <row r="635">
      <c r="A635" t="inlineStr">
        <is>
          <t>eye-accessory</t>
        </is>
      </c>
      <c r="B635" t="inlineStr">
        <is>
          <t>mystic</t>
        </is>
      </c>
      <c r="C635" t="n">
        <v>2</v>
      </c>
      <c r="D635" t="inlineStr">
        <is>
          <t>Main Stat Per Level</t>
        </is>
      </c>
      <c r="E635" t="n">
        <v>35</v>
      </c>
      <c r="F635" t="n">
        <v>0.76</v>
      </c>
      <c r="G635" t="b">
        <v>0</v>
      </c>
      <c r="H635">
        <f>Sensitivity!H5*Inputs!$B$3</f>
        <v/>
      </c>
    </row>
    <row r="636">
      <c r="A636" t="inlineStr">
        <is>
          <t>eye-accessory</t>
        </is>
      </c>
      <c r="B636" t="inlineStr">
        <is>
          <t>mystic</t>
        </is>
      </c>
      <c r="C636" t="n">
        <v>3</v>
      </c>
      <c r="D636" t="inlineStr">
        <is>
          <t>Main Stat Per Level</t>
        </is>
      </c>
      <c r="E636" t="n">
        <v>50</v>
      </c>
      <c r="F636" t="n">
        <v>0.08</v>
      </c>
      <c r="G636" t="b">
        <v>1</v>
      </c>
      <c r="H636">
        <f>Sensitivity!H5*Inputs!$B$3</f>
        <v/>
      </c>
    </row>
    <row r="637">
      <c r="A637" t="inlineStr">
        <is>
          <t>eye-accessory</t>
        </is>
      </c>
      <c r="B637" t="inlineStr">
        <is>
          <t>mystic</t>
        </is>
      </c>
      <c r="C637" t="n">
        <v>3</v>
      </c>
      <c r="D637" t="inlineStr">
        <is>
          <t>Main Stat Per Level</t>
        </is>
      </c>
      <c r="E637" t="n">
        <v>35</v>
      </c>
      <c r="F637" t="n">
        <v>0.92</v>
      </c>
      <c r="G637" t="b">
        <v>0</v>
      </c>
      <c r="H637">
        <f>Sensitivity!H5*Inputs!$B$3</f>
        <v/>
      </c>
    </row>
    <row r="638">
      <c r="A638" t="inlineStr">
        <is>
          <t>ring2</t>
        </is>
      </c>
      <c r="B638" t="inlineStr">
        <is>
          <t>epic</t>
        </is>
      </c>
      <c r="C638" t="n">
        <v>1</v>
      </c>
      <c r="D638" t="inlineStr">
        <is>
          <t>Basic Attack Damage %</t>
        </is>
      </c>
      <c r="E638" t="n">
        <v>8</v>
      </c>
      <c r="F638" t="n">
        <v>1</v>
      </c>
      <c r="G638" t="b">
        <v>1</v>
      </c>
      <c r="H638">
        <f>Sensitivity!H19</f>
        <v/>
      </c>
    </row>
    <row r="639">
      <c r="A639" t="inlineStr">
        <is>
          <t>ring2</t>
        </is>
      </c>
      <c r="B639" t="inlineStr">
        <is>
          <t>epic</t>
        </is>
      </c>
      <c r="C639" t="n">
        <v>2</v>
      </c>
      <c r="D639" t="inlineStr">
        <is>
          <t>Basic Attack Damage %</t>
        </is>
      </c>
      <c r="E639" t="n">
        <v>8</v>
      </c>
      <c r="F639" t="n">
        <v>0.24</v>
      </c>
      <c r="G639" t="b">
        <v>1</v>
      </c>
      <c r="H639">
        <f>Sensitivity!H19</f>
        <v/>
      </c>
    </row>
    <row r="640">
      <c r="A640" t="inlineStr">
        <is>
          <t>ring2</t>
        </is>
      </c>
      <c r="B640" t="inlineStr">
        <is>
          <t>epic</t>
        </is>
      </c>
      <c r="C640" t="n">
        <v>3</v>
      </c>
      <c r="D640" t="inlineStr">
        <is>
          <t>Basic Attack Damage %</t>
        </is>
      </c>
      <c r="E640" t="n">
        <v>8</v>
      </c>
      <c r="F640" t="n">
        <v>0.08</v>
      </c>
      <c r="G640" t="b">
        <v>1</v>
      </c>
      <c r="H640">
        <f>Sensitivity!H19</f>
        <v/>
      </c>
    </row>
    <row r="641">
      <c r="A641" t="inlineStr">
        <is>
          <t>ring2</t>
        </is>
      </c>
      <c r="B641" t="inlineStr">
        <is>
          <t>unique</t>
        </is>
      </c>
      <c r="C641" t="n">
        <v>1</v>
      </c>
      <c r="D641" t="inlineStr">
        <is>
          <t>Basic Attack Damage %</t>
        </is>
      </c>
      <c r="E641" t="n">
        <v>14</v>
      </c>
      <c r="F641" t="n">
        <v>1</v>
      </c>
      <c r="G641" t="b">
        <v>1</v>
      </c>
      <c r="H641">
        <f>Sensitivity!H19</f>
        <v/>
      </c>
    </row>
    <row r="642">
      <c r="A642" t="inlineStr">
        <is>
          <t>ring2</t>
        </is>
      </c>
      <c r="B642" t="inlineStr">
        <is>
          <t>unique</t>
        </is>
      </c>
      <c r="C642" t="n">
        <v>2</v>
      </c>
      <c r="D642" t="inlineStr">
        <is>
          <t>Basic Attack Damage %</t>
        </is>
      </c>
      <c r="E642" t="n">
        <v>14</v>
      </c>
      <c r="F642" t="n">
        <v>0.24</v>
      </c>
      <c r="G642" t="b">
        <v>1</v>
      </c>
      <c r="H642">
        <f>Sensitivity!H19</f>
        <v/>
      </c>
    </row>
    <row r="643">
      <c r="A643" t="inlineStr">
        <is>
          <t>ring2</t>
        </is>
      </c>
      <c r="B643" t="inlineStr">
        <is>
          <t>unique</t>
        </is>
      </c>
      <c r="C643" t="n">
        <v>2</v>
      </c>
      <c r="D643" t="inlineStr">
        <is>
          <t>Basic Attack Damage %</t>
        </is>
      </c>
      <c r="E643" t="n">
        <v>8</v>
      </c>
      <c r="F643" t="n">
        <v>0.76</v>
      </c>
      <c r="G643" t="b">
        <v>0</v>
      </c>
      <c r="H643">
        <f>Sensitivity!H19</f>
        <v/>
      </c>
    </row>
    <row r="644">
      <c r="A644" t="inlineStr">
        <is>
          <t>ring2</t>
        </is>
      </c>
      <c r="B644" t="inlineStr">
        <is>
          <t>unique</t>
        </is>
      </c>
      <c r="C644" t="n">
        <v>3</v>
      </c>
      <c r="D644" t="inlineStr">
        <is>
          <t>Basic Attack Damage %</t>
        </is>
      </c>
      <c r="E644" t="n">
        <v>14</v>
      </c>
      <c r="F644" t="n">
        <v>0.08</v>
      </c>
      <c r="G644" t="b">
        <v>1</v>
      </c>
      <c r="H644">
        <f>Sensitivity!H19</f>
        <v/>
      </c>
    </row>
    <row r="645">
      <c r="A645" t="inlineStr">
        <is>
          <t>ring2</t>
        </is>
      </c>
      <c r="B645" t="inlineStr">
        <is>
          <t>unique</t>
        </is>
      </c>
      <c r="C645" t="n">
        <v>3</v>
      </c>
      <c r="D645" t="inlineStr">
        <is>
          <t>Basic Attack Damage %</t>
        </is>
      </c>
      <c r="E645" t="n">
        <v>8</v>
      </c>
      <c r="F645" t="n">
        <v>0.92</v>
      </c>
      <c r="G645" t="b">
        <v>0</v>
      </c>
      <c r="H645">
        <f>Sensitivity!H19</f>
        <v/>
      </c>
    </row>
    <row r="646">
      <c r="A646" t="inlineStr">
        <is>
          <t>ring2</t>
        </is>
      </c>
      <c r="B646" t="inlineStr">
        <is>
          <t>legendary</t>
        </is>
      </c>
      <c r="C646" t="n">
        <v>1</v>
      </c>
      <c r="D646" t="inlineStr">
        <is>
          <t>Basic Attack Damage %</t>
        </is>
      </c>
      <c r="E646" t="n">
        <v>21</v>
      </c>
      <c r="F646" t="n">
        <v>1</v>
      </c>
      <c r="G646" t="b">
        <v>1</v>
      </c>
      <c r="H646">
        <f>Sensitivity!H19</f>
        <v/>
      </c>
    </row>
    <row r="647">
      <c r="A647" t="inlineStr">
        <is>
          <t>ring2</t>
        </is>
      </c>
      <c r="B647" t="inlineStr">
        <is>
          <t>legendary</t>
        </is>
      </c>
      <c r="C647" t="n">
        <v>2</v>
      </c>
      <c r="D647" t="inlineStr">
        <is>
          <t>Basic Attack Damage %</t>
        </is>
      </c>
      <c r="E647" t="n">
        <v>21</v>
      </c>
      <c r="F647" t="n">
        <v>0.24</v>
      </c>
      <c r="G647" t="b">
        <v>1</v>
      </c>
      <c r="H647">
        <f>Sensitivity!H19</f>
        <v/>
      </c>
    </row>
    <row r="648">
      <c r="A648" t="inlineStr">
        <is>
          <t>ring2</t>
        </is>
      </c>
      <c r="B648" t="inlineStr">
        <is>
          <t>legendary</t>
        </is>
      </c>
      <c r="C648" t="n">
        <v>2</v>
      </c>
      <c r="D648" t="inlineStr">
        <is>
          <t>Basic Attack Damage %</t>
        </is>
      </c>
      <c r="E648" t="n">
        <v>14</v>
      </c>
      <c r="F648" t="n">
        <v>0.76</v>
      </c>
      <c r="G648" t="b">
        <v>0</v>
      </c>
      <c r="H648">
        <f>Sensitivity!H19</f>
        <v/>
      </c>
    </row>
    <row r="649">
      <c r="A649" t="inlineStr">
        <is>
          <t>ring2</t>
        </is>
      </c>
      <c r="B649" t="inlineStr">
        <is>
          <t>legendary</t>
        </is>
      </c>
      <c r="C649" t="n">
        <v>3</v>
      </c>
      <c r="D649" t="inlineStr">
        <is>
          <t>Basic Attack Damage %</t>
        </is>
      </c>
      <c r="E649" t="n">
        <v>21</v>
      </c>
      <c r="F649" t="n">
        <v>0.08</v>
      </c>
      <c r="G649" t="b">
        <v>1</v>
      </c>
      <c r="H649">
        <f>Sensitivity!H19</f>
        <v/>
      </c>
    </row>
    <row r="650">
      <c r="A650" t="inlineStr">
        <is>
          <t>ring2</t>
        </is>
      </c>
      <c r="B650" t="inlineStr">
        <is>
          <t>legendary</t>
        </is>
      </c>
      <c r="C650" t="n">
        <v>3</v>
      </c>
      <c r="D650" t="inlineStr">
        <is>
          <t>Basic Attack Damage %</t>
        </is>
      </c>
      <c r="E650" t="n">
        <v>14</v>
      </c>
      <c r="F650" t="n">
        <v>0.92</v>
      </c>
      <c r="G650" t="b">
        <v>0</v>
      </c>
      <c r="H650">
        <f>Sensitivity!H19</f>
        <v/>
      </c>
    </row>
    <row r="651">
      <c r="A651" t="inlineStr">
        <is>
          <t>ring2</t>
        </is>
      </c>
      <c r="B651" t="inlineStr">
        <is>
          <t>mystic</t>
        </is>
      </c>
      <c r="C651" t="n">
        <v>1</v>
      </c>
      <c r="D651" t="inlineStr">
        <is>
          <t>Basic Attack Damage %</t>
        </is>
      </c>
      <c r="E651" t="n">
        <v>30</v>
      </c>
      <c r="F651" t="n">
        <v>1</v>
      </c>
      <c r="G651" t="b">
        <v>1</v>
      </c>
      <c r="H651">
        <f>Sensitivity!H19</f>
        <v/>
      </c>
    </row>
    <row r="652">
      <c r="A652" t="inlineStr">
        <is>
          <t>ring2</t>
        </is>
      </c>
      <c r="B652" t="inlineStr">
        <is>
          <t>mystic</t>
        </is>
      </c>
      <c r="C652" t="n">
        <v>2</v>
      </c>
      <c r="D652" t="inlineStr">
        <is>
          <t>Basic Attack Damage %</t>
        </is>
      </c>
      <c r="E652" t="n">
        <v>30</v>
      </c>
      <c r="F652" t="n">
        <v>0.24</v>
      </c>
      <c r="G652" t="b">
        <v>1</v>
      </c>
      <c r="H652">
        <f>Sensitivity!H19</f>
        <v/>
      </c>
    </row>
    <row r="653">
      <c r="A653" t="inlineStr">
        <is>
          <t>ring2</t>
        </is>
      </c>
      <c r="B653" t="inlineStr">
        <is>
          <t>mystic</t>
        </is>
      </c>
      <c r="C653" t="n">
        <v>2</v>
      </c>
      <c r="D653" t="inlineStr">
        <is>
          <t>Basic Attack Damage %</t>
        </is>
      </c>
      <c r="E653" t="n">
        <v>21</v>
      </c>
      <c r="F653" t="n">
        <v>0.76</v>
      </c>
      <c r="G653" t="b">
        <v>0</v>
      </c>
      <c r="H653">
        <f>Sensitivity!H19</f>
        <v/>
      </c>
    </row>
    <row r="654">
      <c r="A654" t="inlineStr">
        <is>
          <t>ring2</t>
        </is>
      </c>
      <c r="B654" t="inlineStr">
        <is>
          <t>mystic</t>
        </is>
      </c>
      <c r="C654" t="n">
        <v>3</v>
      </c>
      <c r="D654" t="inlineStr">
        <is>
          <t>Basic Attack Damage %</t>
        </is>
      </c>
      <c r="E654" t="n">
        <v>30</v>
      </c>
      <c r="F654" t="n">
        <v>0.08</v>
      </c>
      <c r="G654" t="b">
        <v>1</v>
      </c>
      <c r="H654">
        <f>Sensitivity!H19</f>
        <v/>
      </c>
    </row>
    <row r="655">
      <c r="A655" t="inlineStr">
        <is>
          <t>ring2</t>
        </is>
      </c>
      <c r="B655" t="inlineStr">
        <is>
          <t>mystic</t>
        </is>
      </c>
      <c r="C655" t="n">
        <v>3</v>
      </c>
      <c r="D655" t="inlineStr">
        <is>
          <t>Basic Attack Damage %</t>
        </is>
      </c>
      <c r="E655" t="n">
        <v>21</v>
      </c>
      <c r="F655" t="n">
        <v>0.92</v>
      </c>
      <c r="G655" t="b">
        <v>0</v>
      </c>
      <c r="H655">
        <f>Sensitivity!H19</f>
        <v/>
      </c>
    </row>
    <row r="656">
      <c r="A656" t="inlineStr">
        <is>
          <t>face</t>
        </is>
      </c>
      <c r="B656" t="inlineStr">
        <is>
          <t>epic</t>
        </is>
      </c>
      <c r="C656" t="n">
        <v>1</v>
      </c>
      <c r="D656" t="inlineStr">
        <is>
          <t>Final Damage %</t>
        </is>
      </c>
      <c r="E656" t="n">
        <v>3</v>
      </c>
      <c r="F656" t="n">
        <v>1</v>
      </c>
      <c r="G656" t="b">
        <v>1</v>
      </c>
      <c r="H656">
        <f>Sensitivity!H12</f>
        <v/>
      </c>
    </row>
    <row r="657">
      <c r="A657" t="inlineStr">
        <is>
          <t>face</t>
        </is>
      </c>
      <c r="B657" t="inlineStr">
        <is>
          <t>epic</t>
        </is>
      </c>
      <c r="C657" t="n">
        <v>2</v>
      </c>
      <c r="D657" t="inlineStr">
        <is>
          <t>Final Damage %</t>
        </is>
      </c>
      <c r="E657" t="n">
        <v>3</v>
      </c>
      <c r="F657" t="n">
        <v>0.24</v>
      </c>
      <c r="G657" t="b">
        <v>1</v>
      </c>
      <c r="H657">
        <f>Sensitivity!H12</f>
        <v/>
      </c>
    </row>
    <row r="658">
      <c r="A658" t="inlineStr">
        <is>
          <t>face</t>
        </is>
      </c>
      <c r="B658" t="inlineStr">
        <is>
          <t>epic</t>
        </is>
      </c>
      <c r="C658" t="n">
        <v>3</v>
      </c>
      <c r="D658" t="inlineStr">
        <is>
          <t>Final Damage %</t>
        </is>
      </c>
      <c r="E658" t="n">
        <v>3</v>
      </c>
      <c r="F658" t="n">
        <v>0.08</v>
      </c>
      <c r="G658" t="b">
        <v>1</v>
      </c>
      <c r="H658">
        <f>Sensitivity!H12</f>
        <v/>
      </c>
    </row>
    <row r="659">
      <c r="A659" t="inlineStr">
        <is>
          <t>face</t>
        </is>
      </c>
      <c r="B659" t="inlineStr">
        <is>
          <t>unique</t>
        </is>
      </c>
      <c r="C659" t="n">
        <v>1</v>
      </c>
      <c r="D659" t="inlineStr">
        <is>
          <t>Final Damage %</t>
        </is>
      </c>
      <c r="E659" t="n">
        <v>5</v>
      </c>
      <c r="F659" t="n">
        <v>1</v>
      </c>
      <c r="G659" t="b">
        <v>1</v>
      </c>
      <c r="H659">
        <f>Sensitivity!H12</f>
        <v/>
      </c>
    </row>
    <row r="660">
      <c r="A660" t="inlineStr">
        <is>
          <t>face</t>
        </is>
      </c>
      <c r="B660" t="inlineStr">
        <is>
          <t>unique</t>
        </is>
      </c>
      <c r="C660" t="n">
        <v>2</v>
      </c>
      <c r="D660" t="inlineStr">
        <is>
          <t>Final Damage %</t>
        </is>
      </c>
      <c r="E660" t="n">
        <v>5</v>
      </c>
      <c r="F660" t="n">
        <v>0.24</v>
      </c>
      <c r="G660" t="b">
        <v>1</v>
      </c>
      <c r="H660">
        <f>Sensitivity!H12</f>
        <v/>
      </c>
    </row>
    <row r="661">
      <c r="A661" t="inlineStr">
        <is>
          <t>face</t>
        </is>
      </c>
      <c r="B661" t="inlineStr">
        <is>
          <t>unique</t>
        </is>
      </c>
      <c r="C661" t="n">
        <v>2</v>
      </c>
      <c r="D661" t="inlineStr">
        <is>
          <t>Final Damage %</t>
        </is>
      </c>
      <c r="E661" t="n">
        <v>3</v>
      </c>
      <c r="F661" t="n">
        <v>0.76</v>
      </c>
      <c r="G661" t="b">
        <v>0</v>
      </c>
      <c r="H661">
        <f>Sensitivity!H12</f>
        <v/>
      </c>
    </row>
    <row r="662">
      <c r="A662" t="inlineStr">
        <is>
          <t>face</t>
        </is>
      </c>
      <c r="B662" t="inlineStr">
        <is>
          <t>unique</t>
        </is>
      </c>
      <c r="C662" t="n">
        <v>3</v>
      </c>
      <c r="D662" t="inlineStr">
        <is>
          <t>Final Damage %</t>
        </is>
      </c>
      <c r="E662" t="n">
        <v>5</v>
      </c>
      <c r="F662" t="n">
        <v>0.08</v>
      </c>
      <c r="G662" t="b">
        <v>1</v>
      </c>
      <c r="H662">
        <f>Sensitivity!H12</f>
        <v/>
      </c>
    </row>
    <row r="663">
      <c r="A663" t="inlineStr">
        <is>
          <t>face</t>
        </is>
      </c>
      <c r="B663" t="inlineStr">
        <is>
          <t>unique</t>
        </is>
      </c>
      <c r="C663" t="n">
        <v>3</v>
      </c>
      <c r="D663" t="inlineStr">
        <is>
          <t>Final Damage %</t>
        </is>
      </c>
      <c r="E663" t="n">
        <v>3</v>
      </c>
      <c r="F663" t="n">
        <v>0.92</v>
      </c>
      <c r="G663" t="b">
        <v>0</v>
      </c>
      <c r="H663">
        <f>Sensitivity!H12</f>
        <v/>
      </c>
    </row>
    <row r="664">
      <c r="A664" t="inlineStr">
        <is>
          <t>face</t>
        </is>
      </c>
      <c r="B664" t="inlineStr">
        <is>
          <t>legendary</t>
        </is>
      </c>
      <c r="C664" t="n">
        <v>1</v>
      </c>
      <c r="D664" t="inlineStr">
        <is>
          <t>Final Damage %</t>
        </is>
      </c>
      <c r="E664" t="n">
        <v>8</v>
      </c>
      <c r="F664" t="n">
        <v>1</v>
      </c>
      <c r="G664" t="b">
        <v>1</v>
      </c>
      <c r="H664">
        <f>Sensitivity!H12</f>
        <v/>
      </c>
    </row>
    <row r="665">
      <c r="A665" t="inlineStr">
        <is>
          <t>face</t>
        </is>
      </c>
      <c r="B665" t="inlineStr">
        <is>
          <t>legendary</t>
        </is>
      </c>
      <c r="C665" t="n">
        <v>2</v>
      </c>
      <c r="D665" t="inlineStr">
        <is>
          <t>Final Damage %</t>
        </is>
      </c>
      <c r="E665" t="n">
        <v>8</v>
      </c>
      <c r="F665" t="n">
        <v>0.24</v>
      </c>
      <c r="G665" t="b">
        <v>1</v>
      </c>
      <c r="H665">
        <f>Sensitivity!H12</f>
        <v/>
      </c>
    </row>
    <row r="666">
      <c r="A666" t="inlineStr">
        <is>
          <t>face</t>
        </is>
      </c>
      <c r="B666" t="inlineStr">
        <is>
          <t>legendary</t>
        </is>
      </c>
      <c r="C666" t="n">
        <v>2</v>
      </c>
      <c r="D666" t="inlineStr">
        <is>
          <t>Final Damage %</t>
        </is>
      </c>
      <c r="E666" t="n">
        <v>5</v>
      </c>
      <c r="F666" t="n">
        <v>0.76</v>
      </c>
      <c r="G666" t="b">
        <v>0</v>
      </c>
      <c r="H666">
        <f>Sensitivity!H12</f>
        <v/>
      </c>
    </row>
    <row r="667">
      <c r="A667" t="inlineStr">
        <is>
          <t>face</t>
        </is>
      </c>
      <c r="B667" t="inlineStr">
        <is>
          <t>legendary</t>
        </is>
      </c>
      <c r="C667" t="n">
        <v>3</v>
      </c>
      <c r="D667" t="inlineStr">
        <is>
          <t>Final Damage %</t>
        </is>
      </c>
      <c r="E667" t="n">
        <v>8</v>
      </c>
      <c r="F667" t="n">
        <v>0.08</v>
      </c>
      <c r="G667" t="b">
        <v>1</v>
      </c>
      <c r="H667">
        <f>Sensitivity!H12</f>
        <v/>
      </c>
    </row>
    <row r="668">
      <c r="A668" t="inlineStr">
        <is>
          <t>face</t>
        </is>
      </c>
      <c r="B668" t="inlineStr">
        <is>
          <t>legendary</t>
        </is>
      </c>
      <c r="C668" t="n">
        <v>3</v>
      </c>
      <c r="D668" t="inlineStr">
        <is>
          <t>Final Damage %</t>
        </is>
      </c>
      <c r="E668" t="n">
        <v>5</v>
      </c>
      <c r="F668" t="n">
        <v>0.92</v>
      </c>
      <c r="G668" t="b">
        <v>0</v>
      </c>
      <c r="H668">
        <f>Sensitivity!H12</f>
        <v/>
      </c>
    </row>
    <row r="669">
      <c r="A669" t="inlineStr">
        <is>
          <t>face</t>
        </is>
      </c>
      <c r="B669" t="inlineStr">
        <is>
          <t>mystic</t>
        </is>
      </c>
      <c r="C669" t="n">
        <v>1</v>
      </c>
      <c r="D669" t="inlineStr">
        <is>
          <t>Final Damage %</t>
        </is>
      </c>
      <c r="E669" t="n">
        <v>12</v>
      </c>
      <c r="F669" t="n">
        <v>1</v>
      </c>
      <c r="G669" t="b">
        <v>1</v>
      </c>
      <c r="H669">
        <f>Sensitivity!H12</f>
        <v/>
      </c>
    </row>
    <row r="670">
      <c r="A670" t="inlineStr">
        <is>
          <t>face</t>
        </is>
      </c>
      <c r="B670" t="inlineStr">
        <is>
          <t>mystic</t>
        </is>
      </c>
      <c r="C670" t="n">
        <v>2</v>
      </c>
      <c r="D670" t="inlineStr">
        <is>
          <t>Final Damage %</t>
        </is>
      </c>
      <c r="E670" t="n">
        <v>12</v>
      </c>
      <c r="F670" t="n">
        <v>0.24</v>
      </c>
      <c r="G670" t="b">
        <v>1</v>
      </c>
      <c r="H670">
        <f>Sensitivity!H12</f>
        <v/>
      </c>
    </row>
    <row r="671">
      <c r="A671" t="inlineStr">
        <is>
          <t>face</t>
        </is>
      </c>
      <c r="B671" t="inlineStr">
        <is>
          <t>mystic</t>
        </is>
      </c>
      <c r="C671" t="n">
        <v>2</v>
      </c>
      <c r="D671" t="inlineStr">
        <is>
          <t>Final Damage %</t>
        </is>
      </c>
      <c r="E671" t="n">
        <v>8</v>
      </c>
      <c r="F671" t="n">
        <v>0.76</v>
      </c>
      <c r="G671" t="b">
        <v>0</v>
      </c>
      <c r="H671">
        <f>Sensitivity!H12</f>
        <v/>
      </c>
    </row>
    <row r="672">
      <c r="A672" t="inlineStr">
        <is>
          <t>face</t>
        </is>
      </c>
      <c r="B672" t="inlineStr">
        <is>
          <t>mystic</t>
        </is>
      </c>
      <c r="C672" t="n">
        <v>3</v>
      </c>
      <c r="D672" t="inlineStr">
        <is>
          <t>Final Damage %</t>
        </is>
      </c>
      <c r="E672" t="n">
        <v>12</v>
      </c>
      <c r="F672" t="n">
        <v>0.08</v>
      </c>
      <c r="G672" t="b">
        <v>1</v>
      </c>
      <c r="H672">
        <f>Sensitivity!H12</f>
        <v/>
      </c>
    </row>
    <row r="673">
      <c r="A673" t="inlineStr">
        <is>
          <t>face</t>
        </is>
      </c>
      <c r="B673" t="inlineStr">
        <is>
          <t>mystic</t>
        </is>
      </c>
      <c r="C673" t="n">
        <v>3</v>
      </c>
      <c r="D673" t="inlineStr">
        <is>
          <t>Final Damage %</t>
        </is>
      </c>
      <c r="E673" t="n">
        <v>8</v>
      </c>
      <c r="F673" t="n">
        <v>0.92</v>
      </c>
      <c r="G673" t="b">
        <v>0</v>
      </c>
      <c r="H673">
        <f>Sensitivity!H12</f>
        <v/>
      </c>
    </row>
    <row r="674">
      <c r="A674" t="inlineStr">
        <is>
          <t>earrings</t>
        </is>
      </c>
      <c r="B674" t="inlineStr">
        <is>
          <t>epic</t>
        </is>
      </c>
      <c r="C674" t="n">
        <v>1</v>
      </c>
      <c r="D674" t="inlineStr">
        <is>
          <t>Skill Damage %</t>
        </is>
      </c>
      <c r="E674" t="n">
        <v>8</v>
      </c>
      <c r="F674" t="n">
        <v>1</v>
      </c>
      <c r="G674" t="b">
        <v>1</v>
      </c>
      <c r="H674">
        <f>Sensitivity!H20</f>
        <v/>
      </c>
    </row>
    <row r="675">
      <c r="A675" t="inlineStr">
        <is>
          <t>earrings</t>
        </is>
      </c>
      <c r="B675" t="inlineStr">
        <is>
          <t>epic</t>
        </is>
      </c>
      <c r="C675" t="n">
        <v>2</v>
      </c>
      <c r="D675" t="inlineStr">
        <is>
          <t>Skill Damage %</t>
        </is>
      </c>
      <c r="E675" t="n">
        <v>8</v>
      </c>
      <c r="F675" t="n">
        <v>0.24</v>
      </c>
      <c r="G675" t="b">
        <v>1</v>
      </c>
      <c r="H675">
        <f>Sensitivity!H20</f>
        <v/>
      </c>
    </row>
    <row r="676">
      <c r="A676" t="inlineStr">
        <is>
          <t>earrings</t>
        </is>
      </c>
      <c r="B676" t="inlineStr">
        <is>
          <t>epic</t>
        </is>
      </c>
      <c r="C676" t="n">
        <v>3</v>
      </c>
      <c r="D676" t="inlineStr">
        <is>
          <t>Skill Damage %</t>
        </is>
      </c>
      <c r="E676" t="n">
        <v>8</v>
      </c>
      <c r="F676" t="n">
        <v>0.08</v>
      </c>
      <c r="G676" t="b">
        <v>1</v>
      </c>
      <c r="H676">
        <f>Sensitivity!H20</f>
        <v/>
      </c>
    </row>
    <row r="677">
      <c r="A677" t="inlineStr">
        <is>
          <t>earrings</t>
        </is>
      </c>
      <c r="B677" t="inlineStr">
        <is>
          <t>unique</t>
        </is>
      </c>
      <c r="C677" t="n">
        <v>1</v>
      </c>
      <c r="D677" t="inlineStr">
        <is>
          <t>Skill Damage %</t>
        </is>
      </c>
      <c r="E677" t="n">
        <v>14</v>
      </c>
      <c r="F677" t="n">
        <v>1</v>
      </c>
      <c r="G677" t="b">
        <v>1</v>
      </c>
      <c r="H677">
        <f>Sensitivity!H20</f>
        <v/>
      </c>
    </row>
    <row r="678">
      <c r="A678" t="inlineStr">
        <is>
          <t>earrings</t>
        </is>
      </c>
      <c r="B678" t="inlineStr">
        <is>
          <t>unique</t>
        </is>
      </c>
      <c r="C678" t="n">
        <v>2</v>
      </c>
      <c r="D678" t="inlineStr">
        <is>
          <t>Skill Damage %</t>
        </is>
      </c>
      <c r="E678" t="n">
        <v>14</v>
      </c>
      <c r="F678" t="n">
        <v>0.24</v>
      </c>
      <c r="G678" t="b">
        <v>1</v>
      </c>
      <c r="H678">
        <f>Sensitivity!H20</f>
        <v/>
      </c>
    </row>
    <row r="679">
      <c r="A679" t="inlineStr">
        <is>
          <t>earrings</t>
        </is>
      </c>
      <c r="B679" t="inlineStr">
        <is>
          <t>unique</t>
        </is>
      </c>
      <c r="C679" t="n">
        <v>2</v>
      </c>
      <c r="D679" t="inlineStr">
        <is>
          <t>Skill Damage %</t>
        </is>
      </c>
      <c r="E679" t="n">
        <v>8</v>
      </c>
      <c r="F679" t="n">
        <v>0.76</v>
      </c>
      <c r="G679" t="b">
        <v>0</v>
      </c>
      <c r="H679">
        <f>Sensitivity!H20</f>
        <v/>
      </c>
    </row>
    <row r="680">
      <c r="A680" t="inlineStr">
        <is>
          <t>earrings</t>
        </is>
      </c>
      <c r="B680" t="inlineStr">
        <is>
          <t>unique</t>
        </is>
      </c>
      <c r="C680" t="n">
        <v>3</v>
      </c>
      <c r="D680" t="inlineStr">
        <is>
          <t>Skill Damage %</t>
        </is>
      </c>
      <c r="E680" t="n">
        <v>14</v>
      </c>
      <c r="F680" t="n">
        <v>0.08</v>
      </c>
      <c r="G680" t="b">
        <v>1</v>
      </c>
      <c r="H680">
        <f>Sensitivity!H20</f>
        <v/>
      </c>
    </row>
    <row r="681">
      <c r="A681" t="inlineStr">
        <is>
          <t>earrings</t>
        </is>
      </c>
      <c r="B681" t="inlineStr">
        <is>
          <t>unique</t>
        </is>
      </c>
      <c r="C681" t="n">
        <v>3</v>
      </c>
      <c r="D681" t="inlineStr">
        <is>
          <t>Skill Damage %</t>
        </is>
      </c>
      <c r="E681" t="n">
        <v>8</v>
      </c>
      <c r="F681" t="n">
        <v>0.92</v>
      </c>
      <c r="G681" t="b">
        <v>0</v>
      </c>
      <c r="H681">
        <f>Sensitivity!H20</f>
        <v/>
      </c>
    </row>
    <row r="682">
      <c r="A682" t="inlineStr">
        <is>
          <t>earrings</t>
        </is>
      </c>
      <c r="B682" t="inlineStr">
        <is>
          <t>legendary</t>
        </is>
      </c>
      <c r="C682" t="n">
        <v>1</v>
      </c>
      <c r="D682" t="inlineStr">
        <is>
          <t>Skill Damage %</t>
        </is>
      </c>
      <c r="E682" t="n">
        <v>21</v>
      </c>
      <c r="F682" t="n">
        <v>1</v>
      </c>
      <c r="G682" t="b">
        <v>1</v>
      </c>
      <c r="H682">
        <f>Sensitivity!H20</f>
        <v/>
      </c>
    </row>
    <row r="683">
      <c r="A683" t="inlineStr">
        <is>
          <t>earrings</t>
        </is>
      </c>
      <c r="B683" t="inlineStr">
        <is>
          <t>legendary</t>
        </is>
      </c>
      <c r="C683" t="n">
        <v>2</v>
      </c>
      <c r="D683" t="inlineStr">
        <is>
          <t>Skill Damage %</t>
        </is>
      </c>
      <c r="E683" t="n">
        <v>21</v>
      </c>
      <c r="F683" t="n">
        <v>0.24</v>
      </c>
      <c r="G683" t="b">
        <v>1</v>
      </c>
      <c r="H683">
        <f>Sensitivity!H20</f>
        <v/>
      </c>
    </row>
    <row r="684">
      <c r="A684" t="inlineStr">
        <is>
          <t>earrings</t>
        </is>
      </c>
      <c r="B684" t="inlineStr">
        <is>
          <t>legendary</t>
        </is>
      </c>
      <c r="C684" t="n">
        <v>2</v>
      </c>
      <c r="D684" t="inlineStr">
        <is>
          <t>Skill Damage %</t>
        </is>
      </c>
      <c r="E684" t="n">
        <v>14</v>
      </c>
      <c r="F684" t="n">
        <v>0.76</v>
      </c>
      <c r="G684" t="b">
        <v>0</v>
      </c>
      <c r="H684">
        <f>Sensitivity!H20</f>
        <v/>
      </c>
    </row>
    <row r="685">
      <c r="A685" t="inlineStr">
        <is>
          <t>earrings</t>
        </is>
      </c>
      <c r="B685" t="inlineStr">
        <is>
          <t>legendary</t>
        </is>
      </c>
      <c r="C685" t="n">
        <v>3</v>
      </c>
      <c r="D685" t="inlineStr">
        <is>
          <t>Skill Damage %</t>
        </is>
      </c>
      <c r="E685" t="n">
        <v>21</v>
      </c>
      <c r="F685" t="n">
        <v>0.08</v>
      </c>
      <c r="G685" t="b">
        <v>1</v>
      </c>
      <c r="H685">
        <f>Sensitivity!H20</f>
        <v/>
      </c>
    </row>
    <row r="686">
      <c r="A686" t="inlineStr">
        <is>
          <t>earrings</t>
        </is>
      </c>
      <c r="B686" t="inlineStr">
        <is>
          <t>legendary</t>
        </is>
      </c>
      <c r="C686" t="n">
        <v>3</v>
      </c>
      <c r="D686" t="inlineStr">
        <is>
          <t>Skill Damage %</t>
        </is>
      </c>
      <c r="E686" t="n">
        <v>14</v>
      </c>
      <c r="F686" t="n">
        <v>0.92</v>
      </c>
      <c r="G686" t="b">
        <v>0</v>
      </c>
      <c r="H686">
        <f>Sensitivity!H20</f>
        <v/>
      </c>
    </row>
    <row r="687">
      <c r="A687" t="inlineStr">
        <is>
          <t>earrings</t>
        </is>
      </c>
      <c r="B687" t="inlineStr">
        <is>
          <t>mystic</t>
        </is>
      </c>
      <c r="C687" t="n">
        <v>1</v>
      </c>
      <c r="D687" t="inlineStr">
        <is>
          <t>Skill Damage %</t>
        </is>
      </c>
      <c r="E687" t="n">
        <v>30</v>
      </c>
      <c r="F687" t="n">
        <v>1</v>
      </c>
      <c r="G687" t="b">
        <v>1</v>
      </c>
      <c r="H687">
        <f>Sensitivity!H20</f>
        <v/>
      </c>
    </row>
    <row r="688">
      <c r="A688" t="inlineStr">
        <is>
          <t>earrings</t>
        </is>
      </c>
      <c r="B688" t="inlineStr">
        <is>
          <t>mystic</t>
        </is>
      </c>
      <c r="C688" t="n">
        <v>2</v>
      </c>
      <c r="D688" t="inlineStr">
        <is>
          <t>Skill Damage %</t>
        </is>
      </c>
      <c r="E688" t="n">
        <v>30</v>
      </c>
      <c r="F688" t="n">
        <v>0.24</v>
      </c>
      <c r="G688" t="b">
        <v>1</v>
      </c>
      <c r="H688">
        <f>Sensitivity!H20</f>
        <v/>
      </c>
    </row>
    <row r="689">
      <c r="A689" t="inlineStr">
        <is>
          <t>earrings</t>
        </is>
      </c>
      <c r="B689" t="inlineStr">
        <is>
          <t>mystic</t>
        </is>
      </c>
      <c r="C689" t="n">
        <v>2</v>
      </c>
      <c r="D689" t="inlineStr">
        <is>
          <t>Skill Damage %</t>
        </is>
      </c>
      <c r="E689" t="n">
        <v>21</v>
      </c>
      <c r="F689" t="n">
        <v>0.76</v>
      </c>
      <c r="G689" t="b">
        <v>0</v>
      </c>
      <c r="H689">
        <f>Sensitivity!H20</f>
        <v/>
      </c>
    </row>
    <row r="690">
      <c r="A690" t="inlineStr">
        <is>
          <t>earrings</t>
        </is>
      </c>
      <c r="B690" t="inlineStr">
        <is>
          <t>mystic</t>
        </is>
      </c>
      <c r="C690" t="n">
        <v>3</v>
      </c>
      <c r="D690" t="inlineStr">
        <is>
          <t>Skill Damage %</t>
        </is>
      </c>
      <c r="E690" t="n">
        <v>30</v>
      </c>
      <c r="F690" t="n">
        <v>0.08</v>
      </c>
      <c r="G690" t="b">
        <v>1</v>
      </c>
      <c r="H690">
        <f>Sensitivity!H20</f>
        <v/>
      </c>
    </row>
    <row r="691">
      <c r="A691" t="inlineStr">
        <is>
          <t>earrings</t>
        </is>
      </c>
      <c r="B691" t="inlineStr">
        <is>
          <t>mystic</t>
        </is>
      </c>
      <c r="C691" t="n">
        <v>3</v>
      </c>
      <c r="D691" t="inlineStr">
        <is>
          <t>Skill Damage %</t>
        </is>
      </c>
      <c r="E691" t="n">
        <v>21</v>
      </c>
      <c r="F691" t="n">
        <v>0.92</v>
      </c>
      <c r="G691" t="b">
        <v>0</v>
      </c>
      <c r="H691">
        <f>Sensitivity!H20</f>
        <v/>
      </c>
    </row>
    <row r="692">
      <c r="A692" t="inlineStr">
        <is>
          <t>pocket</t>
        </is>
      </c>
      <c r="B692" t="inlineStr">
        <is>
          <t>epic</t>
        </is>
      </c>
      <c r="C692" t="n">
        <v>1</v>
      </c>
      <c r="D692" t="inlineStr">
        <is>
          <t>Main Stat % per 4 Levels</t>
        </is>
      </c>
      <c r="E692" t="n">
        <v>0.4</v>
      </c>
      <c r="F692" t="n">
        <v>1</v>
      </c>
      <c r="G692" t="b">
        <v>1</v>
      </c>
      <c r="H692">
        <f>Sensitivity!H6*INT(Inputs!$B$3/4)</f>
        <v/>
      </c>
    </row>
    <row r="693">
      <c r="A693" t="inlineStr">
        <is>
          <t>pocket</t>
        </is>
      </c>
      <c r="B693" t="inlineStr">
        <is>
          <t>epic</t>
        </is>
      </c>
      <c r="C693" t="n">
        <v>2</v>
      </c>
      <c r="D693" t="inlineStr">
        <is>
          <t>Main Stat % per 4 Levels</t>
        </is>
      </c>
      <c r="E693" t="n">
        <v>0.4</v>
      </c>
      <c r="F693" t="n">
        <v>0.24</v>
      </c>
      <c r="G693" t="b">
        <v>1</v>
      </c>
      <c r="H693">
        <f>Sensitivity!H6*INT(Inputs!$B$3/4)</f>
        <v/>
      </c>
    </row>
    <row r="694">
      <c r="A694" t="inlineStr">
        <is>
          <t>pocket</t>
        </is>
      </c>
      <c r="B694" t="inlineStr">
        <is>
          <t>epic</t>
        </is>
      </c>
      <c r="C694" t="n">
        <v>3</v>
      </c>
      <c r="D694" t="inlineStr">
        <is>
          <t>Main Stat % per 4 Levels</t>
        </is>
      </c>
      <c r="E694" t="n">
        <v>0.4</v>
      </c>
      <c r="F694" t="n">
        <v>0.08</v>
      </c>
      <c r="G694" t="b">
        <v>1</v>
      </c>
      <c r="H694">
        <f>Sensitivity!H6*INT(Inputs!$B$3/4)</f>
        <v/>
      </c>
    </row>
    <row r="695">
      <c r="A695" t="inlineStr">
        <is>
          <t>pocket</t>
        </is>
      </c>
      <c r="B695" t="inlineStr">
        <is>
          <t>unique</t>
        </is>
      </c>
      <c r="C695" t="n">
        <v>1</v>
      </c>
      <c r="D695" t="inlineStr">
        <is>
          <t>Main Stat % per 4 Levels</t>
        </is>
      </c>
      <c r="E695" t="n">
        <v>0.6</v>
      </c>
      <c r="F695" t="n">
        <v>1</v>
      </c>
      <c r="G695" t="b">
        <v>1</v>
      </c>
      <c r="H695">
        <f>Sensitivity!H6*INT(Inputs!$B$3/4)</f>
        <v/>
      </c>
    </row>
    <row r="696">
      <c r="A696" t="inlineStr">
        <is>
          <t>pocket</t>
        </is>
      </c>
      <c r="B696" t="inlineStr">
        <is>
          <t>unique</t>
        </is>
      </c>
      <c r="C696" t="n">
        <v>2</v>
      </c>
      <c r="D696" t="inlineStr">
        <is>
          <t>Main Stat % per 4 Levels</t>
        </is>
      </c>
      <c r="E696" t="n">
        <v>0.6</v>
      </c>
      <c r="F696" t="n">
        <v>0.24</v>
      </c>
      <c r="G696" t="b">
        <v>1</v>
      </c>
      <c r="H696">
        <f>Sensitivity!H6*INT(Inputs!$B$3/4)</f>
        <v/>
      </c>
    </row>
    <row r="697">
      <c r="A697" t="inlineStr">
        <is>
          <t>pocket</t>
        </is>
      </c>
      <c r="B697" t="inlineStr">
        <is>
          <t>unique</t>
        </is>
      </c>
      <c r="C697" t="n">
        <v>2</v>
      </c>
      <c r="D697" t="inlineStr">
        <is>
          <t>Main Stat % per 4 Levels</t>
        </is>
      </c>
      <c r="E697" t="n">
        <v>0.4</v>
      </c>
      <c r="F697" t="n">
        <v>0.76</v>
      </c>
      <c r="G697" t="b">
        <v>0</v>
      </c>
      <c r="H697">
        <f>Sensitivity!H6*INT(Inputs!$B$3/4)</f>
        <v/>
      </c>
    </row>
    <row r="698">
      <c r="A698" t="inlineStr">
        <is>
          <t>pocket</t>
        </is>
      </c>
      <c r="B698" t="inlineStr">
        <is>
          <t>unique</t>
        </is>
      </c>
      <c r="C698" t="n">
        <v>3</v>
      </c>
      <c r="D698" t="inlineStr">
        <is>
          <t>Main Stat % per 4 Levels</t>
        </is>
      </c>
      <c r="E698" t="n">
        <v>0.6</v>
      </c>
      <c r="F698" t="n">
        <v>0.08</v>
      </c>
      <c r="G698" t="b">
        <v>1</v>
      </c>
      <c r="H698">
        <f>Sensitivity!H6*INT(Inputs!$B$3/4)</f>
        <v/>
      </c>
    </row>
    <row r="699">
      <c r="A699" t="inlineStr">
        <is>
          <t>pocket</t>
        </is>
      </c>
      <c r="B699" t="inlineStr">
        <is>
          <t>unique</t>
        </is>
      </c>
      <c r="C699" t="n">
        <v>3</v>
      </c>
      <c r="D699" t="inlineStr">
        <is>
          <t>Main Stat % per 4 Levels</t>
        </is>
      </c>
      <c r="E699" t="n">
        <v>0.4</v>
      </c>
      <c r="F699" t="n">
        <v>0.92</v>
      </c>
      <c r="G699" t="b">
        <v>0</v>
      </c>
      <c r="H699">
        <f>Sensitivity!H6*INT(Inputs!$B$3/4)</f>
        <v/>
      </c>
    </row>
    <row r="700">
      <c r="A700" t="inlineStr">
        <is>
          <t>pocket</t>
        </is>
      </c>
      <c r="B700" t="inlineStr">
        <is>
          <t>legendary</t>
        </is>
      </c>
      <c r="C700" t="n">
        <v>1</v>
      </c>
      <c r="D700" t="inlineStr">
        <is>
          <t>Main Stat % per 4 Levels</t>
        </is>
      </c>
      <c r="E700" t="n">
        <v>0.8</v>
      </c>
      <c r="F700" t="n">
        <v>1</v>
      </c>
      <c r="G700" t="b">
        <v>1</v>
      </c>
      <c r="H700">
        <f>Sensitivity!H6*INT(Inputs!$B$3/4)</f>
        <v/>
      </c>
    </row>
    <row r="701">
      <c r="A701" t="inlineStr">
        <is>
          <t>pocket</t>
        </is>
      </c>
      <c r="B701" t="inlineStr">
        <is>
          <t>legendary</t>
        </is>
      </c>
      <c r="C701" t="n">
        <v>2</v>
      </c>
      <c r="D701" t="inlineStr">
        <is>
          <t>Main Stat % per 4 Levels</t>
        </is>
      </c>
      <c r="E701" t="n">
        <v>0.8</v>
      </c>
      <c r="F701" t="n">
        <v>0.24</v>
      </c>
      <c r="G701" t="b">
        <v>1</v>
      </c>
      <c r="H701">
        <f>Sensitivity!H6*INT(Inputs!$B$3/4)</f>
        <v/>
      </c>
    </row>
    <row r="702">
      <c r="A702" t="inlineStr">
        <is>
          <t>pocket</t>
        </is>
      </c>
      <c r="B702" t="inlineStr">
        <is>
          <t>legendary</t>
        </is>
      </c>
      <c r="C702" t="n">
        <v>2</v>
      </c>
      <c r="D702" t="inlineStr">
        <is>
          <t>Main Stat % per 4 Levels</t>
        </is>
      </c>
      <c r="E702" t="n">
        <v>0.6</v>
      </c>
      <c r="F702" t="n">
        <v>0.76</v>
      </c>
      <c r="G702" t="b">
        <v>0</v>
      </c>
      <c r="H702">
        <f>Sensitivity!H6*INT(Inputs!$B$3/4)</f>
        <v/>
      </c>
    </row>
    <row r="703">
      <c r="A703" t="inlineStr">
        <is>
          <t>pocket</t>
        </is>
      </c>
      <c r="B703" t="inlineStr">
        <is>
          <t>legendary</t>
        </is>
      </c>
      <c r="C703" t="n">
        <v>3</v>
      </c>
      <c r="D703" t="inlineStr">
        <is>
          <t>Main Stat % per 4 Levels</t>
        </is>
      </c>
      <c r="E703" t="n">
        <v>0.8</v>
      </c>
      <c r="F703" t="n">
        <v>0.08</v>
      </c>
      <c r="G703" t="b">
        <v>1</v>
      </c>
      <c r="H703">
        <f>Sensitivity!H6*INT(Inputs!$B$3/4)</f>
        <v/>
      </c>
    </row>
    <row r="704">
      <c r="A704" t="inlineStr">
        <is>
          <t>pocket</t>
        </is>
      </c>
      <c r="B704" t="inlineStr">
        <is>
          <t>legendary</t>
        </is>
      </c>
      <c r="C704" t="n">
        <v>3</v>
      </c>
      <c r="D704" t="inlineStr">
        <is>
          <t>Main Stat % per 4 Levels</t>
        </is>
      </c>
      <c r="E704" t="n">
        <v>0.6</v>
      </c>
      <c r="F704" t="n">
        <v>0.92</v>
      </c>
      <c r="G704" t="b">
        <v>0</v>
      </c>
      <c r="H704">
        <f>Sensitivity!H6*INT(Inputs!$B$3/4)</f>
        <v/>
      </c>
    </row>
    <row r="705">
      <c r="A705" t="inlineStr">
        <is>
          <t>pocket</t>
        </is>
      </c>
      <c r="B705" t="inlineStr">
        <is>
          <t>mystic</t>
        </is>
      </c>
      <c r="C705" t="n">
        <v>1</v>
      </c>
      <c r="D705" t="inlineStr">
        <is>
          <t>Main Stat % per 4 Levels</t>
        </is>
      </c>
      <c r="E705" t="n">
        <v>1.2</v>
      </c>
      <c r="F705" t="n">
        <v>1</v>
      </c>
      <c r="G705" t="b">
        <v>1</v>
      </c>
      <c r="H705">
        <f>Sensitivity!H6*INT(Inputs!$B$3/4)</f>
        <v/>
      </c>
    </row>
    <row r="706">
      <c r="A706" t="inlineStr">
        <is>
          <t>pocket</t>
        </is>
      </c>
      <c r="B706" t="inlineStr">
        <is>
          <t>mystic</t>
        </is>
      </c>
      <c r="C706" t="n">
        <v>2</v>
      </c>
      <c r="D706" t="inlineStr">
        <is>
          <t>Main Stat % per 4 Levels</t>
        </is>
      </c>
      <c r="E706" t="n">
        <v>1.2</v>
      </c>
      <c r="F706" t="n">
        <v>0.24</v>
      </c>
      <c r="G706" t="b">
        <v>1</v>
      </c>
      <c r="H706">
        <f>Sensitivity!H6*INT(Inputs!$B$3/4)</f>
        <v/>
      </c>
    </row>
    <row r="707">
      <c r="A707" t="inlineStr">
        <is>
          <t>pocket</t>
        </is>
      </c>
      <c r="B707" t="inlineStr">
        <is>
          <t>mystic</t>
        </is>
      </c>
      <c r="C707" t="n">
        <v>2</v>
      </c>
      <c r="D707" t="inlineStr">
        <is>
          <t>Main Stat % per 4 Levels</t>
        </is>
      </c>
      <c r="E707" t="n">
        <v>0.8</v>
      </c>
      <c r="F707" t="n">
        <v>0.76</v>
      </c>
      <c r="G707" t="b">
        <v>0</v>
      </c>
      <c r="H707">
        <f>Sensitivity!H6*INT(Inputs!$B$3/4)</f>
        <v/>
      </c>
    </row>
    <row r="708">
      <c r="A708" t="inlineStr">
        <is>
          <t>pocket</t>
        </is>
      </c>
      <c r="B708" t="inlineStr">
        <is>
          <t>mystic</t>
        </is>
      </c>
      <c r="C708" t="n">
        <v>3</v>
      </c>
      <c r="D708" t="inlineStr">
        <is>
          <t>Main Stat % per 4 Levels</t>
        </is>
      </c>
      <c r="E708" t="n">
        <v>1.2</v>
      </c>
      <c r="F708" t="n">
        <v>0.08</v>
      </c>
      <c r="G708" t="b">
        <v>1</v>
      </c>
      <c r="H708">
        <f>Sensitivity!H6*INT(Inputs!$B$3/4)</f>
        <v/>
      </c>
    </row>
    <row r="709">
      <c r="A709" t="inlineStr">
        <is>
          <t>pocket</t>
        </is>
      </c>
      <c r="B709" t="inlineStr">
        <is>
          <t>mystic</t>
        </is>
      </c>
      <c r="C709" t="n">
        <v>3</v>
      </c>
      <c r="D709" t="inlineStr">
        <is>
          <t>Main Stat % per 4 Levels</t>
        </is>
      </c>
      <c r="E709" t="n">
        <v>0.8</v>
      </c>
      <c r="F709" t="n">
        <v>0.92</v>
      </c>
      <c r="G709" t="b">
        <v>0</v>
      </c>
      <c r="H709">
        <f>Sensitivity!H6*INT(Inputs!$B$3/4)</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35"/>
  <sheetViews>
    <sheetView workbookViewId="0">
      <pane ySplit="5" topLeftCell="A6" activePane="bottomLeft" state="frozen"/>
      <selection pane="bottomLeft" activeCell="A1" sqref="A1"/>
    </sheetView>
  </sheetViews>
  <sheetFormatPr baseColWidth="8" defaultRowHeight="15"/>
  <cols>
    <col width="12" customWidth="1" min="1" max="1"/>
    <col width="15" customWidth="1" min="2" max="2"/>
    <col width="13" customWidth="1" min="3" max="3"/>
    <col width="18" customWidth="1" min="4" max="4"/>
    <col width="26" customWidth="1" min="5" max="5"/>
    <col width="11" customWidth="1" min="6" max="6"/>
    <col width="26" customWidth="1" min="7" max="7"/>
    <col width="11" customWidth="1" min="8" max="8"/>
    <col width="26" customWidth="1" min="9" max="9"/>
    <col width="11" customWidth="1" min="10" max="10"/>
  </cols>
  <sheetData>
    <row r="1">
      <c r="A1" s="4" t="inlineStr">
        <is>
          <t>Potential Cubes — Current Gear State</t>
        </is>
      </c>
    </row>
    <row r="2">
      <c r="A2" t="inlineStr">
        <is>
          <t>Fill in your actual current gear for every slot/potential-type you want EV results for, then run `python3 tools/potential_cubes_ev.py --class night-lord` — it reads this table plus the live Sensitivity!H DPS-per-unit values and computes exact 'expected value of the best roll kept after N rerolls' for all 30 rows (printed + written to a CSV), via a full line1 x line2 x line3 enumeration per rarity/slot rather than a single-roll average.</t>
        </is>
      </c>
    </row>
    <row r="3">
      <c r="A3" t="inlineStr">
        <is>
          <t>Leave a line's Stat as "(none)" if that line isn't rolled yet / doesn't matter.</t>
        </is>
      </c>
    </row>
    <row r="5">
      <c r="A5" s="8" t="inlineStr">
        <is>
          <t>Slot</t>
        </is>
      </c>
      <c r="B5" s="8" t="inlineStr">
        <is>
          <t>Potential Type</t>
        </is>
      </c>
      <c r="C5" s="8" t="inlineStr">
        <is>
          <t>Current Rarity</t>
        </is>
      </c>
      <c r="D5" s="8" t="inlineStr">
        <is>
          <t>Current Pity Count</t>
        </is>
      </c>
      <c r="E5" s="8" t="inlineStr">
        <is>
          <t>Line 1 Stat</t>
        </is>
      </c>
      <c r="F5" s="8" t="inlineStr">
        <is>
          <t>Line 1 Value</t>
        </is>
      </c>
      <c r="G5" s="8" t="inlineStr">
        <is>
          <t>Line 2 Stat</t>
        </is>
      </c>
      <c r="H5" s="8" t="inlineStr">
        <is>
          <t>Line 2 Value</t>
        </is>
      </c>
      <c r="I5" s="8" t="inlineStr">
        <is>
          <t>Line 3 Stat</t>
        </is>
      </c>
      <c r="J5" s="8" t="inlineStr">
        <is>
          <t>Line 3 Value</t>
        </is>
      </c>
    </row>
    <row r="6">
      <c r="A6" t="inlineStr">
        <is>
          <t>head</t>
        </is>
      </c>
      <c r="B6" t="inlineStr">
        <is>
          <t>Potential</t>
        </is>
      </c>
      <c r="C6" t="inlineStr">
        <is>
          <t>normal</t>
        </is>
      </c>
      <c r="D6" t="n">
        <v>0</v>
      </c>
      <c r="E6" t="inlineStr">
        <is>
          <t>(none)</t>
        </is>
      </c>
      <c r="F6" t="n">
        <v>0</v>
      </c>
      <c r="G6" t="inlineStr">
        <is>
          <t>(none)</t>
        </is>
      </c>
      <c r="H6" t="n">
        <v>0</v>
      </c>
      <c r="I6" t="inlineStr">
        <is>
          <t>(none)</t>
        </is>
      </c>
      <c r="J6" t="n">
        <v>0</v>
      </c>
    </row>
    <row r="7">
      <c r="A7" t="inlineStr">
        <is>
          <t>head</t>
        </is>
      </c>
      <c r="B7" t="inlineStr">
        <is>
          <t>Bonus Potential</t>
        </is>
      </c>
      <c r="C7" t="inlineStr">
        <is>
          <t>normal</t>
        </is>
      </c>
      <c r="D7" t="n">
        <v>0</v>
      </c>
      <c r="E7" t="inlineStr">
        <is>
          <t>(none)</t>
        </is>
      </c>
      <c r="F7" t="n">
        <v>0</v>
      </c>
      <c r="G7" t="inlineStr">
        <is>
          <t>(none)</t>
        </is>
      </c>
      <c r="H7" t="n">
        <v>0</v>
      </c>
      <c r="I7" t="inlineStr">
        <is>
          <t>(none)</t>
        </is>
      </c>
      <c r="J7" t="n">
        <v>0</v>
      </c>
    </row>
    <row r="8">
      <c r="A8" t="inlineStr">
        <is>
          <t>cape</t>
        </is>
      </c>
      <c r="B8" t="inlineStr">
        <is>
          <t>Potential</t>
        </is>
      </c>
      <c r="C8" t="inlineStr">
        <is>
          <t>normal</t>
        </is>
      </c>
      <c r="D8" t="n">
        <v>0</v>
      </c>
      <c r="E8" t="inlineStr">
        <is>
          <t>(none)</t>
        </is>
      </c>
      <c r="F8" t="n">
        <v>0</v>
      </c>
      <c r="G8" t="inlineStr">
        <is>
          <t>(none)</t>
        </is>
      </c>
      <c r="H8" t="n">
        <v>0</v>
      </c>
      <c r="I8" t="inlineStr">
        <is>
          <t>(none)</t>
        </is>
      </c>
      <c r="J8" t="n">
        <v>0</v>
      </c>
    </row>
    <row r="9">
      <c r="A9" t="inlineStr">
        <is>
          <t>cape</t>
        </is>
      </c>
      <c r="B9" t="inlineStr">
        <is>
          <t>Bonus Potential</t>
        </is>
      </c>
      <c r="C9" t="inlineStr">
        <is>
          <t>normal</t>
        </is>
      </c>
      <c r="D9" t="n">
        <v>0</v>
      </c>
      <c r="E9" t="inlineStr">
        <is>
          <t>(none)</t>
        </is>
      </c>
      <c r="F9" t="n">
        <v>0</v>
      </c>
      <c r="G9" t="inlineStr">
        <is>
          <t>(none)</t>
        </is>
      </c>
      <c r="H9" t="n">
        <v>0</v>
      </c>
      <c r="I9" t="inlineStr">
        <is>
          <t>(none)</t>
        </is>
      </c>
      <c r="J9" t="n">
        <v>0</v>
      </c>
    </row>
    <row r="10">
      <c r="A10" t="inlineStr">
        <is>
          <t>chest</t>
        </is>
      </c>
      <c r="B10" t="inlineStr">
        <is>
          <t>Potential</t>
        </is>
      </c>
      <c r="C10" t="inlineStr">
        <is>
          <t>normal</t>
        </is>
      </c>
      <c r="D10" t="n">
        <v>0</v>
      </c>
      <c r="E10" t="inlineStr">
        <is>
          <t>(none)</t>
        </is>
      </c>
      <c r="F10" t="n">
        <v>0</v>
      </c>
      <c r="G10" t="inlineStr">
        <is>
          <t>(none)</t>
        </is>
      </c>
      <c r="H10" t="n">
        <v>0</v>
      </c>
      <c r="I10" t="inlineStr">
        <is>
          <t>(none)</t>
        </is>
      </c>
      <c r="J10" t="n">
        <v>0</v>
      </c>
    </row>
    <row r="11">
      <c r="A11" t="inlineStr">
        <is>
          <t>chest</t>
        </is>
      </c>
      <c r="B11" t="inlineStr">
        <is>
          <t>Bonus Potential</t>
        </is>
      </c>
      <c r="C11" t="inlineStr">
        <is>
          <t>normal</t>
        </is>
      </c>
      <c r="D11" t="n">
        <v>0</v>
      </c>
      <c r="E11" t="inlineStr">
        <is>
          <t>(none)</t>
        </is>
      </c>
      <c r="F11" t="n">
        <v>0</v>
      </c>
      <c r="G11" t="inlineStr">
        <is>
          <t>(none)</t>
        </is>
      </c>
      <c r="H11" t="n">
        <v>0</v>
      </c>
      <c r="I11" t="inlineStr">
        <is>
          <t>(none)</t>
        </is>
      </c>
      <c r="J11" t="n">
        <v>0</v>
      </c>
    </row>
    <row r="12">
      <c r="A12" t="inlineStr">
        <is>
          <t>shoulders</t>
        </is>
      </c>
      <c r="B12" t="inlineStr">
        <is>
          <t>Potential</t>
        </is>
      </c>
      <c r="C12" t="inlineStr">
        <is>
          <t>normal</t>
        </is>
      </c>
      <c r="D12" t="n">
        <v>0</v>
      </c>
      <c r="E12" t="inlineStr">
        <is>
          <t>(none)</t>
        </is>
      </c>
      <c r="F12" t="n">
        <v>0</v>
      </c>
      <c r="G12" t="inlineStr">
        <is>
          <t>(none)</t>
        </is>
      </c>
      <c r="H12" t="n">
        <v>0</v>
      </c>
      <c r="I12" t="inlineStr">
        <is>
          <t>(none)</t>
        </is>
      </c>
      <c r="J12" t="n">
        <v>0</v>
      </c>
    </row>
    <row r="13">
      <c r="A13" t="inlineStr">
        <is>
          <t>shoulders</t>
        </is>
      </c>
      <c r="B13" t="inlineStr">
        <is>
          <t>Bonus Potential</t>
        </is>
      </c>
      <c r="C13" t="inlineStr">
        <is>
          <t>normal</t>
        </is>
      </c>
      <c r="D13" t="n">
        <v>0</v>
      </c>
      <c r="E13" t="inlineStr">
        <is>
          <t>(none)</t>
        </is>
      </c>
      <c r="F13" t="n">
        <v>0</v>
      </c>
      <c r="G13" t="inlineStr">
        <is>
          <t>(none)</t>
        </is>
      </c>
      <c r="H13" t="n">
        <v>0</v>
      </c>
      <c r="I13" t="inlineStr">
        <is>
          <t>(none)</t>
        </is>
      </c>
      <c r="J13" t="n">
        <v>0</v>
      </c>
    </row>
    <row r="14">
      <c r="A14" t="inlineStr">
        <is>
          <t>legs</t>
        </is>
      </c>
      <c r="B14" t="inlineStr">
        <is>
          <t>Potential</t>
        </is>
      </c>
      <c r="C14" t="inlineStr">
        <is>
          <t>normal</t>
        </is>
      </c>
      <c r="D14" t="n">
        <v>0</v>
      </c>
      <c r="E14" t="inlineStr">
        <is>
          <t>(none)</t>
        </is>
      </c>
      <c r="F14" t="n">
        <v>0</v>
      </c>
      <c r="G14" t="inlineStr">
        <is>
          <t>(none)</t>
        </is>
      </c>
      <c r="H14" t="n">
        <v>0</v>
      </c>
      <c r="I14" t="inlineStr">
        <is>
          <t>(none)</t>
        </is>
      </c>
      <c r="J14" t="n">
        <v>0</v>
      </c>
    </row>
    <row r="15">
      <c r="A15" t="inlineStr">
        <is>
          <t>legs</t>
        </is>
      </c>
      <c r="B15" t="inlineStr">
        <is>
          <t>Bonus Potential</t>
        </is>
      </c>
      <c r="C15" t="inlineStr">
        <is>
          <t>normal</t>
        </is>
      </c>
      <c r="D15" t="n">
        <v>0</v>
      </c>
      <c r="E15" t="inlineStr">
        <is>
          <t>(none)</t>
        </is>
      </c>
      <c r="F15" t="n">
        <v>0</v>
      </c>
      <c r="G15" t="inlineStr">
        <is>
          <t>(none)</t>
        </is>
      </c>
      <c r="H15" t="n">
        <v>0</v>
      </c>
      <c r="I15" t="inlineStr">
        <is>
          <t>(none)</t>
        </is>
      </c>
      <c r="J15" t="n">
        <v>0</v>
      </c>
    </row>
    <row r="16">
      <c r="A16" t="inlineStr">
        <is>
          <t>belt</t>
        </is>
      </c>
      <c r="B16" t="inlineStr">
        <is>
          <t>Potential</t>
        </is>
      </c>
      <c r="C16" t="inlineStr">
        <is>
          <t>normal</t>
        </is>
      </c>
      <c r="D16" t="n">
        <v>0</v>
      </c>
      <c r="E16" t="inlineStr">
        <is>
          <t>(none)</t>
        </is>
      </c>
      <c r="F16" t="n">
        <v>0</v>
      </c>
      <c r="G16" t="inlineStr">
        <is>
          <t>(none)</t>
        </is>
      </c>
      <c r="H16" t="n">
        <v>0</v>
      </c>
      <c r="I16" t="inlineStr">
        <is>
          <t>(none)</t>
        </is>
      </c>
      <c r="J16" t="n">
        <v>0</v>
      </c>
    </row>
    <row r="17">
      <c r="A17" t="inlineStr">
        <is>
          <t>belt</t>
        </is>
      </c>
      <c r="B17" t="inlineStr">
        <is>
          <t>Bonus Potential</t>
        </is>
      </c>
      <c r="C17" t="inlineStr">
        <is>
          <t>normal</t>
        </is>
      </c>
      <c r="D17" t="n">
        <v>0</v>
      </c>
      <c r="E17" t="inlineStr">
        <is>
          <t>(none)</t>
        </is>
      </c>
      <c r="F17" t="n">
        <v>0</v>
      </c>
      <c r="G17" t="inlineStr">
        <is>
          <t>(none)</t>
        </is>
      </c>
      <c r="H17" t="n">
        <v>0</v>
      </c>
      <c r="I17" t="inlineStr">
        <is>
          <t>(none)</t>
        </is>
      </c>
      <c r="J17" t="n">
        <v>0</v>
      </c>
    </row>
    <row r="18">
      <c r="A18" t="inlineStr">
        <is>
          <t>gloves</t>
        </is>
      </c>
      <c r="B18" t="inlineStr">
        <is>
          <t>Potential</t>
        </is>
      </c>
      <c r="C18" t="inlineStr">
        <is>
          <t>normal</t>
        </is>
      </c>
      <c r="D18" t="n">
        <v>0</v>
      </c>
      <c r="E18" t="inlineStr">
        <is>
          <t>(none)</t>
        </is>
      </c>
      <c r="F18" t="n">
        <v>0</v>
      </c>
      <c r="G18" t="inlineStr">
        <is>
          <t>(none)</t>
        </is>
      </c>
      <c r="H18" t="n">
        <v>0</v>
      </c>
      <c r="I18" t="inlineStr">
        <is>
          <t>(none)</t>
        </is>
      </c>
      <c r="J18" t="n">
        <v>0</v>
      </c>
    </row>
    <row r="19">
      <c r="A19" t="inlineStr">
        <is>
          <t>gloves</t>
        </is>
      </c>
      <c r="B19" t="inlineStr">
        <is>
          <t>Bonus Potential</t>
        </is>
      </c>
      <c r="C19" t="inlineStr">
        <is>
          <t>normal</t>
        </is>
      </c>
      <c r="D19" t="n">
        <v>0</v>
      </c>
      <c r="E19" t="inlineStr">
        <is>
          <t>(none)</t>
        </is>
      </c>
      <c r="F19" t="n">
        <v>0</v>
      </c>
      <c r="G19" t="inlineStr">
        <is>
          <t>(none)</t>
        </is>
      </c>
      <c r="H19" t="n">
        <v>0</v>
      </c>
      <c r="I19" t="inlineStr">
        <is>
          <t>(none)</t>
        </is>
      </c>
      <c r="J19" t="n">
        <v>0</v>
      </c>
    </row>
    <row r="20">
      <c r="A20" t="inlineStr">
        <is>
          <t>boots</t>
        </is>
      </c>
      <c r="B20" t="inlineStr">
        <is>
          <t>Potential</t>
        </is>
      </c>
      <c r="C20" t="inlineStr">
        <is>
          <t>normal</t>
        </is>
      </c>
      <c r="D20" t="n">
        <v>0</v>
      </c>
      <c r="E20" t="inlineStr">
        <is>
          <t>(none)</t>
        </is>
      </c>
      <c r="F20" t="n">
        <v>0</v>
      </c>
      <c r="G20" t="inlineStr">
        <is>
          <t>(none)</t>
        </is>
      </c>
      <c r="H20" t="n">
        <v>0</v>
      </c>
      <c r="I20" t="inlineStr">
        <is>
          <t>(none)</t>
        </is>
      </c>
      <c r="J20" t="n">
        <v>0</v>
      </c>
    </row>
    <row r="21">
      <c r="A21" t="inlineStr">
        <is>
          <t>boots</t>
        </is>
      </c>
      <c r="B21" t="inlineStr">
        <is>
          <t>Bonus Potential</t>
        </is>
      </c>
      <c r="C21" t="inlineStr">
        <is>
          <t>normal</t>
        </is>
      </c>
      <c r="D21" t="n">
        <v>0</v>
      </c>
      <c r="E21" t="inlineStr">
        <is>
          <t>(none)</t>
        </is>
      </c>
      <c r="F21" t="n">
        <v>0</v>
      </c>
      <c r="G21" t="inlineStr">
        <is>
          <t>(none)</t>
        </is>
      </c>
      <c r="H21" t="n">
        <v>0</v>
      </c>
      <c r="I21" t="inlineStr">
        <is>
          <t>(none)</t>
        </is>
      </c>
      <c r="J21" t="n">
        <v>0</v>
      </c>
    </row>
    <row r="22">
      <c r="A22" t="inlineStr">
        <is>
          <t>ring</t>
        </is>
      </c>
      <c r="B22" t="inlineStr">
        <is>
          <t>Potential</t>
        </is>
      </c>
      <c r="C22" t="inlineStr">
        <is>
          <t>normal</t>
        </is>
      </c>
      <c r="D22" t="n">
        <v>0</v>
      </c>
      <c r="E22" t="inlineStr">
        <is>
          <t>(none)</t>
        </is>
      </c>
      <c r="F22" t="n">
        <v>0</v>
      </c>
      <c r="G22" t="inlineStr">
        <is>
          <t>(none)</t>
        </is>
      </c>
      <c r="H22" t="n">
        <v>0</v>
      </c>
      <c r="I22" t="inlineStr">
        <is>
          <t>(none)</t>
        </is>
      </c>
      <c r="J22" t="n">
        <v>0</v>
      </c>
    </row>
    <row r="23">
      <c r="A23" t="inlineStr">
        <is>
          <t>ring</t>
        </is>
      </c>
      <c r="B23" t="inlineStr">
        <is>
          <t>Bonus Potential</t>
        </is>
      </c>
      <c r="C23" t="inlineStr">
        <is>
          <t>normal</t>
        </is>
      </c>
      <c r="D23" t="n">
        <v>0</v>
      </c>
      <c r="E23" t="inlineStr">
        <is>
          <t>(none)</t>
        </is>
      </c>
      <c r="F23" t="n">
        <v>0</v>
      </c>
      <c r="G23" t="inlineStr">
        <is>
          <t>(none)</t>
        </is>
      </c>
      <c r="H23" t="n">
        <v>0</v>
      </c>
      <c r="I23" t="inlineStr">
        <is>
          <t>(none)</t>
        </is>
      </c>
      <c r="J23" t="n">
        <v>0</v>
      </c>
    </row>
    <row r="24">
      <c r="A24" t="inlineStr">
        <is>
          <t>neck</t>
        </is>
      </c>
      <c r="B24" t="inlineStr">
        <is>
          <t>Potential</t>
        </is>
      </c>
      <c r="C24" t="inlineStr">
        <is>
          <t>normal</t>
        </is>
      </c>
      <c r="D24" t="n">
        <v>0</v>
      </c>
      <c r="E24" t="inlineStr">
        <is>
          <t>(none)</t>
        </is>
      </c>
      <c r="F24" t="n">
        <v>0</v>
      </c>
      <c r="G24" t="inlineStr">
        <is>
          <t>(none)</t>
        </is>
      </c>
      <c r="H24" t="n">
        <v>0</v>
      </c>
      <c r="I24" t="inlineStr">
        <is>
          <t>(none)</t>
        </is>
      </c>
      <c r="J24" t="n">
        <v>0</v>
      </c>
    </row>
    <row r="25">
      <c r="A25" t="inlineStr">
        <is>
          <t>neck</t>
        </is>
      </c>
      <c r="B25" t="inlineStr">
        <is>
          <t>Bonus Potential</t>
        </is>
      </c>
      <c r="C25" t="inlineStr">
        <is>
          <t>normal</t>
        </is>
      </c>
      <c r="D25" t="n">
        <v>0</v>
      </c>
      <c r="E25" t="inlineStr">
        <is>
          <t>(none)</t>
        </is>
      </c>
      <c r="F25" t="n">
        <v>0</v>
      </c>
      <c r="G25" t="inlineStr">
        <is>
          <t>(none)</t>
        </is>
      </c>
      <c r="H25" t="n">
        <v>0</v>
      </c>
      <c r="I25" t="inlineStr">
        <is>
          <t>(none)</t>
        </is>
      </c>
      <c r="J25" t="n">
        <v>0</v>
      </c>
    </row>
    <row r="26">
      <c r="A26" t="inlineStr">
        <is>
          <t>eye-accessory</t>
        </is>
      </c>
      <c r="B26" t="inlineStr">
        <is>
          <t>Potential</t>
        </is>
      </c>
      <c r="C26" t="inlineStr">
        <is>
          <t>normal</t>
        </is>
      </c>
      <c r="D26" t="n">
        <v>0</v>
      </c>
      <c r="E26" t="inlineStr">
        <is>
          <t>(none)</t>
        </is>
      </c>
      <c r="F26" t="n">
        <v>0</v>
      </c>
      <c r="G26" t="inlineStr">
        <is>
          <t>(none)</t>
        </is>
      </c>
      <c r="H26" t="n">
        <v>0</v>
      </c>
      <c r="I26" t="inlineStr">
        <is>
          <t>(none)</t>
        </is>
      </c>
      <c r="J26" t="n">
        <v>0</v>
      </c>
    </row>
    <row r="27">
      <c r="A27" t="inlineStr">
        <is>
          <t>eye-accessory</t>
        </is>
      </c>
      <c r="B27" t="inlineStr">
        <is>
          <t>Bonus Potential</t>
        </is>
      </c>
      <c r="C27" t="inlineStr">
        <is>
          <t>normal</t>
        </is>
      </c>
      <c r="D27" t="n">
        <v>0</v>
      </c>
      <c r="E27" t="inlineStr">
        <is>
          <t>(none)</t>
        </is>
      </c>
      <c r="F27" t="n">
        <v>0</v>
      </c>
      <c r="G27" t="inlineStr">
        <is>
          <t>(none)</t>
        </is>
      </c>
      <c r="H27" t="n">
        <v>0</v>
      </c>
      <c r="I27" t="inlineStr">
        <is>
          <t>(none)</t>
        </is>
      </c>
      <c r="J27" t="n">
        <v>0</v>
      </c>
    </row>
    <row r="28">
      <c r="A28" t="inlineStr">
        <is>
          <t>ring2</t>
        </is>
      </c>
      <c r="B28" t="inlineStr">
        <is>
          <t>Potential</t>
        </is>
      </c>
      <c r="C28" t="inlineStr">
        <is>
          <t>normal</t>
        </is>
      </c>
      <c r="D28" t="n">
        <v>0</v>
      </c>
      <c r="E28" t="inlineStr">
        <is>
          <t>(none)</t>
        </is>
      </c>
      <c r="F28" t="n">
        <v>0</v>
      </c>
      <c r="G28" t="inlineStr">
        <is>
          <t>(none)</t>
        </is>
      </c>
      <c r="H28" t="n">
        <v>0</v>
      </c>
      <c r="I28" t="inlineStr">
        <is>
          <t>(none)</t>
        </is>
      </c>
      <c r="J28" t="n">
        <v>0</v>
      </c>
    </row>
    <row r="29">
      <c r="A29" t="inlineStr">
        <is>
          <t>ring2</t>
        </is>
      </c>
      <c r="B29" t="inlineStr">
        <is>
          <t>Bonus Potential</t>
        </is>
      </c>
      <c r="C29" t="inlineStr">
        <is>
          <t>normal</t>
        </is>
      </c>
      <c r="D29" t="n">
        <v>0</v>
      </c>
      <c r="E29" t="inlineStr">
        <is>
          <t>(none)</t>
        </is>
      </c>
      <c r="F29" t="n">
        <v>0</v>
      </c>
      <c r="G29" t="inlineStr">
        <is>
          <t>(none)</t>
        </is>
      </c>
      <c r="H29" t="n">
        <v>0</v>
      </c>
      <c r="I29" t="inlineStr">
        <is>
          <t>(none)</t>
        </is>
      </c>
      <c r="J29" t="n">
        <v>0</v>
      </c>
    </row>
    <row r="30">
      <c r="A30" t="inlineStr">
        <is>
          <t>face</t>
        </is>
      </c>
      <c r="B30" t="inlineStr">
        <is>
          <t>Potential</t>
        </is>
      </c>
      <c r="C30" t="inlineStr">
        <is>
          <t>normal</t>
        </is>
      </c>
      <c r="D30" t="n">
        <v>0</v>
      </c>
      <c r="E30" t="inlineStr">
        <is>
          <t>(none)</t>
        </is>
      </c>
      <c r="F30" t="n">
        <v>0</v>
      </c>
      <c r="G30" t="inlineStr">
        <is>
          <t>(none)</t>
        </is>
      </c>
      <c r="H30" t="n">
        <v>0</v>
      </c>
      <c r="I30" t="inlineStr">
        <is>
          <t>(none)</t>
        </is>
      </c>
      <c r="J30" t="n">
        <v>0</v>
      </c>
    </row>
    <row r="31">
      <c r="A31" t="inlineStr">
        <is>
          <t>face</t>
        </is>
      </c>
      <c r="B31" t="inlineStr">
        <is>
          <t>Bonus Potential</t>
        </is>
      </c>
      <c r="C31" t="inlineStr">
        <is>
          <t>normal</t>
        </is>
      </c>
      <c r="D31" t="n">
        <v>0</v>
      </c>
      <c r="E31" t="inlineStr">
        <is>
          <t>(none)</t>
        </is>
      </c>
      <c r="F31" t="n">
        <v>0</v>
      </c>
      <c r="G31" t="inlineStr">
        <is>
          <t>(none)</t>
        </is>
      </c>
      <c r="H31" t="n">
        <v>0</v>
      </c>
      <c r="I31" t="inlineStr">
        <is>
          <t>(none)</t>
        </is>
      </c>
      <c r="J31" t="n">
        <v>0</v>
      </c>
    </row>
    <row r="32">
      <c r="A32" t="inlineStr">
        <is>
          <t>earrings</t>
        </is>
      </c>
      <c r="B32" t="inlineStr">
        <is>
          <t>Potential</t>
        </is>
      </c>
      <c r="C32" t="inlineStr">
        <is>
          <t>normal</t>
        </is>
      </c>
      <c r="D32" t="n">
        <v>0</v>
      </c>
      <c r="E32" t="inlineStr">
        <is>
          <t>(none)</t>
        </is>
      </c>
      <c r="F32" t="n">
        <v>0</v>
      </c>
      <c r="G32" t="inlineStr">
        <is>
          <t>(none)</t>
        </is>
      </c>
      <c r="H32" t="n">
        <v>0</v>
      </c>
      <c r="I32" t="inlineStr">
        <is>
          <t>(none)</t>
        </is>
      </c>
      <c r="J32" t="n">
        <v>0</v>
      </c>
    </row>
    <row r="33">
      <c r="A33" t="inlineStr">
        <is>
          <t>earrings</t>
        </is>
      </c>
      <c r="B33" t="inlineStr">
        <is>
          <t>Bonus Potential</t>
        </is>
      </c>
      <c r="C33" t="inlineStr">
        <is>
          <t>normal</t>
        </is>
      </c>
      <c r="D33" t="n">
        <v>0</v>
      </c>
      <c r="E33" t="inlineStr">
        <is>
          <t>(none)</t>
        </is>
      </c>
      <c r="F33" t="n">
        <v>0</v>
      </c>
      <c r="G33" t="inlineStr">
        <is>
          <t>(none)</t>
        </is>
      </c>
      <c r="H33" t="n">
        <v>0</v>
      </c>
      <c r="I33" t="inlineStr">
        <is>
          <t>(none)</t>
        </is>
      </c>
      <c r="J33" t="n">
        <v>0</v>
      </c>
    </row>
    <row r="34">
      <c r="A34" t="inlineStr">
        <is>
          <t>pocket</t>
        </is>
      </c>
      <c r="B34" t="inlineStr">
        <is>
          <t>Potential</t>
        </is>
      </c>
      <c r="C34" t="inlineStr">
        <is>
          <t>normal</t>
        </is>
      </c>
      <c r="D34" t="n">
        <v>0</v>
      </c>
      <c r="E34" t="inlineStr">
        <is>
          <t>(none)</t>
        </is>
      </c>
      <c r="F34" t="n">
        <v>0</v>
      </c>
      <c r="G34" t="inlineStr">
        <is>
          <t>(none)</t>
        </is>
      </c>
      <c r="H34" t="n">
        <v>0</v>
      </c>
      <c r="I34" t="inlineStr">
        <is>
          <t>(none)</t>
        </is>
      </c>
      <c r="J34" t="n">
        <v>0</v>
      </c>
    </row>
    <row r="35">
      <c r="A35" t="inlineStr">
        <is>
          <t>pocket</t>
        </is>
      </c>
      <c r="B35" t="inlineStr">
        <is>
          <t>Bonus Potential</t>
        </is>
      </c>
      <c r="C35" t="inlineStr">
        <is>
          <t>normal</t>
        </is>
      </c>
      <c r="D35" t="n">
        <v>0</v>
      </c>
      <c r="E35" t="inlineStr">
        <is>
          <t>(none)</t>
        </is>
      </c>
      <c r="F35" t="n">
        <v>0</v>
      </c>
      <c r="G35" t="inlineStr">
        <is>
          <t>(none)</t>
        </is>
      </c>
      <c r="H35" t="n">
        <v>0</v>
      </c>
      <c r="I35" t="inlineStr">
        <is>
          <t>(none)</t>
        </is>
      </c>
      <c r="J35" t="n">
        <v>0</v>
      </c>
    </row>
  </sheetData>
  <dataValidations count="2">
    <dataValidation sqref="C6 C7 C8 C9 C10 C11 C12 C13 C14 C15 C16 C17 C18 C19 C20 C21 C22 C23 C24 C25 C26 C27 C28 C29 C30 C31 C32 C33 C34 C35" showDropDown="0" showInputMessage="0" showErrorMessage="0" allowBlank="0" type="list">
      <formula1>"normal,rare,epic,unique,legendary,mystic"</formula1>
    </dataValidation>
    <dataValidation sqref="E6 E7 E8 E9 E10 E11 E12 E13 E14 E15 E16 E17 E18 E19 E20 E21 E22 E23 E24 E25 E26 E27 E28 E29 E30 E31 E32 E33 E34 E35 G6 G7 G8 G9 G10 G11 G12 G13 G14 G15 G16 G17 G18 G19 G20 G21 G22 G23 G24 G25 G26 G27 G28 G29 G30 G31 G32 G33 G34 G35 I6 I7 I8 I9 I10 I11 I12 I13 I14 I15 I16 I17 I18 I19 I20 I21 I22 I23 I24 I25 I26 I27 I28 I29 I30 I31 I32 I33 I34 I35" showDropDown="0" showInputMessage="0" showErrorMessage="0" allowBlank="0" type="list">
      <formula1>=CubeData!$J$2:$J$30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2026-09-16T10:30:59Z</dcterms:created>
  <dcterms:modified xsi:type="dcterms:W3CDTF">2026-09-16T10:30:59Z</dcterms:modified>
</cp:coreProperties>
</file>